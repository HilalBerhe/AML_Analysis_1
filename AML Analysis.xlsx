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l\Downloads\"/>
    </mc:Choice>
  </mc:AlternateContent>
  <xr:revisionPtr revIDLastSave="0" documentId="13_ncr:1_{E82DC527-DF09-45EF-ADFF-4C82F045598A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Customer Profile" sheetId="1" r:id="rId1"/>
    <sheet name="Transactions" sheetId="2" r:id="rId2"/>
    <sheet name="Transactions Table" sheetId="3" r:id="rId3"/>
    <sheet name="Analysis" sheetId="5" r:id="rId4"/>
    <sheet name="Near-10k Review" sheetId="8" r:id="rId5"/>
    <sheet name="Analysis Summary" sheetId="9" r:id="rId6"/>
  </sheets>
  <definedNames>
    <definedName name="ExternalData_1" localSheetId="3" hidden="1">Analysis!$A$1:$F$10</definedName>
    <definedName name="ExternalData_1" localSheetId="2" hidden="1">'Transactions Table'!$A$1:$U$1375</definedName>
  </definedNames>
  <calcPr calcId="191029"/>
</workbook>
</file>

<file path=xl/calcChain.xml><?xml version="1.0" encoding="utf-8"?>
<calcChain xmlns="http://schemas.openxmlformats.org/spreadsheetml/2006/main">
  <c r="K28" i="5" l="1"/>
  <c r="K23" i="5"/>
  <c r="K22" i="5"/>
  <c r="K17" i="5"/>
  <c r="K16" i="5"/>
  <c r="F34" i="5"/>
  <c r="F36" i="5"/>
  <c r="K15" i="5"/>
  <c r="K14" i="5"/>
  <c r="F35" i="5"/>
  <c r="F3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E094D-A1DA-4627-B901-8D81FE9476AF}" keepAlive="1" name="Query - AML Summary" description="Connection to the 'AML Summary' query in the workbook." type="5" refreshedVersion="8" background="1" saveData="1">
    <dbPr connection="Provider=Microsoft.Mashup.OleDb.1;Data Source=$Workbook$;Location=&quot;AML Summary&quot;;Extended Properties=&quot;&quot;" command="SELECT * FROM [AML Summary]"/>
  </connection>
  <connection id="2" xr16:uid="{84A269B9-4949-4D1F-9A34-E97BFD07439F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3" xr16:uid="{F2911851-0C6B-4D33-8F39-5877CA95C32C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54CBAB35-0D5E-422B-9F87-6DF5A3CF1653}" keepAlive="1" name="Query - TransactionsTable" description="Connection to the 'TransactionsTable' query in the workbook." type="5" refreshedVersion="8" background="1" saveData="1">
    <dbPr connection="Provider=Microsoft.Mashup.OleDb.1;Data Source=$Workbook$;Location=TransactionsTable;Extended Properties=&quot;&quot;" command="SELECT * FROM [TransactionsTable]"/>
  </connection>
  <connection id="5" xr16:uid="{A1556BD3-62B1-4EBB-8B00-31191EC82B4C}" keepAlive="1" name="Query - TransactionsTable (2)" description="Connection to the 'TransactionsTable (2)' query in the workbook." type="5" refreshedVersion="8" background="1" saveData="1">
    <dbPr connection="Provider=Microsoft.Mashup.OleDb.1;Data Source=$Workbook$;Location=&quot;TransactionsTable (2)&quot;;Extended Properties=&quot;&quot;" command="SELECT * FROM [TransactionsTable (2)]"/>
  </connection>
</connections>
</file>

<file path=xl/sharedStrings.xml><?xml version="1.0" encoding="utf-8"?>
<sst xmlns="http://schemas.openxmlformats.org/spreadsheetml/2006/main" count="62361" uniqueCount="7476">
  <si>
    <t>AML CASE PRACTICE — SYNTHETIC CUSTOMER</t>
  </si>
  <si>
    <t>Customer_ID</t>
  </si>
  <si>
    <t>CUST-1001</t>
  </si>
  <si>
    <t>Customer_Name</t>
  </si>
  <si>
    <t>Marcus Reed</t>
  </si>
  <si>
    <t>DOB</t>
  </si>
  <si>
    <t>Occupation</t>
  </si>
  <si>
    <t>IT Project Manager</t>
  </si>
  <si>
    <t>Employer</t>
  </si>
  <si>
    <t>Northstar Digital Solutions</t>
  </si>
  <si>
    <t>Annual_Income</t>
  </si>
  <si>
    <t>Residence_State</t>
  </si>
  <si>
    <t>VA</t>
  </si>
  <si>
    <t>Customer_Since</t>
  </si>
  <si>
    <t>Risk_Rating</t>
  </si>
  <si>
    <t>Low</t>
  </si>
  <si>
    <t>Account_ID</t>
  </si>
  <si>
    <t>CHK-772104</t>
  </si>
  <si>
    <t>Account_Type</t>
  </si>
  <si>
    <t>Personal Checking</t>
  </si>
  <si>
    <t>Expected_Monthly_Credits</t>
  </si>
  <si>
    <t>USD 6,000–10,000</t>
  </si>
  <si>
    <t>Expected_Monthly_Debits</t>
  </si>
  <si>
    <t>USD 4,000–9,000</t>
  </si>
  <si>
    <t>Expected_Cash_Activity</t>
  </si>
  <si>
    <t>Occasional; typically under USD 1,000/month</t>
  </si>
  <si>
    <t>Expected_International_Activity</t>
  </si>
  <si>
    <t>None disclosed</t>
  </si>
  <si>
    <t>Primary_Channel</t>
  </si>
  <si>
    <t>Mobile / Debit Card / ACH</t>
  </si>
  <si>
    <t>Case_Instruction</t>
  </si>
  <si>
    <t>Review the transaction history and determine whether activity is consistent with the customer profile. Do not assume that a red flag alone proves suspicious activity.</t>
  </si>
  <si>
    <t>Opening_Balance</t>
  </si>
  <si>
    <t>Transaction_ID</t>
  </si>
  <si>
    <t>Transaction_Date</t>
  </si>
  <si>
    <t>Transaction_Time</t>
  </si>
  <si>
    <t>Direction</t>
  </si>
  <si>
    <t>Transaction_Type</t>
  </si>
  <si>
    <t>Amount</t>
  </si>
  <si>
    <t>Currency</t>
  </si>
  <si>
    <t>Counterparty_Name</t>
  </si>
  <si>
    <t>Counterparty_Country</t>
  </si>
  <si>
    <t>Channel</t>
  </si>
  <si>
    <t>Branch_City</t>
  </si>
  <si>
    <t>Branch_State</t>
  </si>
  <si>
    <t>Merchant_Category</t>
  </si>
  <si>
    <t>Description</t>
  </si>
  <si>
    <t>Balance_After</t>
  </si>
  <si>
    <t>TX-000005</t>
  </si>
  <si>
    <t>06:48:51</t>
  </si>
  <si>
    <t>Debit</t>
  </si>
  <si>
    <t>Card Purchase</t>
  </si>
  <si>
    <t>USD</t>
  </si>
  <si>
    <t>Capital Coffee</t>
  </si>
  <si>
    <t>US</t>
  </si>
  <si>
    <t>Debit Card</t>
  </si>
  <si>
    <t>Restaurants</t>
  </si>
  <si>
    <t>Restaurants transaction</t>
  </si>
  <si>
    <t>TX-000002</t>
  </si>
  <si>
    <t>08:37:27</t>
  </si>
  <si>
    <t>Metro Fuel</t>
  </si>
  <si>
    <t>Gas</t>
  </si>
  <si>
    <t>Gas transaction</t>
  </si>
  <si>
    <t>TX-000003</t>
  </si>
  <si>
    <t>12:14:32</t>
  </si>
  <si>
    <t>FreshMart Grocery</t>
  </si>
  <si>
    <t>Groceries</t>
  </si>
  <si>
    <t>Groceries transaction</t>
  </si>
  <si>
    <t>TX-000001</t>
  </si>
  <si>
    <t>13:14:08</t>
  </si>
  <si>
    <t>TX-000006</t>
  </si>
  <si>
    <t>16:06:05</t>
  </si>
  <si>
    <t>P2P Transfer</t>
  </si>
  <si>
    <t>Nina P.</t>
  </si>
  <si>
    <t>Mobile</t>
  </si>
  <si>
    <t>P2P</t>
  </si>
  <si>
    <t>Personal transfer</t>
  </si>
  <si>
    <t>TX-000004</t>
  </si>
  <si>
    <t>19:14:28</t>
  </si>
  <si>
    <t>TX-000007</t>
  </si>
  <si>
    <t>07:46:29</t>
  </si>
  <si>
    <t>CVS Pharmacy</t>
  </si>
  <si>
    <t>Pharmacy</t>
  </si>
  <si>
    <t>Pharmacy transaction</t>
  </si>
  <si>
    <t>TX-000011</t>
  </si>
  <si>
    <t>09:24:17</t>
  </si>
  <si>
    <t>TX-000014</t>
  </si>
  <si>
    <t>11:34:46</t>
  </si>
  <si>
    <t>ATM Withdrawal</t>
  </si>
  <si>
    <t>ATM Network</t>
  </si>
  <si>
    <t>ATM</t>
  </si>
  <si>
    <t>Alexandria</t>
  </si>
  <si>
    <t>Cash</t>
  </si>
  <si>
    <t>ATM cash withdrawal</t>
  </si>
  <si>
    <t>TX-000010</t>
  </si>
  <si>
    <t>13:49:18</t>
  </si>
  <si>
    <t>TX-000013</t>
  </si>
  <si>
    <t>14:44:59</t>
  </si>
  <si>
    <t>TX-000012</t>
  </si>
  <si>
    <t>17:10:23</t>
  </si>
  <si>
    <t>ACH Debit</t>
  </si>
  <si>
    <t>StreamFlix</t>
  </si>
  <si>
    <t>ACH</t>
  </si>
  <si>
    <t>Subscription</t>
  </si>
  <si>
    <t>Subscription transaction</t>
  </si>
  <si>
    <t>TX-001308</t>
  </si>
  <si>
    <t>17:17:12</t>
  </si>
  <si>
    <t>Parkview Residences</t>
  </si>
  <si>
    <t>Housing</t>
  </si>
  <si>
    <t>Monthly rent</t>
  </si>
  <si>
    <t>TX-000009</t>
  </si>
  <si>
    <t>17:36:12</t>
  </si>
  <si>
    <t>TX-000008</t>
  </si>
  <si>
    <t>18:05:35</t>
  </si>
  <si>
    <t>CloudBox</t>
  </si>
  <si>
    <t>TX-000017</t>
  </si>
  <si>
    <t>07:51:20</t>
  </si>
  <si>
    <t>TX-000020</t>
  </si>
  <si>
    <t>10:15:47</t>
  </si>
  <si>
    <t>TX-000018</t>
  </si>
  <si>
    <t>12:58:36</t>
  </si>
  <si>
    <t>Metro Transit</t>
  </si>
  <si>
    <t>Transportation</t>
  </si>
  <si>
    <t>Transportation transaction</t>
  </si>
  <si>
    <t>TX-000015</t>
  </si>
  <si>
    <t>14:59:40</t>
  </si>
  <si>
    <t>QuickBite</t>
  </si>
  <si>
    <t>TX-000016</t>
  </si>
  <si>
    <t>16:53:49</t>
  </si>
  <si>
    <t>TX-000019</t>
  </si>
  <si>
    <t>21:25:56</t>
  </si>
  <si>
    <t>TX-000025</t>
  </si>
  <si>
    <t>06:43:46</t>
  </si>
  <si>
    <t>TX-000022</t>
  </si>
  <si>
    <t>09:09:40</t>
  </si>
  <si>
    <t>TX-000021</t>
  </si>
  <si>
    <t>10:32:31</t>
  </si>
  <si>
    <t>TX-000028</t>
  </si>
  <si>
    <t>14:32:48</t>
  </si>
  <si>
    <t>TX-000026</t>
  </si>
  <si>
    <t>14:49:41</t>
  </si>
  <si>
    <t>TX-000027</t>
  </si>
  <si>
    <t>19:10:29</t>
  </si>
  <si>
    <t>TX-000023</t>
  </si>
  <si>
    <t>19:38:04</t>
  </si>
  <si>
    <t>TX-000024</t>
  </si>
  <si>
    <t>20:33:16</t>
  </si>
  <si>
    <t>TX-000029</t>
  </si>
  <si>
    <t>22:38:12</t>
  </si>
  <si>
    <t>Credit</t>
  </si>
  <si>
    <t>Daniel K.</t>
  </si>
  <si>
    <t>TX-000031</t>
  </si>
  <si>
    <t>09:59:23</t>
  </si>
  <si>
    <t>TX-000034</t>
  </si>
  <si>
    <t>10:42:30</t>
  </si>
  <si>
    <t>TX-000032</t>
  </si>
  <si>
    <t>13:56:36</t>
  </si>
  <si>
    <t>TX-000033</t>
  </si>
  <si>
    <t>21:52:04</t>
  </si>
  <si>
    <t>TX-000035</t>
  </si>
  <si>
    <t>22:55:38</t>
  </si>
  <si>
    <t>TX-000030</t>
  </si>
  <si>
    <t>22:58:00</t>
  </si>
  <si>
    <t>TX-000039</t>
  </si>
  <si>
    <t>07:14:04</t>
  </si>
  <si>
    <t>TX-000040</t>
  </si>
  <si>
    <t>08:32:15</t>
  </si>
  <si>
    <t>TX-000041</t>
  </si>
  <si>
    <t>12:34:08</t>
  </si>
  <si>
    <t>TX-000037</t>
  </si>
  <si>
    <t>13:14:04</t>
  </si>
  <si>
    <t>TX-000038</t>
  </si>
  <si>
    <t>13:37:14</t>
  </si>
  <si>
    <t>TX-000036</t>
  </si>
  <si>
    <t>17:28:57</t>
  </si>
  <si>
    <t>TX-001309</t>
  </si>
  <si>
    <t>07:17:08</t>
  </si>
  <si>
    <t>Dominion Energy</t>
  </si>
  <si>
    <t>Utilities</t>
  </si>
  <si>
    <t>Electric utility</t>
  </si>
  <si>
    <t>TX-000044</t>
  </si>
  <si>
    <t>07:43:41</t>
  </si>
  <si>
    <t>TX-000049</t>
  </si>
  <si>
    <t>08:59:48</t>
  </si>
  <si>
    <t>TX-000048</t>
  </si>
  <si>
    <t>09:03:41</t>
  </si>
  <si>
    <t>TX-000046</t>
  </si>
  <si>
    <t>12:34:28</t>
  </si>
  <si>
    <t>TX-000047</t>
  </si>
  <si>
    <t>14:29:15</t>
  </si>
  <si>
    <t>TX-000045</t>
  </si>
  <si>
    <t>16:51:55</t>
  </si>
  <si>
    <t>TX-000043</t>
  </si>
  <si>
    <t>17:27:26</t>
  </si>
  <si>
    <t>TX-000042</t>
  </si>
  <si>
    <t>19:12:06</t>
  </si>
  <si>
    <t>ShopHub Online</t>
  </si>
  <si>
    <t>Retail</t>
  </si>
  <si>
    <t>Retail transaction</t>
  </si>
  <si>
    <t>TX-000053</t>
  </si>
  <si>
    <t>07:37:47</t>
  </si>
  <si>
    <t>TX-000056</t>
  </si>
  <si>
    <t>11:04:38</t>
  </si>
  <si>
    <t>TX-000057</t>
  </si>
  <si>
    <t>13:25:07</t>
  </si>
  <si>
    <t>TX-000054</t>
  </si>
  <si>
    <t>16:03:03</t>
  </si>
  <si>
    <t>TX-000051</t>
  </si>
  <si>
    <t>18:16:59</t>
  </si>
  <si>
    <t>TX-000050</t>
  </si>
  <si>
    <t>18:57:03</t>
  </si>
  <si>
    <t>TX-000052</t>
  </si>
  <si>
    <t>21:09:12</t>
  </si>
  <si>
    <t>TX-000055</t>
  </si>
  <si>
    <t>22:10:03</t>
  </si>
  <si>
    <t>TX-000061</t>
  </si>
  <si>
    <t>09:04:34</t>
  </si>
  <si>
    <t>TX-000062</t>
  </si>
  <si>
    <t>10:59:22</t>
  </si>
  <si>
    <t>TX-000060</t>
  </si>
  <si>
    <t>15:29:20</t>
  </si>
  <si>
    <t>TX-000059</t>
  </si>
  <si>
    <t>16:15:16</t>
  </si>
  <si>
    <t>TX-000058</t>
  </si>
  <si>
    <t>22:20:59</t>
  </si>
  <si>
    <t>TX-000065</t>
  </si>
  <si>
    <t>10:16:07</t>
  </si>
  <si>
    <t>TX-000066</t>
  </si>
  <si>
    <t>10:17:18</t>
  </si>
  <si>
    <t>TX-000067</t>
  </si>
  <si>
    <t>12:43:40</t>
  </si>
  <si>
    <t>TX-000070</t>
  </si>
  <si>
    <t>14:10:47</t>
  </si>
  <si>
    <t>Chris T.</t>
  </si>
  <si>
    <t>TX-000068</t>
  </si>
  <si>
    <t>14:57:58</t>
  </si>
  <si>
    <t>TX-000063</t>
  </si>
  <si>
    <t>15:39:51</t>
  </si>
  <si>
    <t>TX-000064</t>
  </si>
  <si>
    <t>15:59:42</t>
  </si>
  <si>
    <t>TX-000069</t>
  </si>
  <si>
    <t>19:53:17</t>
  </si>
  <si>
    <t>TX-001310</t>
  </si>
  <si>
    <t>20:26:10</t>
  </si>
  <si>
    <t>City Water</t>
  </si>
  <si>
    <t>Water utility</t>
  </si>
  <si>
    <t>TX-000077</t>
  </si>
  <si>
    <t>06:11:47</t>
  </si>
  <si>
    <t>TX-000073</t>
  </si>
  <si>
    <t>07:19:23</t>
  </si>
  <si>
    <t>TX-000071</t>
  </si>
  <si>
    <t>08:56:44</t>
  </si>
  <si>
    <t>TX-000074</t>
  </si>
  <si>
    <t>12:43:15</t>
  </si>
  <si>
    <t>TX-000076</t>
  </si>
  <si>
    <t>13:55:10</t>
  </si>
  <si>
    <t>TX-000072</t>
  </si>
  <si>
    <t>17:37:35</t>
  </si>
  <si>
    <t>TX-000075</t>
  </si>
  <si>
    <t>19:39:47</t>
  </si>
  <si>
    <t>TX-000078</t>
  </si>
  <si>
    <t>19:51:42</t>
  </si>
  <si>
    <t>TX-000084</t>
  </si>
  <si>
    <t>06:07:56</t>
  </si>
  <si>
    <t>TX-000079</t>
  </si>
  <si>
    <t>09:24:55</t>
  </si>
  <si>
    <t>TX-000080</t>
  </si>
  <si>
    <t>13:12:52</t>
  </si>
  <si>
    <t>TX-000081</t>
  </si>
  <si>
    <t>13:14:01</t>
  </si>
  <si>
    <t>TX-000085</t>
  </si>
  <si>
    <t>14:02:06</t>
  </si>
  <si>
    <t>TX-000082</t>
  </si>
  <si>
    <t>14:55:04</t>
  </si>
  <si>
    <t>TX-000083</t>
  </si>
  <si>
    <t>22:25:43</t>
  </si>
  <si>
    <t>TX-000088</t>
  </si>
  <si>
    <t>12:23:27</t>
  </si>
  <si>
    <t>TX-000090</t>
  </si>
  <si>
    <t>15:32:19</t>
  </si>
  <si>
    <t>TX-000091</t>
  </si>
  <si>
    <t>15:35:08</t>
  </si>
  <si>
    <t>TX-000089</t>
  </si>
  <si>
    <t>16:39:20</t>
  </si>
  <si>
    <t>TX-000092</t>
  </si>
  <si>
    <t>18:43:47</t>
  </si>
  <si>
    <t>TX-000087</t>
  </si>
  <si>
    <t>19:00:33</t>
  </si>
  <si>
    <t>TX-000086</t>
  </si>
  <si>
    <t>22:07:24</t>
  </si>
  <si>
    <t>TX-000093</t>
  </si>
  <si>
    <t>06:19:18</t>
  </si>
  <si>
    <t>TX-000099</t>
  </si>
  <si>
    <t>08:29:26</t>
  </si>
  <si>
    <t>TX-000098</t>
  </si>
  <si>
    <t>10:01:02</t>
  </si>
  <si>
    <t>TX-000097</t>
  </si>
  <si>
    <t>13:43:19</t>
  </si>
  <si>
    <t>TX-000096</t>
  </si>
  <si>
    <t>15:32:42</t>
  </si>
  <si>
    <t>TX-000094</t>
  </si>
  <si>
    <t>16:29:28</t>
  </si>
  <si>
    <t>TX-000095</t>
  </si>
  <si>
    <t>22:30:50</t>
  </si>
  <si>
    <t>TX-000103</t>
  </si>
  <si>
    <t>09:29:08</t>
  </si>
  <si>
    <t>TX-000101</t>
  </si>
  <si>
    <t>09:49:27</t>
  </si>
  <si>
    <t>TX-000100</t>
  </si>
  <si>
    <t>10:41:44</t>
  </si>
  <si>
    <t>TX-000106</t>
  </si>
  <si>
    <t>11:47:55</t>
  </si>
  <si>
    <t>TX-000107</t>
  </si>
  <si>
    <t>13:53:40</t>
  </si>
  <si>
    <t>TX-000108</t>
  </si>
  <si>
    <t>14:28:04</t>
  </si>
  <si>
    <t>Elena V.</t>
  </si>
  <si>
    <t>TX-000104</t>
  </si>
  <si>
    <t>16:48:57</t>
  </si>
  <si>
    <t>TX-001296</t>
  </si>
  <si>
    <t>20:02:06</t>
  </si>
  <si>
    <t>Payroll ACH</t>
  </si>
  <si>
    <t>Payroll</t>
  </si>
  <si>
    <t>Biweekly payroll</t>
  </si>
  <si>
    <t>TX-000105</t>
  </si>
  <si>
    <t>22:27:53</t>
  </si>
  <si>
    <t>TX-000102</t>
  </si>
  <si>
    <t>22:29:03</t>
  </si>
  <si>
    <t>TX-000109</t>
  </si>
  <si>
    <t>08:08:09</t>
  </si>
  <si>
    <t>TX-000110</t>
  </si>
  <si>
    <t>10:45:13</t>
  </si>
  <si>
    <t>TX-000111</t>
  </si>
  <si>
    <t>16:34:29</t>
  </si>
  <si>
    <t>TX-000113</t>
  </si>
  <si>
    <t>18:30:00</t>
  </si>
  <si>
    <t>TX-000114</t>
  </si>
  <si>
    <t>18:54:57</t>
  </si>
  <si>
    <t>TX-000112</t>
  </si>
  <si>
    <t>19:24:57</t>
  </si>
  <si>
    <t>TX-000117</t>
  </si>
  <si>
    <t>06:58:25</t>
  </si>
  <si>
    <t>TX-000121</t>
  </si>
  <si>
    <t>08:30:01</t>
  </si>
  <si>
    <t>TX-000119</t>
  </si>
  <si>
    <t>14:24:20</t>
  </si>
  <si>
    <t>TX-000120</t>
  </si>
  <si>
    <t>16:48:56</t>
  </si>
  <si>
    <t>TX-000116</t>
  </si>
  <si>
    <t>18:46:10</t>
  </si>
  <si>
    <t>TX-000118</t>
  </si>
  <si>
    <t>19:08:55</t>
  </si>
  <si>
    <t>TX-000115</t>
  </si>
  <si>
    <t>19:31:01</t>
  </si>
  <si>
    <t>TX-000122</t>
  </si>
  <si>
    <t>08:49:41</t>
  </si>
  <si>
    <t>TX-000126</t>
  </si>
  <si>
    <t>11:38:38</t>
  </si>
  <si>
    <t>TX-000125</t>
  </si>
  <si>
    <t>12:29:44</t>
  </si>
  <si>
    <t>TX-000124</t>
  </si>
  <si>
    <t>13:08:30</t>
  </si>
  <si>
    <t>TX-000123</t>
  </si>
  <si>
    <t>13:12:53</t>
  </si>
  <si>
    <t>TX-000127</t>
  </si>
  <si>
    <t>06:59:19</t>
  </si>
  <si>
    <t>TX-000130</t>
  </si>
  <si>
    <t>07:22:34</t>
  </si>
  <si>
    <t>TX-000131</t>
  </si>
  <si>
    <t>08:32:41</t>
  </si>
  <si>
    <t>TX-000133</t>
  </si>
  <si>
    <t>10:27:11</t>
  </si>
  <si>
    <t>TX-000128</t>
  </si>
  <si>
    <t>12:04:37</t>
  </si>
  <si>
    <t>TX-000129</t>
  </si>
  <si>
    <t>15:54:43</t>
  </si>
  <si>
    <t>TX-000132</t>
  </si>
  <si>
    <t>19:52:31</t>
  </si>
  <si>
    <t>TX-000138</t>
  </si>
  <si>
    <t>11:31:13</t>
  </si>
  <si>
    <t>TX-000135</t>
  </si>
  <si>
    <t>13:53:59</t>
  </si>
  <si>
    <t>TX-001311</t>
  </si>
  <si>
    <t>13:56:18</t>
  </si>
  <si>
    <t>FiberNet</t>
  </si>
  <si>
    <t>Internet service</t>
  </si>
  <si>
    <t>TX-000139</t>
  </si>
  <si>
    <t>16:17:56</t>
  </si>
  <si>
    <t>TX-000137</t>
  </si>
  <si>
    <t>18:21:01</t>
  </si>
  <si>
    <t>TX-000136</t>
  </si>
  <si>
    <t>20:15:48</t>
  </si>
  <si>
    <t>TX-000134</t>
  </si>
  <si>
    <t>20:27:52</t>
  </si>
  <si>
    <t>TX-000141</t>
  </si>
  <si>
    <t>21:41:45</t>
  </si>
  <si>
    <t>TX-000140</t>
  </si>
  <si>
    <t>22:12:05</t>
  </si>
  <si>
    <t>TX-000146</t>
  </si>
  <si>
    <t>11:12:13</t>
  </si>
  <si>
    <t>TX-000145</t>
  </si>
  <si>
    <t>14:14:07</t>
  </si>
  <si>
    <t>TX-000144</t>
  </si>
  <si>
    <t>16:22:44</t>
  </si>
  <si>
    <t>TX-000143</t>
  </si>
  <si>
    <t>17:30:35</t>
  </si>
  <si>
    <t>TX-000142</t>
  </si>
  <si>
    <t>18:44:15</t>
  </si>
  <si>
    <t>TX-000150</t>
  </si>
  <si>
    <t>06:36:18</t>
  </si>
  <si>
    <t>TX-000153</t>
  </si>
  <si>
    <t>08:36:40</t>
  </si>
  <si>
    <t>TX-000148</t>
  </si>
  <si>
    <t>10:17:02</t>
  </si>
  <si>
    <t>TX-000149</t>
  </si>
  <si>
    <t>10:40:55</t>
  </si>
  <si>
    <t>TX-000147</t>
  </si>
  <si>
    <t>15:14:23</t>
  </si>
  <si>
    <t>TX-000151</t>
  </si>
  <si>
    <t>16:11:03</t>
  </si>
  <si>
    <t>TX-000152</t>
  </si>
  <si>
    <t>21:07:52</t>
  </si>
  <si>
    <t>TX-000160</t>
  </si>
  <si>
    <t>06:26:28</t>
  </si>
  <si>
    <t>TX-000157</t>
  </si>
  <si>
    <t>07:39:47</t>
  </si>
  <si>
    <t>TX-000154</t>
  </si>
  <si>
    <t>09:35:48</t>
  </si>
  <si>
    <t>TX-000159</t>
  </si>
  <si>
    <t>11:15:11</t>
  </si>
  <si>
    <t>TX-000158</t>
  </si>
  <si>
    <t>12:40:13</t>
  </si>
  <si>
    <t>TX-000155</t>
  </si>
  <si>
    <t>13:49:33</t>
  </si>
  <si>
    <t>TX-000156</t>
  </si>
  <si>
    <t>20:19:55</t>
  </si>
  <si>
    <t>TX-000164</t>
  </si>
  <si>
    <t>08:03:10</t>
  </si>
  <si>
    <t>TX-000163</t>
  </si>
  <si>
    <t>13:41:09</t>
  </si>
  <si>
    <t>TX-000162</t>
  </si>
  <si>
    <t>13:59:16</t>
  </si>
  <si>
    <t>TX-000165</t>
  </si>
  <si>
    <t>15:28:07</t>
  </si>
  <si>
    <t>TX-000161</t>
  </si>
  <si>
    <t>15:44:55</t>
  </si>
  <si>
    <t>TX-000168</t>
  </si>
  <si>
    <t>06:48:43</t>
  </si>
  <si>
    <t>TX-000172</t>
  </si>
  <si>
    <t>09:54:10</t>
  </si>
  <si>
    <t>TX-000169</t>
  </si>
  <si>
    <t>11:30:33</t>
  </si>
  <si>
    <t>TX-000170</t>
  </si>
  <si>
    <t>11:37:27</t>
  </si>
  <si>
    <t>TX-000167</t>
  </si>
  <si>
    <t>16:38:16</t>
  </si>
  <si>
    <t>TX-000173</t>
  </si>
  <si>
    <t>21:18:42</t>
  </si>
  <si>
    <t>TX-000171</t>
  </si>
  <si>
    <t>21:22:26</t>
  </si>
  <si>
    <t>TX-000166</t>
  </si>
  <si>
    <t>21:28:05</t>
  </si>
  <si>
    <t>TX-000175</t>
  </si>
  <si>
    <t>06:42:55</t>
  </si>
  <si>
    <t>TX-000176</t>
  </si>
  <si>
    <t>07:12:33</t>
  </si>
  <si>
    <t>TX-000178</t>
  </si>
  <si>
    <t>10:59:18</t>
  </si>
  <si>
    <t>TX-000174</t>
  </si>
  <si>
    <t>14:20:07</t>
  </si>
  <si>
    <t>TX-000177</t>
  </si>
  <si>
    <t>21:40:28</t>
  </si>
  <si>
    <t>TX-000181</t>
  </si>
  <si>
    <t>09:41:53</t>
  </si>
  <si>
    <t>TX-000179</t>
  </si>
  <si>
    <t>13:45:10</t>
  </si>
  <si>
    <t>TX-000182</t>
  </si>
  <si>
    <t>15:32:45</t>
  </si>
  <si>
    <t>TX-000180</t>
  </si>
  <si>
    <t>19:05:14</t>
  </si>
  <si>
    <t>TX-000183</t>
  </si>
  <si>
    <t>21:30:15</t>
  </si>
  <si>
    <t>TX-000186</t>
  </si>
  <si>
    <t>06:18:46</t>
  </si>
  <si>
    <t>TX-000184</t>
  </si>
  <si>
    <t>10:55:04</t>
  </si>
  <si>
    <t>TX-001297</t>
  </si>
  <si>
    <t>11:10:50</t>
  </si>
  <si>
    <t>TX-000189</t>
  </si>
  <si>
    <t>16:55:12</t>
  </si>
  <si>
    <t>TX-000188</t>
  </si>
  <si>
    <t>17:21:35</t>
  </si>
  <si>
    <t>TX-000185</t>
  </si>
  <si>
    <t>19:21:59</t>
  </si>
  <si>
    <t>TX-000187</t>
  </si>
  <si>
    <t>21:55:09</t>
  </si>
  <si>
    <t>TX-000192</t>
  </si>
  <si>
    <t>07:08:32</t>
  </si>
  <si>
    <t>TX-000194</t>
  </si>
  <si>
    <t>10:26:55</t>
  </si>
  <si>
    <t>TX-000195</t>
  </si>
  <si>
    <t>14:21:39</t>
  </si>
  <si>
    <t>TX-000197</t>
  </si>
  <si>
    <t>16:40:45</t>
  </si>
  <si>
    <t>TX-000196</t>
  </si>
  <si>
    <t>16:54:43</t>
  </si>
  <si>
    <t>TX-000191</t>
  </si>
  <si>
    <t>18:24:42</t>
  </si>
  <si>
    <t>TX-000190</t>
  </si>
  <si>
    <t>19:02:20</t>
  </si>
  <si>
    <t>TX-000193</t>
  </si>
  <si>
    <t>20:06:33</t>
  </si>
  <si>
    <t>TX-000201</t>
  </si>
  <si>
    <t>07:18:22</t>
  </si>
  <si>
    <t>TX-000199</t>
  </si>
  <si>
    <t>09:48:40</t>
  </si>
  <si>
    <t>TX-000202</t>
  </si>
  <si>
    <t>13:33:26</t>
  </si>
  <si>
    <t>TX-000198</t>
  </si>
  <si>
    <t>15:14:47</t>
  </si>
  <si>
    <t>TX-000200</t>
  </si>
  <si>
    <t>15:57:01</t>
  </si>
  <si>
    <t>TX-000205</t>
  </si>
  <si>
    <t>06:57:51</t>
  </si>
  <si>
    <t>TX-000204</t>
  </si>
  <si>
    <t>10:14:29</t>
  </si>
  <si>
    <t>TX-000206</t>
  </si>
  <si>
    <t>11:04:28</t>
  </si>
  <si>
    <t>TX-000208</t>
  </si>
  <si>
    <t>15:12:24</t>
  </si>
  <si>
    <t>TX-000207</t>
  </si>
  <si>
    <t>15:40:27</t>
  </si>
  <si>
    <t>TX-000203</t>
  </si>
  <si>
    <t>18:39:43</t>
  </si>
  <si>
    <t>TX-000210</t>
  </si>
  <si>
    <t>07:58:38</t>
  </si>
  <si>
    <t>TX-000215</t>
  </si>
  <si>
    <t>08:58:18</t>
  </si>
  <si>
    <t>TX-000213</t>
  </si>
  <si>
    <t>10:40:06</t>
  </si>
  <si>
    <t>TX-000216</t>
  </si>
  <si>
    <t>11:12:08</t>
  </si>
  <si>
    <t>TX-000209</t>
  </si>
  <si>
    <t>15:01:53</t>
  </si>
  <si>
    <t>TX-000211</t>
  </si>
  <si>
    <t>15:49:51</t>
  </si>
  <si>
    <t>TX-000212</t>
  </si>
  <si>
    <t>17:14:40</t>
  </si>
  <si>
    <t>TX-000214</t>
  </si>
  <si>
    <t>20:02:37</t>
  </si>
  <si>
    <t>TX-001312</t>
  </si>
  <si>
    <t>11:50:50</t>
  </si>
  <si>
    <t>TX-000217</t>
  </si>
  <si>
    <t>14:53:10</t>
  </si>
  <si>
    <t>TX-000224</t>
  </si>
  <si>
    <t>16:58:39</t>
  </si>
  <si>
    <t>TX-000223</t>
  </si>
  <si>
    <t>17:06:43</t>
  </si>
  <si>
    <t>TX-000222</t>
  </si>
  <si>
    <t>17:43:47</t>
  </si>
  <si>
    <t>TX-000221</t>
  </si>
  <si>
    <t>18:00:16</t>
  </si>
  <si>
    <t>TX-000220</t>
  </si>
  <si>
    <t>18:54:51</t>
  </si>
  <si>
    <t>TX-000219</t>
  </si>
  <si>
    <t>20:04:09</t>
  </si>
  <si>
    <t>TX-000218</t>
  </si>
  <si>
    <t>21:51:18</t>
  </si>
  <si>
    <t>TX-000226</t>
  </si>
  <si>
    <t>07:19:31</t>
  </si>
  <si>
    <t>TX-000229</t>
  </si>
  <si>
    <t>09:53:31</t>
  </si>
  <si>
    <t>TX-000227</t>
  </si>
  <si>
    <t>10:24:29</t>
  </si>
  <si>
    <t>TX-000225</t>
  </si>
  <si>
    <t>15:41:26</t>
  </si>
  <si>
    <t>TX-000228</t>
  </si>
  <si>
    <t>19:37:47</t>
  </si>
  <si>
    <t>TX-000231</t>
  </si>
  <si>
    <t>09:43:23</t>
  </si>
  <si>
    <t>TX-000233</t>
  </si>
  <si>
    <t>09:54:52</t>
  </si>
  <si>
    <t>TX-000230</t>
  </si>
  <si>
    <t>12:28:28</t>
  </si>
  <si>
    <t>TX-000236</t>
  </si>
  <si>
    <t>12:37:13</t>
  </si>
  <si>
    <t>TX-000234</t>
  </si>
  <si>
    <t>12:41:40</t>
  </si>
  <si>
    <t>TX-000235</t>
  </si>
  <si>
    <t>16:15:08</t>
  </si>
  <si>
    <t>TX-000232</t>
  </si>
  <si>
    <t>17:03:25</t>
  </si>
  <si>
    <t>TX-000240</t>
  </si>
  <si>
    <t>06:11:16</t>
  </si>
  <si>
    <t>TX-000238</t>
  </si>
  <si>
    <t>09:42:55</t>
  </si>
  <si>
    <t>TX-000237</t>
  </si>
  <si>
    <t>10:08:34</t>
  </si>
  <si>
    <t>TX-000242</t>
  </si>
  <si>
    <t>17:32:37</t>
  </si>
  <si>
    <t>TX-000239</t>
  </si>
  <si>
    <t>17:50:50</t>
  </si>
  <si>
    <t>TX-000241</t>
  </si>
  <si>
    <t>19:33:07</t>
  </si>
  <si>
    <t>TX-000243</t>
  </si>
  <si>
    <t>22:19:29</t>
  </si>
  <si>
    <t>Omar H.</t>
  </si>
  <si>
    <t>TX-000246</t>
  </si>
  <si>
    <t>10:04:08</t>
  </si>
  <si>
    <t>TX-000249</t>
  </si>
  <si>
    <t>12:27:28</t>
  </si>
  <si>
    <t>Jamal R.</t>
  </si>
  <si>
    <t>TX-000247</t>
  </si>
  <si>
    <t>16:24:38</t>
  </si>
  <si>
    <t>TX-000244</t>
  </si>
  <si>
    <t>18:27:43</t>
  </si>
  <si>
    <t>TX-000245</t>
  </si>
  <si>
    <t>20:04:57</t>
  </si>
  <si>
    <t>TX-000248</t>
  </si>
  <si>
    <t>22:38:27</t>
  </si>
  <si>
    <t>TX-000256</t>
  </si>
  <si>
    <t>07:18:38</t>
  </si>
  <si>
    <t>TX-000254</t>
  </si>
  <si>
    <t>07:37:35</t>
  </si>
  <si>
    <t>TX-000255</t>
  </si>
  <si>
    <t>09:26:22</t>
  </si>
  <si>
    <t>TX-000253</t>
  </si>
  <si>
    <t>09:47:47</t>
  </si>
  <si>
    <t>TX-000251</t>
  </si>
  <si>
    <t>16:42:16</t>
  </si>
  <si>
    <t>TX-000250</t>
  </si>
  <si>
    <t>18:26:46</t>
  </si>
  <si>
    <t>TX-000252</t>
  </si>
  <si>
    <t>21:04:05</t>
  </si>
  <si>
    <t>TX-000257</t>
  </si>
  <si>
    <t>22:13:09</t>
  </si>
  <si>
    <t>TX-000263</t>
  </si>
  <si>
    <t>08:47:33</t>
  </si>
  <si>
    <t>Sarah M.</t>
  </si>
  <si>
    <t>TX-000262</t>
  </si>
  <si>
    <t>10:36:42</t>
  </si>
  <si>
    <t>TX-000260</t>
  </si>
  <si>
    <t>14:01:11</t>
  </si>
  <si>
    <t>TX-000261</t>
  </si>
  <si>
    <t>15:58:21</t>
  </si>
  <si>
    <t>TX-000258</t>
  </si>
  <si>
    <t>17:07:48</t>
  </si>
  <si>
    <t>TX-000259</t>
  </si>
  <si>
    <t>19:54:35</t>
  </si>
  <si>
    <t>TX-000271</t>
  </si>
  <si>
    <t>07:00:13</t>
  </si>
  <si>
    <t>TX-000266</t>
  </si>
  <si>
    <t>07:43:05</t>
  </si>
  <si>
    <t>TX-000265</t>
  </si>
  <si>
    <t>08:56:03</t>
  </si>
  <si>
    <t>TX-000269</t>
  </si>
  <si>
    <t>09:18:43</t>
  </si>
  <si>
    <t>TX-000268</t>
  </si>
  <si>
    <t>12:48:32</t>
  </si>
  <si>
    <t>TX-001313</t>
  </si>
  <si>
    <t>13:05:26</t>
  </si>
  <si>
    <t>TX-000270</t>
  </si>
  <si>
    <t>15:02:14</t>
  </si>
  <si>
    <t>TX-000272</t>
  </si>
  <si>
    <t>15:20:07</t>
  </si>
  <si>
    <t>TX-000264</t>
  </si>
  <si>
    <t>17:19:46</t>
  </si>
  <si>
    <t>TX-000273</t>
  </si>
  <si>
    <t>19:11:08</t>
  </si>
  <si>
    <t>TX-000267</t>
  </si>
  <si>
    <t>19:31:38</t>
  </si>
  <si>
    <t>TX-000275</t>
  </si>
  <si>
    <t>07:27:01</t>
  </si>
  <si>
    <t>TX-000282</t>
  </si>
  <si>
    <t>09:33:32</t>
  </si>
  <si>
    <t>TX-000278</t>
  </si>
  <si>
    <t>16:10:51</t>
  </si>
  <si>
    <t>TX-000281</t>
  </si>
  <si>
    <t>16:14:21</t>
  </si>
  <si>
    <t>TX-000276</t>
  </si>
  <si>
    <t>16:36:27</t>
  </si>
  <si>
    <t>TX-000279</t>
  </si>
  <si>
    <t>17:05:27</t>
  </si>
  <si>
    <t>TX-000280</t>
  </si>
  <si>
    <t>18:33:05</t>
  </si>
  <si>
    <t>TX-000277</t>
  </si>
  <si>
    <t>19:18:07</t>
  </si>
  <si>
    <t>TX-000274</t>
  </si>
  <si>
    <t>22:35:53</t>
  </si>
  <si>
    <t>TX-000288</t>
  </si>
  <si>
    <t>07:22:32</t>
  </si>
  <si>
    <t>TX-000287</t>
  </si>
  <si>
    <t>08:30:28</t>
  </si>
  <si>
    <t>TX-000283</t>
  </si>
  <si>
    <t>10:15:06</t>
  </si>
  <si>
    <t>TX-000284</t>
  </si>
  <si>
    <t>11:38:09</t>
  </si>
  <si>
    <t>TX-000289</t>
  </si>
  <si>
    <t>15:04:41</t>
  </si>
  <si>
    <t>TX-000286</t>
  </si>
  <si>
    <t>16:55:40</t>
  </si>
  <si>
    <t>TX-000285</t>
  </si>
  <si>
    <t>21:29:48</t>
  </si>
  <si>
    <t>TX-000293</t>
  </si>
  <si>
    <t>07:15:45</t>
  </si>
  <si>
    <t>TX-000290</t>
  </si>
  <si>
    <t>07:28:58</t>
  </si>
  <si>
    <t>TX-000296</t>
  </si>
  <si>
    <t>16:04:21</t>
  </si>
  <si>
    <t>TX-000295</t>
  </si>
  <si>
    <t>16:43:38</t>
  </si>
  <si>
    <t>TX-000292</t>
  </si>
  <si>
    <t>16:45:05</t>
  </si>
  <si>
    <t>TX-000291</t>
  </si>
  <si>
    <t>21:32:09</t>
  </si>
  <si>
    <t>TX-000294</t>
  </si>
  <si>
    <t>22:33:39</t>
  </si>
  <si>
    <t>TX-000298</t>
  </si>
  <si>
    <t>10:58:22</t>
  </si>
  <si>
    <t>TX-000297</t>
  </si>
  <si>
    <t>15:16:46</t>
  </si>
  <si>
    <t>TX-000299</t>
  </si>
  <si>
    <t>18:08:38</t>
  </si>
  <si>
    <t>TX-000300</t>
  </si>
  <si>
    <t>18:41:50</t>
  </si>
  <si>
    <t>TX-000301</t>
  </si>
  <si>
    <t>22:05:41</t>
  </si>
  <si>
    <t>TX-000304</t>
  </si>
  <si>
    <t>09:32:49</t>
  </si>
  <si>
    <t>TX-000303</t>
  </si>
  <si>
    <t>10:09:04</t>
  </si>
  <si>
    <t>TX-000306</t>
  </si>
  <si>
    <t>10:38:24</t>
  </si>
  <si>
    <t>TX-000307</t>
  </si>
  <si>
    <t>11:46:28</t>
  </si>
  <si>
    <t>TX-000302</t>
  </si>
  <si>
    <t>12:21:49</t>
  </si>
  <si>
    <t>TX-001314</t>
  </si>
  <si>
    <t>12:37:30</t>
  </si>
  <si>
    <t>TX-000308</t>
  </si>
  <si>
    <t>13:28:39</t>
  </si>
  <si>
    <t>TX-000305</t>
  </si>
  <si>
    <t>22:02:42</t>
  </si>
  <si>
    <t>TX-000313</t>
  </si>
  <si>
    <t>07:41:30</t>
  </si>
  <si>
    <t>TX-000314</t>
  </si>
  <si>
    <t>09:45:54</t>
  </si>
  <si>
    <t>TX-000312</t>
  </si>
  <si>
    <t>11:52:12</t>
  </si>
  <si>
    <t>TX-000310</t>
  </si>
  <si>
    <t>12:23:43</t>
  </si>
  <si>
    <t>TX-000309</t>
  </si>
  <si>
    <t>13:19:51</t>
  </si>
  <si>
    <t>TX-000315</t>
  </si>
  <si>
    <t>15:05:48</t>
  </si>
  <si>
    <t>TX-000311</t>
  </si>
  <si>
    <t>15:49:24</t>
  </si>
  <si>
    <t>TX-000316</t>
  </si>
  <si>
    <t>19:05:58</t>
  </si>
  <si>
    <t>TX-001298</t>
  </si>
  <si>
    <t>22:07:04</t>
  </si>
  <si>
    <t>TX-000322</t>
  </si>
  <si>
    <t>06:57:05</t>
  </si>
  <si>
    <t>TX-000319</t>
  </si>
  <si>
    <t>09:53:45</t>
  </si>
  <si>
    <t>TX-000320</t>
  </si>
  <si>
    <t>10:02:18</t>
  </si>
  <si>
    <t>TX-000323</t>
  </si>
  <si>
    <t>10:35:46</t>
  </si>
  <si>
    <t>TX-000321</t>
  </si>
  <si>
    <t>10:48:45</t>
  </si>
  <si>
    <t>TX-000324</t>
  </si>
  <si>
    <t>15:15:19</t>
  </si>
  <si>
    <t>TX-000318</t>
  </si>
  <si>
    <t>18:05:23</t>
  </si>
  <si>
    <t>TX-000317</t>
  </si>
  <si>
    <t>19:03:25</t>
  </si>
  <si>
    <t>TX-000325</t>
  </si>
  <si>
    <t>20:04:07</t>
  </si>
  <si>
    <t>TX-000332</t>
  </si>
  <si>
    <t>06:22:50</t>
  </si>
  <si>
    <t>TX-000327</t>
  </si>
  <si>
    <t>06:39:22</t>
  </si>
  <si>
    <t>TX-000331</t>
  </si>
  <si>
    <t>07:40:24</t>
  </si>
  <si>
    <t>TX-000333</t>
  </si>
  <si>
    <t>09:49:37</t>
  </si>
  <si>
    <t>TX-000328</t>
  </si>
  <si>
    <t>11:42:42</t>
  </si>
  <si>
    <t>TX-000329</t>
  </si>
  <si>
    <t>17:04:33</t>
  </si>
  <si>
    <t>TX-000330</t>
  </si>
  <si>
    <t>22:35:01</t>
  </si>
  <si>
    <t>TX-000326</t>
  </si>
  <si>
    <t>22:36:15</t>
  </si>
  <si>
    <t>TX-000334</t>
  </si>
  <si>
    <t>11:53:49</t>
  </si>
  <si>
    <t>TX-000337</t>
  </si>
  <si>
    <t>12:56:02</t>
  </si>
  <si>
    <t>TX-000336</t>
  </si>
  <si>
    <t>20:02:18</t>
  </si>
  <si>
    <t>TX-000335</t>
  </si>
  <si>
    <t>21:40:11</t>
  </si>
  <si>
    <t>TX-000338</t>
  </si>
  <si>
    <t>22:25:52</t>
  </si>
  <si>
    <t>TX-000339</t>
  </si>
  <si>
    <t>07:55:41</t>
  </si>
  <si>
    <t>TX-000343</t>
  </si>
  <si>
    <t>08:46:27</t>
  </si>
  <si>
    <t>TX-000344</t>
  </si>
  <si>
    <t>11:34:18</t>
  </si>
  <si>
    <t>TX-000340</t>
  </si>
  <si>
    <t>17:27:56</t>
  </si>
  <si>
    <t>TX-000342</t>
  </si>
  <si>
    <t>17:59:51</t>
  </si>
  <si>
    <t>TX-000341</t>
  </si>
  <si>
    <t>18:21:11</t>
  </si>
  <si>
    <t>TX-000345</t>
  </si>
  <si>
    <t>20:38:45</t>
  </si>
  <si>
    <t>TX-000347</t>
  </si>
  <si>
    <t>07:04:42</t>
  </si>
  <si>
    <t>TX-000350</t>
  </si>
  <si>
    <t>07:38:09</t>
  </si>
  <si>
    <t>TX-000349</t>
  </si>
  <si>
    <t>08:15:49</t>
  </si>
  <si>
    <t>TX-000348</t>
  </si>
  <si>
    <t>11:01:09</t>
  </si>
  <si>
    <t>TX-000353</t>
  </si>
  <si>
    <t>13:07:01</t>
  </si>
  <si>
    <t>TX-000351</t>
  </si>
  <si>
    <t>17:28:48</t>
  </si>
  <si>
    <t>TX-000346</t>
  </si>
  <si>
    <t>17:39:27</t>
  </si>
  <si>
    <t>TX-000352</t>
  </si>
  <si>
    <t>22:23:25</t>
  </si>
  <si>
    <t>TX-000358</t>
  </si>
  <si>
    <t>08:35:34</t>
  </si>
  <si>
    <t>TX-000362</t>
  </si>
  <si>
    <t>10:39:56</t>
  </si>
  <si>
    <t>TX-000356</t>
  </si>
  <si>
    <t>10:54:04</t>
  </si>
  <si>
    <t>TX-000359</t>
  </si>
  <si>
    <t>11:45:45</t>
  </si>
  <si>
    <t>TX-000361</t>
  </si>
  <si>
    <t>13:50:31</t>
  </si>
  <si>
    <t>TX-001315</t>
  </si>
  <si>
    <t>14:00:46</t>
  </si>
  <si>
    <t>TX-000354</t>
  </si>
  <si>
    <t>14:45:28</t>
  </si>
  <si>
    <t>TX-000355</t>
  </si>
  <si>
    <t>15:44:58</t>
  </si>
  <si>
    <t>TX-000363</t>
  </si>
  <si>
    <t>18:45:46</t>
  </si>
  <si>
    <t>TX-000357</t>
  </si>
  <si>
    <t>20:05:51</t>
  </si>
  <si>
    <t>TX-000360</t>
  </si>
  <si>
    <t>22:14:07</t>
  </si>
  <si>
    <t>TX-000368</t>
  </si>
  <si>
    <t>07:53:07</t>
  </si>
  <si>
    <t>TX-000372</t>
  </si>
  <si>
    <t>10:10:42</t>
  </si>
  <si>
    <t>TX-000369</t>
  </si>
  <si>
    <t>11:10:20</t>
  </si>
  <si>
    <t>TX-000367</t>
  </si>
  <si>
    <t>11:49:08</t>
  </si>
  <si>
    <t>TX-000371</t>
  </si>
  <si>
    <t>14:08:40</t>
  </si>
  <si>
    <t>TX-000365</t>
  </si>
  <si>
    <t>16:41:04</t>
  </si>
  <si>
    <t>TX-000364</t>
  </si>
  <si>
    <t>19:52:36</t>
  </si>
  <si>
    <t>TX-000366</t>
  </si>
  <si>
    <t>22:22:08</t>
  </si>
  <si>
    <t>TX-000370</t>
  </si>
  <si>
    <t>22:57:18</t>
  </si>
  <si>
    <t>TX-000373</t>
  </si>
  <si>
    <t>06:05:02</t>
  </si>
  <si>
    <t>TX-000380</t>
  </si>
  <si>
    <t>09:20:15</t>
  </si>
  <si>
    <t>TX-000377</t>
  </si>
  <si>
    <t>11:28:26</t>
  </si>
  <si>
    <t>TX-000375</t>
  </si>
  <si>
    <t>15:41:19</t>
  </si>
  <si>
    <t>TX-000378</t>
  </si>
  <si>
    <t>16:38:09</t>
  </si>
  <si>
    <t>TX-000379</t>
  </si>
  <si>
    <t>16:46:55</t>
  </si>
  <si>
    <t>TX-000376</t>
  </si>
  <si>
    <t>18:19:29</t>
  </si>
  <si>
    <t>TX-000374</t>
  </si>
  <si>
    <t>19:39:40</t>
  </si>
  <si>
    <t>TX-000385</t>
  </si>
  <si>
    <t>08:25:32</t>
  </si>
  <si>
    <t>TX-000381</t>
  </si>
  <si>
    <t>09:03:18</t>
  </si>
  <si>
    <t>TX-000386</t>
  </si>
  <si>
    <t>12:37:22</t>
  </si>
  <si>
    <t>TX-000383</t>
  </si>
  <si>
    <t>16:12:48</t>
  </si>
  <si>
    <t>TX-000382</t>
  </si>
  <si>
    <t>19:15:55</t>
  </si>
  <si>
    <t>TX-000387</t>
  </si>
  <si>
    <t>21:38:56</t>
  </si>
  <si>
    <t>TX-000384</t>
  </si>
  <si>
    <t>22:29:31</t>
  </si>
  <si>
    <t>TX-000392</t>
  </si>
  <si>
    <t>09:08:06</t>
  </si>
  <si>
    <t>TX-000388</t>
  </si>
  <si>
    <t>09:27:08</t>
  </si>
  <si>
    <t>TX-000390</t>
  </si>
  <si>
    <t>12:23:35</t>
  </si>
  <si>
    <t>TX-000393</t>
  </si>
  <si>
    <t>16:35:23</t>
  </si>
  <si>
    <t>TX-000389</t>
  </si>
  <si>
    <t>18:23:02</t>
  </si>
  <si>
    <t>TX-000395</t>
  </si>
  <si>
    <t>21:33:29</t>
  </si>
  <si>
    <t>TX-000394</t>
  </si>
  <si>
    <t>22:25:32</t>
  </si>
  <si>
    <t>TX-000391</t>
  </si>
  <si>
    <t>22:28:48</t>
  </si>
  <si>
    <t>TX-000400</t>
  </si>
  <si>
    <t>06:38:30</t>
  </si>
  <si>
    <t>TX-000399</t>
  </si>
  <si>
    <t>09:26:37</t>
  </si>
  <si>
    <t>TX-000401</t>
  </si>
  <si>
    <t>13:46:03</t>
  </si>
  <si>
    <t>TX-000398</t>
  </si>
  <si>
    <t>15:30:52</t>
  </si>
  <si>
    <t>TX-000396</t>
  </si>
  <si>
    <t>16:10:25</t>
  </si>
  <si>
    <t>TX-000397</t>
  </si>
  <si>
    <t>22:53:32</t>
  </si>
  <si>
    <t>TX-000405</t>
  </si>
  <si>
    <t>07:45:08</t>
  </si>
  <si>
    <t>TX-000407</t>
  </si>
  <si>
    <t>11:29:58</t>
  </si>
  <si>
    <t>TX-000409</t>
  </si>
  <si>
    <t>12:15:17</t>
  </si>
  <si>
    <t>TX-000404</t>
  </si>
  <si>
    <t>12:26:32</t>
  </si>
  <si>
    <t>TX-000402</t>
  </si>
  <si>
    <t>13:02:36</t>
  </si>
  <si>
    <t>TX-000406</t>
  </si>
  <si>
    <t>16:42:30</t>
  </si>
  <si>
    <t>TX-000408</t>
  </si>
  <si>
    <t>17:43:49</t>
  </si>
  <si>
    <t>TX-000403</t>
  </si>
  <si>
    <t>20:20:26</t>
  </si>
  <si>
    <t>TX-000416</t>
  </si>
  <si>
    <t>13:15:03</t>
  </si>
  <si>
    <t>TX-000411</t>
  </si>
  <si>
    <t>14:18:07</t>
  </si>
  <si>
    <t>TX-000414</t>
  </si>
  <si>
    <t>14:47:30</t>
  </si>
  <si>
    <t>TX-000415</t>
  </si>
  <si>
    <t>14:59:35</t>
  </si>
  <si>
    <t>TX-000413</t>
  </si>
  <si>
    <t>15:45:05</t>
  </si>
  <si>
    <t>TX-000412</t>
  </si>
  <si>
    <t>18:52:22</t>
  </si>
  <si>
    <t>TX-001299</t>
  </si>
  <si>
    <t>20:37:37</t>
  </si>
  <si>
    <t>TX-000410</t>
  </si>
  <si>
    <t>21:20:30</t>
  </si>
  <si>
    <t>TX-000422</t>
  </si>
  <si>
    <t>07:58:58</t>
  </si>
  <si>
    <t>TX-000421</t>
  </si>
  <si>
    <t>08:41:36</t>
  </si>
  <si>
    <t>TX-000418</t>
  </si>
  <si>
    <t>10:00:35</t>
  </si>
  <si>
    <t>TX-000420</t>
  </si>
  <si>
    <t>15:20:18</t>
  </si>
  <si>
    <t>TX-000417</t>
  </si>
  <si>
    <t>16:45:30</t>
  </si>
  <si>
    <t>TX-000423</t>
  </si>
  <si>
    <t>18:50:31</t>
  </si>
  <si>
    <t>TX-000419</t>
  </si>
  <si>
    <t>21:30:41</t>
  </si>
  <si>
    <t>TX-000431</t>
  </si>
  <si>
    <t>06:16:24</t>
  </si>
  <si>
    <t>TX-000424</t>
  </si>
  <si>
    <t>09:59:21</t>
  </si>
  <si>
    <t>TX-000428</t>
  </si>
  <si>
    <t>16:50:18</t>
  </si>
  <si>
    <t>TX-000430</t>
  </si>
  <si>
    <t>18:42:06</t>
  </si>
  <si>
    <t>TX-000429</t>
  </si>
  <si>
    <t>18:52:27</t>
  </si>
  <si>
    <t>TX-000426</t>
  </si>
  <si>
    <t>20:17:12</t>
  </si>
  <si>
    <t>TX-000427</t>
  </si>
  <si>
    <t>20:41:16</t>
  </si>
  <si>
    <t>TX-000425</t>
  </si>
  <si>
    <t>22:31:56</t>
  </si>
  <si>
    <t>TX-000432</t>
  </si>
  <si>
    <t>06:16:41</t>
  </si>
  <si>
    <t>TX-000433</t>
  </si>
  <si>
    <t>07:42:07</t>
  </si>
  <si>
    <t>TX-000436</t>
  </si>
  <si>
    <t>10:30:09</t>
  </si>
  <si>
    <t>TX-000438</t>
  </si>
  <si>
    <t>12:48:15</t>
  </si>
  <si>
    <t>TX-000435</t>
  </si>
  <si>
    <t>15:23:39</t>
  </si>
  <si>
    <t>TX-000437</t>
  </si>
  <si>
    <t>17:26:44</t>
  </si>
  <si>
    <t>TX-000434</t>
  </si>
  <si>
    <t>18:43:32</t>
  </si>
  <si>
    <t>TX-000444</t>
  </si>
  <si>
    <t>07:35:29</t>
  </si>
  <si>
    <t>TX-000442</t>
  </si>
  <si>
    <t>12:45:37</t>
  </si>
  <si>
    <t>TX-000441</t>
  </si>
  <si>
    <t>16:54:33</t>
  </si>
  <si>
    <t>TX-000439</t>
  </si>
  <si>
    <t>17:04:58</t>
  </si>
  <si>
    <t>TX-001316</t>
  </si>
  <si>
    <t>19:47:55</t>
  </si>
  <si>
    <t>TX-000440</t>
  </si>
  <si>
    <t>22:12:36</t>
  </si>
  <si>
    <t>TX-000443</t>
  </si>
  <si>
    <t>22:28:51</t>
  </si>
  <si>
    <t>TX-000445</t>
  </si>
  <si>
    <t>06:47:13</t>
  </si>
  <si>
    <t>TX-000447</t>
  </si>
  <si>
    <t>08:59:30</t>
  </si>
  <si>
    <t>TX-000450</t>
  </si>
  <si>
    <t>10:41:55</t>
  </si>
  <si>
    <t>TX-000448</t>
  </si>
  <si>
    <t>TX-000446</t>
  </si>
  <si>
    <t>17:44:04</t>
  </si>
  <si>
    <t>TX-000449</t>
  </si>
  <si>
    <t>18:28:55</t>
  </si>
  <si>
    <t>TX-000451</t>
  </si>
  <si>
    <t>18:33:08</t>
  </si>
  <si>
    <t>TX-000456</t>
  </si>
  <si>
    <t>08:06:38</t>
  </si>
  <si>
    <t>TX-000454</t>
  </si>
  <si>
    <t>10:17:12</t>
  </si>
  <si>
    <t>TX-000457</t>
  </si>
  <si>
    <t>13:47:02</t>
  </si>
  <si>
    <t>TX-000453</t>
  </si>
  <si>
    <t>18:52:14</t>
  </si>
  <si>
    <t>TX-000455</t>
  </si>
  <si>
    <t>19:39:49</t>
  </si>
  <si>
    <t>TX-000452</t>
  </si>
  <si>
    <t>20:43:46</t>
  </si>
  <si>
    <t>TX-000458</t>
  </si>
  <si>
    <t>TX-000460</t>
  </si>
  <si>
    <t>10:42:33</t>
  </si>
  <si>
    <t>TX-000464</t>
  </si>
  <si>
    <t>11:48:34</t>
  </si>
  <si>
    <t>TX-000461</t>
  </si>
  <si>
    <t>14:03:35</t>
  </si>
  <si>
    <t>TX-000459</t>
  </si>
  <si>
    <t>16:36:38</t>
  </si>
  <si>
    <t>TX-000463</t>
  </si>
  <si>
    <t>18:50:33</t>
  </si>
  <si>
    <t>TX-000462</t>
  </si>
  <si>
    <t>19:35:31</t>
  </si>
  <si>
    <t>TX-000465</t>
  </si>
  <si>
    <t>10:51:29</t>
  </si>
  <si>
    <t>TX-000470</t>
  </si>
  <si>
    <t>12:51:48</t>
  </si>
  <si>
    <t>TX-000467</t>
  </si>
  <si>
    <t>14:13:21</t>
  </si>
  <si>
    <t>TX-000468</t>
  </si>
  <si>
    <t>17:05:34</t>
  </si>
  <si>
    <t>TX-000469</t>
  </si>
  <si>
    <t>18:43:38</t>
  </si>
  <si>
    <t>TX-000466</t>
  </si>
  <si>
    <t>19:35:33</t>
  </si>
  <si>
    <t>TX-001317</t>
  </si>
  <si>
    <t>19:37:14</t>
  </si>
  <si>
    <t>TX-000473</t>
  </si>
  <si>
    <t>12:25:58</t>
  </si>
  <si>
    <t>TX-000472</t>
  </si>
  <si>
    <t>12:47:07</t>
  </si>
  <si>
    <t>TX-000475</t>
  </si>
  <si>
    <t>15:16:23</t>
  </si>
  <si>
    <t>TX-000474</t>
  </si>
  <si>
    <t>15:24:29</t>
  </si>
  <si>
    <t>TX-000471</t>
  </si>
  <si>
    <t>16:19:58</t>
  </si>
  <si>
    <t>TX-000476</t>
  </si>
  <si>
    <t>20:06:51</t>
  </si>
  <si>
    <t>TX-000478</t>
  </si>
  <si>
    <t>06:16:35</t>
  </si>
  <si>
    <t>TX-000483</t>
  </si>
  <si>
    <t>07:33:02</t>
  </si>
  <si>
    <t>TX-000484</t>
  </si>
  <si>
    <t>07:48:00</t>
  </si>
  <si>
    <t>TX-000479</t>
  </si>
  <si>
    <t>12:21:14</t>
  </si>
  <si>
    <t>TX-000480</t>
  </si>
  <si>
    <t>13:31:35</t>
  </si>
  <si>
    <t>TX-000482</t>
  </si>
  <si>
    <t>17:10:08</t>
  </si>
  <si>
    <t>TX-000477</t>
  </si>
  <si>
    <t>19:02:36</t>
  </si>
  <si>
    <t>TX-000481</t>
  </si>
  <si>
    <t>21:46:41</t>
  </si>
  <si>
    <t>TX-000490</t>
  </si>
  <si>
    <t>11:06:58</t>
  </si>
  <si>
    <t>TX-000485</t>
  </si>
  <si>
    <t>13:04:45</t>
  </si>
  <si>
    <t>TX-000491</t>
  </si>
  <si>
    <t>13:12:39</t>
  </si>
  <si>
    <t>TX-000493</t>
  </si>
  <si>
    <t>13:44:14</t>
  </si>
  <si>
    <t>TX-000489</t>
  </si>
  <si>
    <t>15:01:32</t>
  </si>
  <si>
    <t>TX-000492</t>
  </si>
  <si>
    <t>17:17:50</t>
  </si>
  <si>
    <t>TX-000488</t>
  </si>
  <si>
    <t>19:00:01</t>
  </si>
  <si>
    <t>TX-000487</t>
  </si>
  <si>
    <t>21:42:31</t>
  </si>
  <si>
    <t>TX-000486</t>
  </si>
  <si>
    <t>22:29:23</t>
  </si>
  <si>
    <t>TX-000495</t>
  </si>
  <si>
    <t>06:44:10</t>
  </si>
  <si>
    <t>TX-000497</t>
  </si>
  <si>
    <t>09:57:33</t>
  </si>
  <si>
    <t>TX-000494</t>
  </si>
  <si>
    <t>18:24:35</t>
  </si>
  <si>
    <t>TX-000496</t>
  </si>
  <si>
    <t>19:41:50</t>
  </si>
  <si>
    <t>TX-000498</t>
  </si>
  <si>
    <t>21:17:02</t>
  </si>
  <si>
    <t>TX-000499</t>
  </si>
  <si>
    <t>07:11:59</t>
  </si>
  <si>
    <t>TX-000505</t>
  </si>
  <si>
    <t>08:21:38</t>
  </si>
  <si>
    <t>TX-000503</t>
  </si>
  <si>
    <t>10:50:44</t>
  </si>
  <si>
    <t>TX-000500</t>
  </si>
  <si>
    <t>12:37:09</t>
  </si>
  <si>
    <t>TX-000501</t>
  </si>
  <si>
    <t>15:10:36</t>
  </si>
  <si>
    <t>TX-000504</t>
  </si>
  <si>
    <t>17:03:06</t>
  </si>
  <si>
    <t>TX-000502</t>
  </si>
  <si>
    <t>18:43:57</t>
  </si>
  <si>
    <t>TX-000512</t>
  </si>
  <si>
    <t>08:11:27</t>
  </si>
  <si>
    <t>TX-000509</t>
  </si>
  <si>
    <t>10:24:45</t>
  </si>
  <si>
    <t>TX-000506</t>
  </si>
  <si>
    <t>14:50:28</t>
  </si>
  <si>
    <t>TX-000511</t>
  </si>
  <si>
    <t>15:28:23</t>
  </si>
  <si>
    <t>TX-000508</t>
  </si>
  <si>
    <t>15:51:15</t>
  </si>
  <si>
    <t>TX-000510</t>
  </si>
  <si>
    <t>16:23:06</t>
  </si>
  <si>
    <t>TX-000514</t>
  </si>
  <si>
    <t>16:55:24</t>
  </si>
  <si>
    <t>TX-000507</t>
  </si>
  <si>
    <t>18:27:11</t>
  </si>
  <si>
    <t>TX-000515</t>
  </si>
  <si>
    <t>18:49:05</t>
  </si>
  <si>
    <t>TX-000513</t>
  </si>
  <si>
    <t>22:26:06</t>
  </si>
  <si>
    <t>TX-000520</t>
  </si>
  <si>
    <t>12:29:06</t>
  </si>
  <si>
    <t>TX-000519</t>
  </si>
  <si>
    <t>13:46:40</t>
  </si>
  <si>
    <t>TX-000516</t>
  </si>
  <si>
    <t>18:10:08</t>
  </si>
  <si>
    <t>TX-000521</t>
  </si>
  <si>
    <t>18:21:53</t>
  </si>
  <si>
    <t>TX-000518</t>
  </si>
  <si>
    <t>19:19:30</t>
  </si>
  <si>
    <t>TX-000517</t>
  </si>
  <si>
    <t>21:09:04</t>
  </si>
  <si>
    <t>TX-001318</t>
  </si>
  <si>
    <t>06:26:02</t>
  </si>
  <si>
    <t>TX-000527</t>
  </si>
  <si>
    <t>06:46:29</t>
  </si>
  <si>
    <t>TX-000522</t>
  </si>
  <si>
    <t>10:19:20</t>
  </si>
  <si>
    <t>TX-000523</t>
  </si>
  <si>
    <t>11:25:20</t>
  </si>
  <si>
    <t>TX-000526</t>
  </si>
  <si>
    <t>12:37:34</t>
  </si>
  <si>
    <t>TX-000525</t>
  </si>
  <si>
    <t>14:52:50</t>
  </si>
  <si>
    <t>TX-000528</t>
  </si>
  <si>
    <t>15:53:44</t>
  </si>
  <si>
    <t>TX-000529</t>
  </si>
  <si>
    <t>21:08:40</t>
  </si>
  <si>
    <t>TX-000524</t>
  </si>
  <si>
    <t>21:36:50</t>
  </si>
  <si>
    <t>TX-000533</t>
  </si>
  <si>
    <t>08:06:49</t>
  </si>
  <si>
    <t>TX-000536</t>
  </si>
  <si>
    <t>09:16:14</t>
  </si>
  <si>
    <t>TX-001300</t>
  </si>
  <si>
    <t>12:47:43</t>
  </si>
  <si>
    <t>TX-000534</t>
  </si>
  <si>
    <t>17:10:41</t>
  </si>
  <si>
    <t>TX-000532</t>
  </si>
  <si>
    <t>17:44:57</t>
  </si>
  <si>
    <t>TX-000530</t>
  </si>
  <si>
    <t>18:04:28</t>
  </si>
  <si>
    <t>TX-000535</t>
  </si>
  <si>
    <t>18:48:21</t>
  </si>
  <si>
    <t>TX-000531</t>
  </si>
  <si>
    <t>22:59:58</t>
  </si>
  <si>
    <t>TX-000538</t>
  </si>
  <si>
    <t>06:30:06</t>
  </si>
  <si>
    <t>TX-000539</t>
  </si>
  <si>
    <t>08:07:53</t>
  </si>
  <si>
    <t>TX-000540</t>
  </si>
  <si>
    <t>16:29:50</t>
  </si>
  <si>
    <t>TX-000543</t>
  </si>
  <si>
    <t>16:41:06</t>
  </si>
  <si>
    <t>TX-000541</t>
  </si>
  <si>
    <t>17:30:06</t>
  </si>
  <si>
    <t>TX-000542</t>
  </si>
  <si>
    <t>20:20:04</t>
  </si>
  <si>
    <t>TX-000537</t>
  </si>
  <si>
    <t>20:49:43</t>
  </si>
  <si>
    <t>TX-000548</t>
  </si>
  <si>
    <t>08:36:06</t>
  </si>
  <si>
    <t>TX-000544</t>
  </si>
  <si>
    <t>11:21:35</t>
  </si>
  <si>
    <t>TX-000545</t>
  </si>
  <si>
    <t>13:51:25</t>
  </si>
  <si>
    <t>TX-000549</t>
  </si>
  <si>
    <t>16:12:29</t>
  </si>
  <si>
    <t>TX-000550</t>
  </si>
  <si>
    <t>16:38:24</t>
  </si>
  <si>
    <t>TX-000547</t>
  </si>
  <si>
    <t>19:24:00</t>
  </si>
  <si>
    <t>TX-000546</t>
  </si>
  <si>
    <t>19:25:01</t>
  </si>
  <si>
    <t>TX-000552</t>
  </si>
  <si>
    <t>08:43:08</t>
  </si>
  <si>
    <t>TX-000553</t>
  </si>
  <si>
    <t>15:07:11</t>
  </si>
  <si>
    <t>TX-000555</t>
  </si>
  <si>
    <t>19:11:31</t>
  </si>
  <si>
    <t>TX-000551</t>
  </si>
  <si>
    <t>20:39:11</t>
  </si>
  <si>
    <t>TX-001319</t>
  </si>
  <si>
    <t>21:46:49</t>
  </si>
  <si>
    <t>TX-000554</t>
  </si>
  <si>
    <t>22:24:26</t>
  </si>
  <si>
    <t>TX-000557</t>
  </si>
  <si>
    <t>07:55:22</t>
  </si>
  <si>
    <t>TX-000558</t>
  </si>
  <si>
    <t>12:52:24</t>
  </si>
  <si>
    <t>TX-000561</t>
  </si>
  <si>
    <t>13:18:02</t>
  </si>
  <si>
    <t>TX-000556</t>
  </si>
  <si>
    <t>15:08:11</t>
  </si>
  <si>
    <t>TX-000560</t>
  </si>
  <si>
    <t>20:31:10</t>
  </si>
  <si>
    <t>TX-000559</t>
  </si>
  <si>
    <t>21:26:43</t>
  </si>
  <si>
    <t>TX-000562</t>
  </si>
  <si>
    <t>21:35:32</t>
  </si>
  <si>
    <t>TX-000567</t>
  </si>
  <si>
    <t>09:49:51</t>
  </si>
  <si>
    <t>TX-000565</t>
  </si>
  <si>
    <t>13:19:55</t>
  </si>
  <si>
    <t>TX-000563</t>
  </si>
  <si>
    <t>17:34:52</t>
  </si>
  <si>
    <t>TX-000566</t>
  </si>
  <si>
    <t>17:55:52</t>
  </si>
  <si>
    <t>TX-000568</t>
  </si>
  <si>
    <t>19:10:39</t>
  </si>
  <si>
    <t>TX-000564</t>
  </si>
  <si>
    <t>20:34:13</t>
  </si>
  <si>
    <t>TX-000573</t>
  </si>
  <si>
    <t>10:44:55</t>
  </si>
  <si>
    <t>TX-000570</t>
  </si>
  <si>
    <t>15:18:36</t>
  </si>
  <si>
    <t>TX-000574</t>
  </si>
  <si>
    <t>16:53:15</t>
  </si>
  <si>
    <t>TX-000569</t>
  </si>
  <si>
    <t>17:34:17</t>
  </si>
  <si>
    <t>TX-000572</t>
  </si>
  <si>
    <t>19:58:03</t>
  </si>
  <si>
    <t>TX-000571</t>
  </si>
  <si>
    <t>22:57:43</t>
  </si>
  <si>
    <t>TX-000582</t>
  </si>
  <si>
    <t>07:02:06</t>
  </si>
  <si>
    <t>TX-000576</t>
  </si>
  <si>
    <t>TX-000578</t>
  </si>
  <si>
    <t>08:46:29</t>
  </si>
  <si>
    <t>TX-000581</t>
  </si>
  <si>
    <t>10:36:54</t>
  </si>
  <si>
    <t>TX-000575</t>
  </si>
  <si>
    <t>14:40:26</t>
  </si>
  <si>
    <t>TX-000580</t>
  </si>
  <si>
    <t>16:53:18</t>
  </si>
  <si>
    <t>TX-000577</t>
  </si>
  <si>
    <t>17:29:31</t>
  </si>
  <si>
    <t>TX-000579</t>
  </si>
  <si>
    <t>18:13:27</t>
  </si>
  <si>
    <t>TX-000587</t>
  </si>
  <si>
    <t>11:03:25</t>
  </si>
  <si>
    <t>TX-000583</t>
  </si>
  <si>
    <t>11:28:29</t>
  </si>
  <si>
    <t>TX-000585</t>
  </si>
  <si>
    <t>15:10:55</t>
  </si>
  <si>
    <t>TX-000586</t>
  </si>
  <si>
    <t>17:16:05</t>
  </si>
  <si>
    <t>TX-000584</t>
  </si>
  <si>
    <t>19:12:44</t>
  </si>
  <si>
    <t>TX-000588</t>
  </si>
  <si>
    <t>09:00:13</t>
  </si>
  <si>
    <t>TX-000592</t>
  </si>
  <si>
    <t>09:06:20</t>
  </si>
  <si>
    <t>TX-000593</t>
  </si>
  <si>
    <t>10:24:49</t>
  </si>
  <si>
    <t>TX-000589</t>
  </si>
  <si>
    <t>13:33:43</t>
  </si>
  <si>
    <t>TX-000590</t>
  </si>
  <si>
    <t>16:52:07</t>
  </si>
  <si>
    <t>TX-000591</t>
  </si>
  <si>
    <t>21:04:14</t>
  </si>
  <si>
    <t>TX-000594</t>
  </si>
  <si>
    <t>06:39:41</t>
  </si>
  <si>
    <t>TX-000599</t>
  </si>
  <si>
    <t>08:15:35</t>
  </si>
  <si>
    <t>TX-000597</t>
  </si>
  <si>
    <t>10:48:07</t>
  </si>
  <si>
    <t>TX-000595</t>
  </si>
  <si>
    <t>12:40:47</t>
  </si>
  <si>
    <t>TX-000598</t>
  </si>
  <si>
    <t>19:20:50</t>
  </si>
  <si>
    <t>TX-000596</t>
  </si>
  <si>
    <t>20:55:13</t>
  </si>
  <si>
    <t>TX-000606</t>
  </si>
  <si>
    <t>08:00:16</t>
  </si>
  <si>
    <t>TX-000603</t>
  </si>
  <si>
    <t>08:33:56</t>
  </si>
  <si>
    <t>TX-000605</t>
  </si>
  <si>
    <t>11:48:30</t>
  </si>
  <si>
    <t>TX-000602</t>
  </si>
  <si>
    <t>13:31:24</t>
  </si>
  <si>
    <t>TX-000600</t>
  </si>
  <si>
    <t>15:13:33</t>
  </si>
  <si>
    <t>TX-000607</t>
  </si>
  <si>
    <t>15:40:45</t>
  </si>
  <si>
    <t>TX-000604</t>
  </si>
  <si>
    <t>16:08:24</t>
  </si>
  <si>
    <t>TX-000601</t>
  </si>
  <si>
    <t>18:18:41</t>
  </si>
  <si>
    <t>TX-000611</t>
  </si>
  <si>
    <t>08:19:44</t>
  </si>
  <si>
    <t>TX-000608</t>
  </si>
  <si>
    <t>08:40:34</t>
  </si>
  <si>
    <t>TX-000613</t>
  </si>
  <si>
    <t>09:29:39</t>
  </si>
  <si>
    <t>TX-000614</t>
  </si>
  <si>
    <t>11:07:00</t>
  </si>
  <si>
    <t>TX-000615</t>
  </si>
  <si>
    <t>11:31:22</t>
  </si>
  <si>
    <t>TX-000610</t>
  </si>
  <si>
    <t>12:51:09</t>
  </si>
  <si>
    <t>TX-000612</t>
  </si>
  <si>
    <t>13:03:15</t>
  </si>
  <si>
    <t>TX-000609</t>
  </si>
  <si>
    <t>14:05:19</t>
  </si>
  <si>
    <t>TX-000622</t>
  </si>
  <si>
    <t>06:15:02</t>
  </si>
  <si>
    <t>TX-000617</t>
  </si>
  <si>
    <t>06:21:51</t>
  </si>
  <si>
    <t>TX-000618</t>
  </si>
  <si>
    <t>08:16:45</t>
  </si>
  <si>
    <t>TX-000621</t>
  </si>
  <si>
    <t>09:14:47</t>
  </si>
  <si>
    <t>TX-000620</t>
  </si>
  <si>
    <t>11:23:10</t>
  </si>
  <si>
    <t>TX-001301</t>
  </si>
  <si>
    <t>13:49:07</t>
  </si>
  <si>
    <t>TX-000616</t>
  </si>
  <si>
    <t>14:46:56</t>
  </si>
  <si>
    <t>TX-000619</t>
  </si>
  <si>
    <t>22:23:03</t>
  </si>
  <si>
    <t>TX-000626</t>
  </si>
  <si>
    <t>07:11:14</t>
  </si>
  <si>
    <t>TX-000623</t>
  </si>
  <si>
    <t>07:35:51</t>
  </si>
  <si>
    <t>TX-000625</t>
  </si>
  <si>
    <t>08:36:23</t>
  </si>
  <si>
    <t>TX-000624</t>
  </si>
  <si>
    <t>13:26:58</t>
  </si>
  <si>
    <t>TX-000628</t>
  </si>
  <si>
    <t>15:20:05</t>
  </si>
  <si>
    <t>TX-000629</t>
  </si>
  <si>
    <t>15:36:50</t>
  </si>
  <si>
    <t>TX-000627</t>
  </si>
  <si>
    <t>18:04:56</t>
  </si>
  <si>
    <t>TX-000633</t>
  </si>
  <si>
    <t>06:48:42</t>
  </si>
  <si>
    <t>TX-000636</t>
  </si>
  <si>
    <t>08:02:58</t>
  </si>
  <si>
    <t>TX-000631</t>
  </si>
  <si>
    <t>13:09:00</t>
  </si>
  <si>
    <t>TX-000634</t>
  </si>
  <si>
    <t>15:06:13</t>
  </si>
  <si>
    <t>TX-000637</t>
  </si>
  <si>
    <t>17:29:47</t>
  </si>
  <si>
    <t>TX-000632</t>
  </si>
  <si>
    <t>17:40:53</t>
  </si>
  <si>
    <t>TX-000635</t>
  </si>
  <si>
    <t>19:31:03</t>
  </si>
  <si>
    <t>TX-000630</t>
  </si>
  <si>
    <t>21:49:49</t>
  </si>
  <si>
    <t>TX-000638</t>
  </si>
  <si>
    <t>22:08:40</t>
  </si>
  <si>
    <t>TX-000639</t>
  </si>
  <si>
    <t>07:27:42</t>
  </si>
  <si>
    <t>TX-000643</t>
  </si>
  <si>
    <t>TX-000642</t>
  </si>
  <si>
    <t>12:08:49</t>
  </si>
  <si>
    <t>TX-000645</t>
  </si>
  <si>
    <t>14:54:07</t>
  </si>
  <si>
    <t>TX-000640</t>
  </si>
  <si>
    <t>14:54:20</t>
  </si>
  <si>
    <t>TX-000646</t>
  </si>
  <si>
    <t>15:52:45</t>
  </si>
  <si>
    <t>TX-000647</t>
  </si>
  <si>
    <t>16:09:05</t>
  </si>
  <si>
    <t>TX-000641</t>
  </si>
  <si>
    <t>16:20:28</t>
  </si>
  <si>
    <t>TX-000644</t>
  </si>
  <si>
    <t>17:49:13</t>
  </si>
  <si>
    <t>TX-000648</t>
  </si>
  <si>
    <t>07:43:19</t>
  </si>
  <si>
    <t>TX-000653</t>
  </si>
  <si>
    <t>08:37:37</t>
  </si>
  <si>
    <t>TX-000651</t>
  </si>
  <si>
    <t>10:07:00</t>
  </si>
  <si>
    <t>TX-000649</t>
  </si>
  <si>
    <t>11:01:25</t>
  </si>
  <si>
    <t>TX-000654</t>
  </si>
  <si>
    <t>12:57:41</t>
  </si>
  <si>
    <t>TX-000650</t>
  </si>
  <si>
    <t>13:06:29</t>
  </si>
  <si>
    <t>TX-000652</t>
  </si>
  <si>
    <t>13:08:12</t>
  </si>
  <si>
    <t>TX-000659</t>
  </si>
  <si>
    <t>07:39:39</t>
  </si>
  <si>
    <t>TX-000658</t>
  </si>
  <si>
    <t>11:17:17</t>
  </si>
  <si>
    <t>TX-000655</t>
  </si>
  <si>
    <t>16:07:02</t>
  </si>
  <si>
    <t>TX-000661</t>
  </si>
  <si>
    <t>18:08:26</t>
  </si>
  <si>
    <t>TX-000657</t>
  </si>
  <si>
    <t>18:43:27</t>
  </si>
  <si>
    <t>TX-000656</t>
  </si>
  <si>
    <t>19:52:46</t>
  </si>
  <si>
    <t>TX-000660</t>
  </si>
  <si>
    <t>21:26:56</t>
  </si>
  <si>
    <t>TX-001320</t>
  </si>
  <si>
    <t>22:02:27</t>
  </si>
  <si>
    <t>TX-000662</t>
  </si>
  <si>
    <t>06:24:50</t>
  </si>
  <si>
    <t>TX-000665</t>
  </si>
  <si>
    <t>TX-000668</t>
  </si>
  <si>
    <t>07:48:14</t>
  </si>
  <si>
    <t>TX-000667</t>
  </si>
  <si>
    <t>09:15:42</t>
  </si>
  <si>
    <t>TX-000664</t>
  </si>
  <si>
    <t>14:11:01</t>
  </si>
  <si>
    <t>TX-000663</t>
  </si>
  <si>
    <t>21:22:58</t>
  </si>
  <si>
    <t>TX-000666</t>
  </si>
  <si>
    <t>21:33:22</t>
  </si>
  <si>
    <t>TX-000669</t>
  </si>
  <si>
    <t>11:11:15</t>
  </si>
  <si>
    <t>TX-000673</t>
  </si>
  <si>
    <t>11:31:02</t>
  </si>
  <si>
    <t>TX-000675</t>
  </si>
  <si>
    <t>12:51:08</t>
  </si>
  <si>
    <t>TX-000672</t>
  </si>
  <si>
    <t>12:53:51</t>
  </si>
  <si>
    <t>TX-000674</t>
  </si>
  <si>
    <t>13:01:33</t>
  </si>
  <si>
    <t>TX-000676</t>
  </si>
  <si>
    <t>16:03:01</t>
  </si>
  <si>
    <t>TX-000671</t>
  </si>
  <si>
    <t>17:36:36</t>
  </si>
  <si>
    <t>TX-000670</t>
  </si>
  <si>
    <t>17:58:37</t>
  </si>
  <si>
    <t>TX-000677</t>
  </si>
  <si>
    <t>22:55:23</t>
  </si>
  <si>
    <t>TX-000682</t>
  </si>
  <si>
    <t>06:44:36</t>
  </si>
  <si>
    <t>TX-000683</t>
  </si>
  <si>
    <t>07:11:38</t>
  </si>
  <si>
    <t>TX-000681</t>
  </si>
  <si>
    <t>11:24:19</t>
  </si>
  <si>
    <t>TX-000680</t>
  </si>
  <si>
    <t>11:45:35</t>
  </si>
  <si>
    <t>TX-000685</t>
  </si>
  <si>
    <t>13:22:20</t>
  </si>
  <si>
    <t>TX-000684</t>
  </si>
  <si>
    <t>13:40:36</t>
  </si>
  <si>
    <t>TX-000678</t>
  </si>
  <si>
    <t>16:19:20</t>
  </si>
  <si>
    <t>TX-000679</t>
  </si>
  <si>
    <t>19:50:40</t>
  </si>
  <si>
    <t>TX-000687</t>
  </si>
  <si>
    <t>09:46:00</t>
  </si>
  <si>
    <t>TX-000686</t>
  </si>
  <si>
    <t>14:13:15</t>
  </si>
  <si>
    <t>TX-000689</t>
  </si>
  <si>
    <t>18:22:34</t>
  </si>
  <si>
    <t>TX-000688</t>
  </si>
  <si>
    <t>19:10:56</t>
  </si>
  <si>
    <t>TX-000690</t>
  </si>
  <si>
    <t>21:50:55</t>
  </si>
  <si>
    <t>TX-000691</t>
  </si>
  <si>
    <t>07:18:01</t>
  </si>
  <si>
    <t>TX-000694</t>
  </si>
  <si>
    <t>TX-000692</t>
  </si>
  <si>
    <t>09:04:21</t>
  </si>
  <si>
    <t>TX-000696</t>
  </si>
  <si>
    <t>09:21:13</t>
  </si>
  <si>
    <t>TX-000693</t>
  </si>
  <si>
    <t>11:46:04</t>
  </si>
  <si>
    <t>TX-000695</t>
  </si>
  <si>
    <t>19:41:10</t>
  </si>
  <si>
    <t>TX-000700</t>
  </si>
  <si>
    <t>06:13:10</t>
  </si>
  <si>
    <t>TX-000697</t>
  </si>
  <si>
    <t>09:03:25</t>
  </si>
  <si>
    <t>TX-000698</t>
  </si>
  <si>
    <t>10:03:23</t>
  </si>
  <si>
    <t>TX-000699</t>
  </si>
  <si>
    <t>15:52:42</t>
  </si>
  <si>
    <t>TX-000703</t>
  </si>
  <si>
    <t>18:11:23</t>
  </si>
  <si>
    <t>TX-000702</t>
  </si>
  <si>
    <t>21:31:57</t>
  </si>
  <si>
    <t>TX-000701</t>
  </si>
  <si>
    <t>21:54:07</t>
  </si>
  <si>
    <t>TX-000710</t>
  </si>
  <si>
    <t>07:32:36</t>
  </si>
  <si>
    <t>TX-001321</t>
  </si>
  <si>
    <t>09:28:31</t>
  </si>
  <si>
    <t>TX-000711</t>
  </si>
  <si>
    <t>10:07:48</t>
  </si>
  <si>
    <t>TX-000705</t>
  </si>
  <si>
    <t>10:48:44</t>
  </si>
  <si>
    <t>TX-000709</t>
  </si>
  <si>
    <t>13:30:19</t>
  </si>
  <si>
    <t>TX-000707</t>
  </si>
  <si>
    <t>13:35:03</t>
  </si>
  <si>
    <t>TX-000706</t>
  </si>
  <si>
    <t>17:51:34</t>
  </si>
  <si>
    <t>TX-000708</t>
  </si>
  <si>
    <t>19:34:43</t>
  </si>
  <si>
    <t>TX-000704</t>
  </si>
  <si>
    <t>20:16:14</t>
  </si>
  <si>
    <t>TX-000716</t>
  </si>
  <si>
    <t>06:50:44</t>
  </si>
  <si>
    <t>TX-000717</t>
  </si>
  <si>
    <t>09:26:09</t>
  </si>
  <si>
    <t>TX-000718</t>
  </si>
  <si>
    <t>09:59:06</t>
  </si>
  <si>
    <t>TX-000712</t>
  </si>
  <si>
    <t>10:02:27</t>
  </si>
  <si>
    <t>TX-000714</t>
  </si>
  <si>
    <t>14:20:58</t>
  </si>
  <si>
    <t>TX-000715</t>
  </si>
  <si>
    <t>18:35:20</t>
  </si>
  <si>
    <t>TX-000713</t>
  </si>
  <si>
    <t>19:12:52</t>
  </si>
  <si>
    <t>TX-001322</t>
  </si>
  <si>
    <t>06:44:46</t>
  </si>
  <si>
    <t>TX-000721</t>
  </si>
  <si>
    <t>14:25:09</t>
  </si>
  <si>
    <t>TX-000723</t>
  </si>
  <si>
    <t>14:57:23</t>
  </si>
  <si>
    <t>TX-000722</t>
  </si>
  <si>
    <t>16:44:15</t>
  </si>
  <si>
    <t>TX-000719</t>
  </si>
  <si>
    <t>17:56:26</t>
  </si>
  <si>
    <t>TX-000720</t>
  </si>
  <si>
    <t>21:36:38</t>
  </si>
  <si>
    <t>TX-000724</t>
  </si>
  <si>
    <t>21:54:44</t>
  </si>
  <si>
    <t>TX-000731</t>
  </si>
  <si>
    <t>07:15:02</t>
  </si>
  <si>
    <t>TX-000729</t>
  </si>
  <si>
    <t>11:04:19</t>
  </si>
  <si>
    <t>TX-000727</t>
  </si>
  <si>
    <t>12:58:52</t>
  </si>
  <si>
    <t>TX-000726</t>
  </si>
  <si>
    <t>19:38:41</t>
  </si>
  <si>
    <t>TX-000725</t>
  </si>
  <si>
    <t>20:49:52</t>
  </si>
  <si>
    <t>TX-000728</t>
  </si>
  <si>
    <t>TX-000730</t>
  </si>
  <si>
    <t>22:56:36</t>
  </si>
  <si>
    <t>TX-000733</t>
  </si>
  <si>
    <t>13:23:31</t>
  </si>
  <si>
    <t>TX-000737</t>
  </si>
  <si>
    <t>13:43:13</t>
  </si>
  <si>
    <t>TX-000735</t>
  </si>
  <si>
    <t>14:47:53</t>
  </si>
  <si>
    <t>TX-000736</t>
  </si>
  <si>
    <t>18:03:10</t>
  </si>
  <si>
    <t>TX-000732</t>
  </si>
  <si>
    <t>20:32:25</t>
  </si>
  <si>
    <t>TX-000734</t>
  </si>
  <si>
    <t>21:37:35</t>
  </si>
  <si>
    <t>TX-000738</t>
  </si>
  <si>
    <t>22:01:55</t>
  </si>
  <si>
    <t>TX-000739</t>
  </si>
  <si>
    <t>11:38:51</t>
  </si>
  <si>
    <t>TX-000744</t>
  </si>
  <si>
    <t>15:19:43</t>
  </si>
  <si>
    <t>TX-000740</t>
  </si>
  <si>
    <t>15:45:45</t>
  </si>
  <si>
    <t>TX-000743</t>
  </si>
  <si>
    <t>18:37:06</t>
  </si>
  <si>
    <t>TX-000741</t>
  </si>
  <si>
    <t>18:54:22</t>
  </si>
  <si>
    <t>TX-000742</t>
  </si>
  <si>
    <t>20:19:43</t>
  </si>
  <si>
    <t>TX-000747</t>
  </si>
  <si>
    <t>07:51:54</t>
  </si>
  <si>
    <t>TX-001302</t>
  </si>
  <si>
    <t>09:15:47</t>
  </si>
  <si>
    <t>TX-000748</t>
  </si>
  <si>
    <t>10:46:01</t>
  </si>
  <si>
    <t>TX-000750</t>
  </si>
  <si>
    <t>12:21:46</t>
  </si>
  <si>
    <t>TX-000749</t>
  </si>
  <si>
    <t>14:58:26</t>
  </si>
  <si>
    <t>TX-000746</t>
  </si>
  <si>
    <t>15:12:09</t>
  </si>
  <si>
    <t>TX-000745</t>
  </si>
  <si>
    <t>16:55:17</t>
  </si>
  <si>
    <t>TX-000756</t>
  </si>
  <si>
    <t>09:30:03</t>
  </si>
  <si>
    <t>TX-000752</t>
  </si>
  <si>
    <t>09:30:08</t>
  </si>
  <si>
    <t>TX-000753</t>
  </si>
  <si>
    <t>11:43:57</t>
  </si>
  <si>
    <t>TX-000751</t>
  </si>
  <si>
    <t>11:53:42</t>
  </si>
  <si>
    <t>TX-000757</t>
  </si>
  <si>
    <t>12:32:07</t>
  </si>
  <si>
    <t>TX-000754</t>
  </si>
  <si>
    <t>13:22:14</t>
  </si>
  <si>
    <t>TX-000755</t>
  </si>
  <si>
    <t>16:23:16</t>
  </si>
  <si>
    <t>TX-000758</t>
  </si>
  <si>
    <t>19:03:55</t>
  </si>
  <si>
    <t>TX-000765</t>
  </si>
  <si>
    <t>06:57:20</t>
  </si>
  <si>
    <t>TX-000761</t>
  </si>
  <si>
    <t>07:00:28</t>
  </si>
  <si>
    <t>TX-000763</t>
  </si>
  <si>
    <t>08:08:39</t>
  </si>
  <si>
    <t>TX-000762</t>
  </si>
  <si>
    <t>11:36:48</t>
  </si>
  <si>
    <t>TX-000764</t>
  </si>
  <si>
    <t>18:27:30</t>
  </si>
  <si>
    <t>TX-000759</t>
  </si>
  <si>
    <t>20:09:20</t>
  </si>
  <si>
    <t>TX-000760</t>
  </si>
  <si>
    <t>21:21:40</t>
  </si>
  <si>
    <t>TX-000768</t>
  </si>
  <si>
    <t>07:19:18</t>
  </si>
  <si>
    <t>TX-000767</t>
  </si>
  <si>
    <t>09:24:32</t>
  </si>
  <si>
    <t>TX-000766</t>
  </si>
  <si>
    <t>13:14:44</t>
  </si>
  <si>
    <t>TX-000771</t>
  </si>
  <si>
    <t>18:01:14</t>
  </si>
  <si>
    <t>TX-000770</t>
  </si>
  <si>
    <t>21:22:48</t>
  </si>
  <si>
    <t>TX-000772</t>
  </si>
  <si>
    <t>22:10:07</t>
  </si>
  <si>
    <t>TX-000769</t>
  </si>
  <si>
    <t>22:21:27</t>
  </si>
  <si>
    <t>TX-000777</t>
  </si>
  <si>
    <t>06:19:26</t>
  </si>
  <si>
    <t>TX-000774</t>
  </si>
  <si>
    <t>07:42:06</t>
  </si>
  <si>
    <t>TX-000775</t>
  </si>
  <si>
    <t>09:26:28</t>
  </si>
  <si>
    <t>TX-000776</t>
  </si>
  <si>
    <t>14:30:44</t>
  </si>
  <si>
    <t>TX-000773</t>
  </si>
  <si>
    <t>14:49:34</t>
  </si>
  <si>
    <t>TX-000781</t>
  </si>
  <si>
    <t>07:35:31</t>
  </si>
  <si>
    <t>TX-000784</t>
  </si>
  <si>
    <t>08:49:32</t>
  </si>
  <si>
    <t>TX-000783</t>
  </si>
  <si>
    <t>08:58:07</t>
  </si>
  <si>
    <t>TX-000779</t>
  </si>
  <si>
    <t>09:31:12</t>
  </si>
  <si>
    <t>TX-000778</t>
  </si>
  <si>
    <t>09:32:46</t>
  </si>
  <si>
    <t>TX-000785</t>
  </si>
  <si>
    <t>13:29:18</t>
  </si>
  <si>
    <t>TX-000782</t>
  </si>
  <si>
    <t>21:21:15</t>
  </si>
  <si>
    <t>TX-000780</t>
  </si>
  <si>
    <t>22:12:22</t>
  </si>
  <si>
    <t>TX-000788</t>
  </si>
  <si>
    <t>07:00:54</t>
  </si>
  <si>
    <t>TX-000786</t>
  </si>
  <si>
    <t>07:54:18</t>
  </si>
  <si>
    <t>TX-001371</t>
  </si>
  <si>
    <t>10:10:15</t>
  </si>
  <si>
    <t>ACH Credit</t>
  </si>
  <si>
    <t>Blue Ridge Consulting LLC</t>
  </si>
  <si>
    <t>Business Payment</t>
  </si>
  <si>
    <t>Incoming ACH credit</t>
  </si>
  <si>
    <t>TX-000789</t>
  </si>
  <si>
    <t>11:21:22</t>
  </si>
  <si>
    <t>TX-001323</t>
  </si>
  <si>
    <t>12:08:22</t>
  </si>
  <si>
    <t>TX-000790</t>
  </si>
  <si>
    <t>14:56:46</t>
  </si>
  <si>
    <t>TX-000787</t>
  </si>
  <si>
    <t>16:27:47</t>
  </si>
  <si>
    <t>TX-000791</t>
  </si>
  <si>
    <t>18:29:17</t>
  </si>
  <si>
    <t>TX-000795</t>
  </si>
  <si>
    <t>06:55:43</t>
  </si>
  <si>
    <t>TX-000797</t>
  </si>
  <si>
    <t>08:16:41</t>
  </si>
  <si>
    <t>TX-000793</t>
  </si>
  <si>
    <t>11:06:26</t>
  </si>
  <si>
    <t>TX-000792</t>
  </si>
  <si>
    <t>11:07:08</t>
  </si>
  <si>
    <t>TX-000799</t>
  </si>
  <si>
    <t>16:33:33</t>
  </si>
  <si>
    <t>TX-000794</t>
  </si>
  <si>
    <t>20:11:39</t>
  </si>
  <si>
    <t>TX-000796</t>
  </si>
  <si>
    <t>21:07:56</t>
  </si>
  <si>
    <t>TX-000798</t>
  </si>
  <si>
    <t>22:49:47</t>
  </si>
  <si>
    <t>TX-000801</t>
  </si>
  <si>
    <t>07:00:41</t>
  </si>
  <si>
    <t>TX-000804</t>
  </si>
  <si>
    <t>07:32:14</t>
  </si>
  <si>
    <t>TX-001372</t>
  </si>
  <si>
    <t>09:02:20</t>
  </si>
  <si>
    <t>Apex Services Group</t>
  </si>
  <si>
    <t>TX-000807</t>
  </si>
  <si>
    <t>09:31:47</t>
  </si>
  <si>
    <t>TX-000800</t>
  </si>
  <si>
    <t>18:09:53</t>
  </si>
  <si>
    <t>TX-000805</t>
  </si>
  <si>
    <t>18:52:15</t>
  </si>
  <si>
    <t>TX-000806</t>
  </si>
  <si>
    <t>20:05:54</t>
  </si>
  <si>
    <t>TX-000803</t>
  </si>
  <si>
    <t>21:20:15</t>
  </si>
  <si>
    <t>TX-000802</t>
  </si>
  <si>
    <t>21:54:31</t>
  </si>
  <si>
    <t>TX-000808</t>
  </si>
  <si>
    <t>06:52:05</t>
  </si>
  <si>
    <t>TX-000815</t>
  </si>
  <si>
    <t>07:57:10</t>
  </si>
  <si>
    <t>TX-000809</t>
  </si>
  <si>
    <t>12:41:42</t>
  </si>
  <si>
    <t>TX-000813</t>
  </si>
  <si>
    <t>13:00:21</t>
  </si>
  <si>
    <t>TX-000814</t>
  </si>
  <si>
    <t>15:35:33</t>
  </si>
  <si>
    <t>TX-000811</t>
  </si>
  <si>
    <t>16:35:49</t>
  </si>
  <si>
    <t>TX-000812</t>
  </si>
  <si>
    <t>17:45:28</t>
  </si>
  <si>
    <t>TX-000810</t>
  </si>
  <si>
    <t>17:52:03</t>
  </si>
  <si>
    <t>TX-000818</t>
  </si>
  <si>
    <t>07:59:40</t>
  </si>
  <si>
    <t>TX-000823</t>
  </si>
  <si>
    <t>10:06:24</t>
  </si>
  <si>
    <t>TX-001373</t>
  </si>
  <si>
    <t>10:28:16</t>
  </si>
  <si>
    <t>Harbor Tech LLC</t>
  </si>
  <si>
    <t>TX-000822</t>
  </si>
  <si>
    <t>11:44:37</t>
  </si>
  <si>
    <t>TX-000816</t>
  </si>
  <si>
    <t>12:12:07</t>
  </si>
  <si>
    <t>TX-000817</t>
  </si>
  <si>
    <t>12:45:21</t>
  </si>
  <si>
    <t>TX-000821</t>
  </si>
  <si>
    <t>19:53:37</t>
  </si>
  <si>
    <t>TX-000819</t>
  </si>
  <si>
    <t>20:29:42</t>
  </si>
  <si>
    <t>TX-000820</t>
  </si>
  <si>
    <t>21:00:33</t>
  </si>
  <si>
    <t>TX-000828</t>
  </si>
  <si>
    <t>10:45:41</t>
  </si>
  <si>
    <t>TX-000827</t>
  </si>
  <si>
    <t>12:12:13</t>
  </si>
  <si>
    <t>TX-000825</t>
  </si>
  <si>
    <t>16:18:28</t>
  </si>
  <si>
    <t>TX-000829</t>
  </si>
  <si>
    <t>16:45:07</t>
  </si>
  <si>
    <t>TX-001374</t>
  </si>
  <si>
    <t>17:11:13</t>
  </si>
  <si>
    <t>Wire Transfer</t>
  </si>
  <si>
    <t>Pacific Meridian Ltd</t>
  </si>
  <si>
    <t>Hong Kong</t>
  </si>
  <si>
    <t>Wire</t>
  </si>
  <si>
    <t>International Transfer</t>
  </si>
  <si>
    <t>Outgoing international wire</t>
  </si>
  <si>
    <t>TX-000824</t>
  </si>
  <si>
    <t>19:38:58</t>
  </si>
  <si>
    <t>TX-000830</t>
  </si>
  <si>
    <t>19:43:47</t>
  </si>
  <si>
    <t>TX-000826</t>
  </si>
  <si>
    <t>22:19:53</t>
  </si>
  <si>
    <t>TX-000831</t>
  </si>
  <si>
    <t>06:24:09</t>
  </si>
  <si>
    <t>TX-000837</t>
  </si>
  <si>
    <t>07:59:24</t>
  </si>
  <si>
    <t>TX-000832</t>
  </si>
  <si>
    <t>12:17:48</t>
  </si>
  <si>
    <t>TX-000833</t>
  </si>
  <si>
    <t>14:09:53</t>
  </si>
  <si>
    <t>TX-000834</t>
  </si>
  <si>
    <t>15:13:48</t>
  </si>
  <si>
    <t>TX-000838</t>
  </si>
  <si>
    <t>16:35:03</t>
  </si>
  <si>
    <t>TX-000836</t>
  </si>
  <si>
    <t>18:15:32</t>
  </si>
  <si>
    <t>TX-000835</t>
  </si>
  <si>
    <t>20:06:39</t>
  </si>
  <si>
    <t>TX-000839</t>
  </si>
  <si>
    <t>20:53:14</t>
  </si>
  <si>
    <t>TX-000841</t>
  </si>
  <si>
    <t>11:43:04</t>
  </si>
  <si>
    <t>TX-001303</t>
  </si>
  <si>
    <t>12:24:57</t>
  </si>
  <si>
    <t>TX-000840</t>
  </si>
  <si>
    <t>12:49:46</t>
  </si>
  <si>
    <t>TX-000843</t>
  </si>
  <si>
    <t>14:08:10</t>
  </si>
  <si>
    <t>TX-000845</t>
  </si>
  <si>
    <t>16:38:03</t>
  </si>
  <si>
    <t>TX-000846</t>
  </si>
  <si>
    <t>17:04:50</t>
  </si>
  <si>
    <t>TX-000844</t>
  </si>
  <si>
    <t>20:45:59</t>
  </si>
  <si>
    <t>TX-000842</t>
  </si>
  <si>
    <t>TX-000848</t>
  </si>
  <si>
    <t>08:22:14</t>
  </si>
  <si>
    <t>TX-000849</t>
  </si>
  <si>
    <t>16:23:18</t>
  </si>
  <si>
    <t>TX-000852</t>
  </si>
  <si>
    <t>16:24:58</t>
  </si>
  <si>
    <t>TX-000851</t>
  </si>
  <si>
    <t>17:28:15</t>
  </si>
  <si>
    <t>TX-000847</t>
  </si>
  <si>
    <t>22:10:26</t>
  </si>
  <si>
    <t>TX-000850</t>
  </si>
  <si>
    <t>22:30:35</t>
  </si>
  <si>
    <t>TX-000853</t>
  </si>
  <si>
    <t>06:58:33</t>
  </si>
  <si>
    <t>TX-000857</t>
  </si>
  <si>
    <t>08:13:42</t>
  </si>
  <si>
    <t>TX-000856</t>
  </si>
  <si>
    <t>11:49:34</t>
  </si>
  <si>
    <t>TX-000855</t>
  </si>
  <si>
    <t>12:20:32</t>
  </si>
  <si>
    <t>TX-000859</t>
  </si>
  <si>
    <t>19:41:52</t>
  </si>
  <si>
    <t>TX-000858</t>
  </si>
  <si>
    <t>19:53:06</t>
  </si>
  <si>
    <t>TX-000854</t>
  </si>
  <si>
    <t>22:28:31</t>
  </si>
  <si>
    <t>TX-000863</t>
  </si>
  <si>
    <t>06:24:43</t>
  </si>
  <si>
    <t>TX-000865</t>
  </si>
  <si>
    <t>08:22:59</t>
  </si>
  <si>
    <t>TX-000864</t>
  </si>
  <si>
    <t>08:48:47</t>
  </si>
  <si>
    <t>TX-000861</t>
  </si>
  <si>
    <t>14:35:04</t>
  </si>
  <si>
    <t>TX-000860</t>
  </si>
  <si>
    <t>16:02:05</t>
  </si>
  <si>
    <t>TX-000862</t>
  </si>
  <si>
    <t>19:24:28</t>
  </si>
  <si>
    <t>TX-000870</t>
  </si>
  <si>
    <t>07:00:36</t>
  </si>
  <si>
    <t>TX-000871</t>
  </si>
  <si>
    <t>08:19:13</t>
  </si>
  <si>
    <t>TX-000873</t>
  </si>
  <si>
    <t>11:42:51</t>
  </si>
  <si>
    <t>TX-000867</t>
  </si>
  <si>
    <t>13:08:47</t>
  </si>
  <si>
    <t>TX-001324</t>
  </si>
  <si>
    <t>15:15:41</t>
  </si>
  <si>
    <t>TX-000868</t>
  </si>
  <si>
    <t>15:40:09</t>
  </si>
  <si>
    <t>TX-000869</t>
  </si>
  <si>
    <t>17:00:35</t>
  </si>
  <si>
    <t>TX-000866</t>
  </si>
  <si>
    <t>20:24:25</t>
  </si>
  <si>
    <t>TX-000872</t>
  </si>
  <si>
    <t>22:09:10</t>
  </si>
  <si>
    <t>TX-000874</t>
  </si>
  <si>
    <t>08:18:42</t>
  </si>
  <si>
    <t>TX-000877</t>
  </si>
  <si>
    <t>08:57:12</t>
  </si>
  <si>
    <t>TX-000875</t>
  </si>
  <si>
    <t>12:46:37</t>
  </si>
  <si>
    <t>TX-000880</t>
  </si>
  <si>
    <t>13:45:47</t>
  </si>
  <si>
    <t>TX-000879</t>
  </si>
  <si>
    <t>16:27:10</t>
  </si>
  <si>
    <t>TX-000878</t>
  </si>
  <si>
    <t>16:39:42</t>
  </si>
  <si>
    <t>TX-000876</t>
  </si>
  <si>
    <t>17:08:42</t>
  </si>
  <si>
    <t>TX-000886</t>
  </si>
  <si>
    <t>06:52:37</t>
  </si>
  <si>
    <t>TX-000885</t>
  </si>
  <si>
    <t>08:46:04</t>
  </si>
  <si>
    <t>TX-000883</t>
  </si>
  <si>
    <t>09:11:41</t>
  </si>
  <si>
    <t>TX-000881</t>
  </si>
  <si>
    <t>10:43:46</t>
  </si>
  <si>
    <t>TX-000884</t>
  </si>
  <si>
    <t>10:57:34</t>
  </si>
  <si>
    <t>TX-000887</t>
  </si>
  <si>
    <t>12:58:02</t>
  </si>
  <si>
    <t>TX-000889</t>
  </si>
  <si>
    <t>15:08:29</t>
  </si>
  <si>
    <t>TX-000882</t>
  </si>
  <si>
    <t>20:28:22</t>
  </si>
  <si>
    <t>TX-000888</t>
  </si>
  <si>
    <t>21:41:49</t>
  </si>
  <si>
    <t>TX-000890</t>
  </si>
  <si>
    <t>06:42:15</t>
  </si>
  <si>
    <t>TX-000893</t>
  </si>
  <si>
    <t>07:14:48</t>
  </si>
  <si>
    <t>TX-000891</t>
  </si>
  <si>
    <t>10:28:10</t>
  </si>
  <si>
    <t>TX-000892</t>
  </si>
  <si>
    <t>10:47:46</t>
  </si>
  <si>
    <t>TX-000894</t>
  </si>
  <si>
    <t>14:23:14</t>
  </si>
  <si>
    <t>TX-001325</t>
  </si>
  <si>
    <t>15:10:45</t>
  </si>
  <si>
    <t>TX-000895</t>
  </si>
  <si>
    <t>18:30:58</t>
  </si>
  <si>
    <t>TX-000901</t>
  </si>
  <si>
    <t>06:32:56</t>
  </si>
  <si>
    <t>TX-000899</t>
  </si>
  <si>
    <t>08:33:16</t>
  </si>
  <si>
    <t>TX-001332</t>
  </si>
  <si>
    <t>08:39:56</t>
  </si>
  <si>
    <t>Cash Deposit</t>
  </si>
  <si>
    <t>Branch</t>
  </si>
  <si>
    <t>Branch cash deposit</t>
  </si>
  <si>
    <t>TX-000898</t>
  </si>
  <si>
    <t>11:24:41</t>
  </si>
  <si>
    <t>TX-000900</t>
  </si>
  <si>
    <t>13:33:25</t>
  </si>
  <si>
    <t>TX-000897</t>
  </si>
  <si>
    <t>14:53:47</t>
  </si>
  <si>
    <t>TX-000896</t>
  </si>
  <si>
    <t>16:06:45</t>
  </si>
  <si>
    <t>TX-000906</t>
  </si>
  <si>
    <t>07:08:36</t>
  </si>
  <si>
    <t>TX-001339</t>
  </si>
  <si>
    <t>08:35:45</t>
  </si>
  <si>
    <t>Orion Trading LLC</t>
  </si>
  <si>
    <t>United Arab Emirates</t>
  </si>
  <si>
    <t>TX-000904</t>
  </si>
  <si>
    <t>09:30:43</t>
  </si>
  <si>
    <t>TX-000903</t>
  </si>
  <si>
    <t>09:42:14</t>
  </si>
  <si>
    <t>TX-000908</t>
  </si>
  <si>
    <t>11:33:25</t>
  </si>
  <si>
    <t>TX-000905</t>
  </si>
  <si>
    <t>11:41:53</t>
  </si>
  <si>
    <t>TX-000902</t>
  </si>
  <si>
    <t>14:13:09</t>
  </si>
  <si>
    <t>TX-000907</t>
  </si>
  <si>
    <t>22:02:57</t>
  </si>
  <si>
    <t>TX-000910</t>
  </si>
  <si>
    <t>11:14:53</t>
  </si>
  <si>
    <t>TX-000911</t>
  </si>
  <si>
    <t>11:39:42</t>
  </si>
  <si>
    <t>TX-000909</t>
  </si>
  <si>
    <t>12:28:38</t>
  </si>
  <si>
    <t>TX-001333</t>
  </si>
  <si>
    <t>16:47:59</t>
  </si>
  <si>
    <t>Arlington</t>
  </si>
  <si>
    <t>TX-000912</t>
  </si>
  <si>
    <t>16:59:29</t>
  </si>
  <si>
    <t>TX-000913</t>
  </si>
  <si>
    <t>18:08:06</t>
  </si>
  <si>
    <t>TX-000914</t>
  </si>
  <si>
    <t>19:52:09</t>
  </si>
  <si>
    <t>TX-000917</t>
  </si>
  <si>
    <t>06:57:49</t>
  </si>
  <si>
    <t>TX-001334</t>
  </si>
  <si>
    <t>07:32:58</t>
  </si>
  <si>
    <t>Falls Church</t>
  </si>
  <si>
    <t>TX-000915</t>
  </si>
  <si>
    <t>07:56:50</t>
  </si>
  <si>
    <t>TX-000916</t>
  </si>
  <si>
    <t>09:05:30</t>
  </si>
  <si>
    <t>TX-000920</t>
  </si>
  <si>
    <t>TX-000921</t>
  </si>
  <si>
    <t>15:38:56</t>
  </si>
  <si>
    <t>TX-000918</t>
  </si>
  <si>
    <t>17:55:02</t>
  </si>
  <si>
    <t>TX-000919</t>
  </si>
  <si>
    <t>21:50:49</t>
  </si>
  <si>
    <t>TX-000922</t>
  </si>
  <si>
    <t>06:36:33</t>
  </si>
  <si>
    <t>TX-000924</t>
  </si>
  <si>
    <t>09:09:27</t>
  </si>
  <si>
    <t>TX-000929</t>
  </si>
  <si>
    <t>09:47:14</t>
  </si>
  <si>
    <t>TX-001340</t>
  </si>
  <si>
    <t>12:08:21</t>
  </si>
  <si>
    <t>TX-000928</t>
  </si>
  <si>
    <t>14:19:36</t>
  </si>
  <si>
    <t>TX-000923</t>
  </si>
  <si>
    <t>18:41:13</t>
  </si>
  <si>
    <t>TX-000926</t>
  </si>
  <si>
    <t>18:48:13</t>
  </si>
  <si>
    <t>TX-000925</t>
  </si>
  <si>
    <t>19:36:23</t>
  </si>
  <si>
    <t>TX-000927</t>
  </si>
  <si>
    <t>21:11:23</t>
  </si>
  <si>
    <t>TX-000931</t>
  </si>
  <si>
    <t>07:10:24</t>
  </si>
  <si>
    <t>TX-000935</t>
  </si>
  <si>
    <t>07:49:52</t>
  </si>
  <si>
    <t>TX-000932</t>
  </si>
  <si>
    <t>10:30:59</t>
  </si>
  <si>
    <t>TX-000933</t>
  </si>
  <si>
    <t>14:14:23</t>
  </si>
  <si>
    <t>TX-001335</t>
  </si>
  <si>
    <t>17:56:03</t>
  </si>
  <si>
    <t>Springfield</t>
  </si>
  <si>
    <t>TX-000930</t>
  </si>
  <si>
    <t>18:50:21</t>
  </si>
  <si>
    <t>TX-000934</t>
  </si>
  <si>
    <t>18:59:25</t>
  </si>
  <si>
    <t>TX-000936</t>
  </si>
  <si>
    <t>22:18:12</t>
  </si>
  <si>
    <t>TX-000937</t>
  </si>
  <si>
    <t>22:33:44</t>
  </si>
  <si>
    <t>TX-000939</t>
  </si>
  <si>
    <t>08:17:49</t>
  </si>
  <si>
    <t>TX-000941</t>
  </si>
  <si>
    <t>08:58:05</t>
  </si>
  <si>
    <t>TX-000944</t>
  </si>
  <si>
    <t>09:35:04</t>
  </si>
  <si>
    <t>TX-000943</t>
  </si>
  <si>
    <t>12:29:59</t>
  </si>
  <si>
    <t>TX-000938</t>
  </si>
  <si>
    <t>17:15:41</t>
  </si>
  <si>
    <t>TX-000942</t>
  </si>
  <si>
    <t>17:22:52</t>
  </si>
  <si>
    <t>TX-000940</t>
  </si>
  <si>
    <t>18:25:37</t>
  </si>
  <si>
    <t>TX-001326</t>
  </si>
  <si>
    <t>06:29:29</t>
  </si>
  <si>
    <t>TX-000951</t>
  </si>
  <si>
    <t>08:25:43</t>
  </si>
  <si>
    <t>TX-001336</t>
  </si>
  <si>
    <t>09:24:23</t>
  </si>
  <si>
    <t>Fairfax</t>
  </si>
  <si>
    <t>TX-000949</t>
  </si>
  <si>
    <t>13:51:20</t>
  </si>
  <si>
    <t>TX-000948</t>
  </si>
  <si>
    <t>14:04:24</t>
  </si>
  <si>
    <t>TX-000945</t>
  </si>
  <si>
    <t>14:56:34</t>
  </si>
  <si>
    <t>TX-000946</t>
  </si>
  <si>
    <t>18:36:30</t>
  </si>
  <si>
    <t>TX-000947</t>
  </si>
  <si>
    <t>20:43:29</t>
  </si>
  <si>
    <t>TX-000950</t>
  </si>
  <si>
    <t>22:34:00</t>
  </si>
  <si>
    <t>TX-000956</t>
  </si>
  <si>
    <t>09:07:58</t>
  </si>
  <si>
    <t>TX-000953</t>
  </si>
  <si>
    <t>12:31:47</t>
  </si>
  <si>
    <t>TX-000952</t>
  </si>
  <si>
    <t>12:57:36</t>
  </si>
  <si>
    <t>TX-001341</t>
  </si>
  <si>
    <t>13:34:07</t>
  </si>
  <si>
    <t>TX-000955</t>
  </si>
  <si>
    <t>13:53:39</t>
  </si>
  <si>
    <t>TX-000954</t>
  </si>
  <si>
    <t>13:55:16</t>
  </si>
  <si>
    <t>TX-000957</t>
  </si>
  <si>
    <t>21:39:00</t>
  </si>
  <si>
    <t>TX-000961</t>
  </si>
  <si>
    <t>07:32:22</t>
  </si>
  <si>
    <t>TX-000960</t>
  </si>
  <si>
    <t>10:03:33</t>
  </si>
  <si>
    <t>TX-000962</t>
  </si>
  <si>
    <t>11:29:07</t>
  </si>
  <si>
    <t>TX-000958</t>
  </si>
  <si>
    <t>16:31:57</t>
  </si>
  <si>
    <t>TX-001337</t>
  </si>
  <si>
    <t>20:39:02</t>
  </si>
  <si>
    <t>Annandale</t>
  </si>
  <si>
    <t>TX-001304</t>
  </si>
  <si>
    <t>21:37:31</t>
  </si>
  <si>
    <t>TX-000959</t>
  </si>
  <si>
    <t>22:17:25</t>
  </si>
  <si>
    <t>TX-000968</t>
  </si>
  <si>
    <t>09:46:17</t>
  </si>
  <si>
    <t>TX-000964</t>
  </si>
  <si>
    <t>14:11:35</t>
  </si>
  <si>
    <t>TX-000967</t>
  </si>
  <si>
    <t>18:17:28</t>
  </si>
  <si>
    <t>TX-000963</t>
  </si>
  <si>
    <t>TX-000966</t>
  </si>
  <si>
    <t>19:13:26</t>
  </si>
  <si>
    <t>TX-000965</t>
  </si>
  <si>
    <t>21:39:21</t>
  </si>
  <si>
    <t>TX-000972</t>
  </si>
  <si>
    <t>07:25:06</t>
  </si>
  <si>
    <t>TX-000969</t>
  </si>
  <si>
    <t>10:30:51</t>
  </si>
  <si>
    <t>TX-000976</t>
  </si>
  <si>
    <t>12:36:36</t>
  </si>
  <si>
    <t>TX-000975</t>
  </si>
  <si>
    <t>14:22:01</t>
  </si>
  <si>
    <t>TX-000973</t>
  </si>
  <si>
    <t>14:30:53</t>
  </si>
  <si>
    <t>TX-000974</t>
  </si>
  <si>
    <t>16:16:23</t>
  </si>
  <si>
    <t>TX-000971</t>
  </si>
  <si>
    <t>16:50:31</t>
  </si>
  <si>
    <t>TX-001338</t>
  </si>
  <si>
    <t>17:23:11</t>
  </si>
  <si>
    <t>Tysons</t>
  </si>
  <si>
    <t>TX-000970</t>
  </si>
  <si>
    <t>21:08:57</t>
  </si>
  <si>
    <t>TX-000979</t>
  </si>
  <si>
    <t>10:55:10</t>
  </si>
  <si>
    <t>TX-000982</t>
  </si>
  <si>
    <t>14:38:41</t>
  </si>
  <si>
    <t>TX-000981</t>
  </si>
  <si>
    <t>16:14:20</t>
  </si>
  <si>
    <t>TX-000978</t>
  </si>
  <si>
    <t>18:39:18</t>
  </si>
  <si>
    <t>TX-000980</t>
  </si>
  <si>
    <t>18:54:58</t>
  </si>
  <si>
    <t>TX-000983</t>
  </si>
  <si>
    <t>20:49:55</t>
  </si>
  <si>
    <t>TX-001342</t>
  </si>
  <si>
    <t>21:47:48</t>
  </si>
  <si>
    <t>TX-000977</t>
  </si>
  <si>
    <t>22:31:49</t>
  </si>
  <si>
    <t>TX-000984</t>
  </si>
  <si>
    <t>06:08:46</t>
  </si>
  <si>
    <t>TX-000987</t>
  </si>
  <si>
    <t>06:49:25</t>
  </si>
  <si>
    <t>TX-000988</t>
  </si>
  <si>
    <t>08:06:16</t>
  </si>
  <si>
    <t>TX-000985</t>
  </si>
  <si>
    <t>08:13:10</t>
  </si>
  <si>
    <t>TX-000986</t>
  </si>
  <si>
    <t>08:59:56</t>
  </si>
  <si>
    <t>TX-000991</t>
  </si>
  <si>
    <t>11:01:02</t>
  </si>
  <si>
    <t>TX-001327</t>
  </si>
  <si>
    <t>18:11:50</t>
  </si>
  <si>
    <t>TX-000989</t>
  </si>
  <si>
    <t>18:19:14</t>
  </si>
  <si>
    <t>TX-000990</t>
  </si>
  <si>
    <t>20:40:08</t>
  </si>
  <si>
    <t>TX-000998</t>
  </si>
  <si>
    <t>10:22:18</t>
  </si>
  <si>
    <t>TX-000993</t>
  </si>
  <si>
    <t>11:37:38</t>
  </si>
  <si>
    <t>TX-000992</t>
  </si>
  <si>
    <t>14:35:28</t>
  </si>
  <si>
    <t>TX-000997</t>
  </si>
  <si>
    <t>15:00:00</t>
  </si>
  <si>
    <t>TX-000995</t>
  </si>
  <si>
    <t>17:30:34</t>
  </si>
  <si>
    <t>TX-000994</t>
  </si>
  <si>
    <t>19:33:40</t>
  </si>
  <si>
    <t>TX-000996</t>
  </si>
  <si>
    <t>20:19:23</t>
  </si>
  <si>
    <t>TX-000999</t>
  </si>
  <si>
    <t>21:19:00</t>
  </si>
  <si>
    <t>TX-001000</t>
  </si>
  <si>
    <t>06:35:23</t>
  </si>
  <si>
    <t>TX-001004</t>
  </si>
  <si>
    <t>14:18:41</t>
  </si>
  <si>
    <t>TX-001007</t>
  </si>
  <si>
    <t>14:44:39</t>
  </si>
  <si>
    <t>TX-001006</t>
  </si>
  <si>
    <t>15:07:40</t>
  </si>
  <si>
    <t>TX-001002</t>
  </si>
  <si>
    <t>18:53:24</t>
  </si>
  <si>
    <t>TX-001005</t>
  </si>
  <si>
    <t>19:12:54</t>
  </si>
  <si>
    <t>TX-001001</t>
  </si>
  <si>
    <t>19:25:15</t>
  </si>
  <si>
    <t>TX-001003</t>
  </si>
  <si>
    <t>19:40:15</t>
  </si>
  <si>
    <t>TX-001008</t>
  </si>
  <si>
    <t>06:11:06</t>
  </si>
  <si>
    <t>TX-001010</t>
  </si>
  <si>
    <t>06:31:13</t>
  </si>
  <si>
    <t>TX-001012</t>
  </si>
  <si>
    <t>10:03:17</t>
  </si>
  <si>
    <t>TX-001009</t>
  </si>
  <si>
    <t>20:46:00</t>
  </si>
  <si>
    <t>TX-001013</t>
  </si>
  <si>
    <t>21:11:12</t>
  </si>
  <si>
    <t>TX-001011</t>
  </si>
  <si>
    <t>21:23:29</t>
  </si>
  <si>
    <t>TX-001015</t>
  </si>
  <si>
    <t>07:12:29</t>
  </si>
  <si>
    <t>TX-001017</t>
  </si>
  <si>
    <t>11:40:46</t>
  </si>
  <si>
    <t>TX-001021</t>
  </si>
  <si>
    <t>11:50:17</t>
  </si>
  <si>
    <t>TX-001020</t>
  </si>
  <si>
    <t>12:07:15</t>
  </si>
  <si>
    <t>TX-001019</t>
  </si>
  <si>
    <t>12:23:56</t>
  </si>
  <si>
    <t>TX-001016</t>
  </si>
  <si>
    <t>12:30:24</t>
  </si>
  <si>
    <t>TX-001014</t>
  </si>
  <si>
    <t>13:24:49</t>
  </si>
  <si>
    <t>TX-001018</t>
  </si>
  <si>
    <t>22:07:16</t>
  </si>
  <si>
    <t>TX-001028</t>
  </si>
  <si>
    <t>07:31:45</t>
  </si>
  <si>
    <t>TX-001023</t>
  </si>
  <si>
    <t>08:15:10</t>
  </si>
  <si>
    <t>TX-001025</t>
  </si>
  <si>
    <t>10:44:34</t>
  </si>
  <si>
    <t>TX-001026</t>
  </si>
  <si>
    <t>13:20:35</t>
  </si>
  <si>
    <t>TX-001024</t>
  </si>
  <si>
    <t>16:59:48</t>
  </si>
  <si>
    <t>TX-001027</t>
  </si>
  <si>
    <t>20:46:12</t>
  </si>
  <si>
    <t>TX-001022</t>
  </si>
  <si>
    <t>21:44:38</t>
  </si>
  <si>
    <t>TX-001033</t>
  </si>
  <si>
    <t>11:56:01</t>
  </si>
  <si>
    <t>TX-001029</t>
  </si>
  <si>
    <t>12:36:11</t>
  </si>
  <si>
    <t>TX-001034</t>
  </si>
  <si>
    <t>13:20:46</t>
  </si>
  <si>
    <t>TX-001032</t>
  </si>
  <si>
    <t>17:29:00</t>
  </si>
  <si>
    <t>TX-001035</t>
  </si>
  <si>
    <t>18:12:33</t>
  </si>
  <si>
    <t>TX-001030</t>
  </si>
  <si>
    <t>20:17:55</t>
  </si>
  <si>
    <t>TX-001031</t>
  </si>
  <si>
    <t>22:09:28</t>
  </si>
  <si>
    <t>TX-001037</t>
  </si>
  <si>
    <t>07:53:08</t>
  </si>
  <si>
    <t>TX-001041</t>
  </si>
  <si>
    <t>08:00:59</t>
  </si>
  <si>
    <t>TX-001038</t>
  </si>
  <si>
    <t>12:06:31</t>
  </si>
  <si>
    <t>TX-001040</t>
  </si>
  <si>
    <t>14:03:23</t>
  </si>
  <si>
    <t>TX-001036</t>
  </si>
  <si>
    <t>16:07:06</t>
  </si>
  <si>
    <t>TX-001039</t>
  </si>
  <si>
    <t>18:42:31</t>
  </si>
  <si>
    <t>TX-001042</t>
  </si>
  <si>
    <t>07:23:35</t>
  </si>
  <si>
    <t>TX-001043</t>
  </si>
  <si>
    <t>07:52:39</t>
  </si>
  <si>
    <t>TX-001044</t>
  </si>
  <si>
    <t>08:53:19</t>
  </si>
  <si>
    <t>TX-001046</t>
  </si>
  <si>
    <t>12:12:33</t>
  </si>
  <si>
    <t>TX-001045</t>
  </si>
  <si>
    <t>22:06:06</t>
  </si>
  <si>
    <t>TX-001053</t>
  </si>
  <si>
    <t>14:23:28</t>
  </si>
  <si>
    <t>TX-001051</t>
  </si>
  <si>
    <t>16:54:23</t>
  </si>
  <si>
    <t>TX-001049</t>
  </si>
  <si>
    <t>18:32:21</t>
  </si>
  <si>
    <t>TX-001305</t>
  </si>
  <si>
    <t>19:09:13</t>
  </si>
  <si>
    <t>TX-001047</t>
  </si>
  <si>
    <t>19:47:06</t>
  </si>
  <si>
    <t>TX-001052</t>
  </si>
  <si>
    <t>TX-001048</t>
  </si>
  <si>
    <t>19:56:06</t>
  </si>
  <si>
    <t>TX-001050</t>
  </si>
  <si>
    <t>20:59:22</t>
  </si>
  <si>
    <t>TX-001062</t>
  </si>
  <si>
    <t>09:38:41</t>
  </si>
  <si>
    <t>TX-001059</t>
  </si>
  <si>
    <t>13:14:16</t>
  </si>
  <si>
    <t>TX-001055</t>
  </si>
  <si>
    <t>15:00:19</t>
  </si>
  <si>
    <t>TX-001054</t>
  </si>
  <si>
    <t>15:38:01</t>
  </si>
  <si>
    <t>TX-001056</t>
  </si>
  <si>
    <t>16:01:49</t>
  </si>
  <si>
    <t>TX-001061</t>
  </si>
  <si>
    <t>16:50:30</t>
  </si>
  <si>
    <t>TX-001060</t>
  </si>
  <si>
    <t>18:36:58</t>
  </si>
  <si>
    <t>TX-001058</t>
  </si>
  <si>
    <t>20:22:09</t>
  </si>
  <si>
    <t>TX-001057</t>
  </si>
  <si>
    <t>22:35:36</t>
  </si>
  <si>
    <t>TX-001065</t>
  </si>
  <si>
    <t>06:40:49</t>
  </si>
  <si>
    <t>TX-001064</t>
  </si>
  <si>
    <t>09:55:49</t>
  </si>
  <si>
    <t>TX-001071</t>
  </si>
  <si>
    <t>14:05:25</t>
  </si>
  <si>
    <t>TX-001070</t>
  </si>
  <si>
    <t>16:05:30</t>
  </si>
  <si>
    <t>TX-001063</t>
  </si>
  <si>
    <t>16:22:56</t>
  </si>
  <si>
    <t>TX-001067</t>
  </si>
  <si>
    <t>16:32:44</t>
  </si>
  <si>
    <t>TX-001068</t>
  </si>
  <si>
    <t>18:28:48</t>
  </si>
  <si>
    <t>TX-001069</t>
  </si>
  <si>
    <t>19:18:50</t>
  </si>
  <si>
    <t>TX-001066</t>
  </si>
  <si>
    <t>22:02:20</t>
  </si>
  <si>
    <t>TX-001077</t>
  </si>
  <si>
    <t>06:49:19</t>
  </si>
  <si>
    <t>TX-001080</t>
  </si>
  <si>
    <t>07:15:39</t>
  </si>
  <si>
    <t>TX-001075</t>
  </si>
  <si>
    <t>08:07:42</t>
  </si>
  <si>
    <t>TX-001074</t>
  </si>
  <si>
    <t>TX-001073</t>
  </si>
  <si>
    <t>12:35:39</t>
  </si>
  <si>
    <t>TX-001079</t>
  </si>
  <si>
    <t>13:12:43</t>
  </si>
  <si>
    <t>TX-001076</t>
  </si>
  <si>
    <t>17:12:20</t>
  </si>
  <si>
    <t>TX-001078</t>
  </si>
  <si>
    <t>20:39:09</t>
  </si>
  <si>
    <t>TX-001072</t>
  </si>
  <si>
    <t>21:35:12</t>
  </si>
  <si>
    <t>TX-001087</t>
  </si>
  <si>
    <t>06:04:24</t>
  </si>
  <si>
    <t>TX-001081</t>
  </si>
  <si>
    <t>09:19:28</t>
  </si>
  <si>
    <t>TX-001084</t>
  </si>
  <si>
    <t>10:44:44</t>
  </si>
  <si>
    <t>TX-001082</t>
  </si>
  <si>
    <t>12:47:34</t>
  </si>
  <si>
    <t>TX-001086</t>
  </si>
  <si>
    <t>12:50:44</t>
  </si>
  <si>
    <t>TX-001085</t>
  </si>
  <si>
    <t>22:02:16</t>
  </si>
  <si>
    <t>TX-001083</t>
  </si>
  <si>
    <t>22:48:16</t>
  </si>
  <si>
    <t>TX-001091</t>
  </si>
  <si>
    <t>06:02:15</t>
  </si>
  <si>
    <t>TX-001095</t>
  </si>
  <si>
    <t>06:35:17</t>
  </si>
  <si>
    <t>TX-001090</t>
  </si>
  <si>
    <t>08:11:12</t>
  </si>
  <si>
    <t>TX-001089</t>
  </si>
  <si>
    <t>09:57:20</t>
  </si>
  <si>
    <t>TX-001093</t>
  </si>
  <si>
    <t>17:22:40</t>
  </si>
  <si>
    <t>TX-001328</t>
  </si>
  <si>
    <t>17:40:29</t>
  </si>
  <si>
    <t>TX-001088</t>
  </si>
  <si>
    <t>18:14:24</t>
  </si>
  <si>
    <t>TX-001092</t>
  </si>
  <si>
    <t>21:25:47</t>
  </si>
  <si>
    <t>TX-001094</t>
  </si>
  <si>
    <t>22:17:51</t>
  </si>
  <si>
    <t>TX-001359</t>
  </si>
  <si>
    <t>06:55:51</t>
  </si>
  <si>
    <t>Sender 17</t>
  </si>
  <si>
    <t>Incoming P2P</t>
  </si>
  <si>
    <t>TX-001367</t>
  </si>
  <si>
    <t>07:09:22</t>
  </si>
  <si>
    <t>Sender 25</t>
  </si>
  <si>
    <t>TX-001351</t>
  </si>
  <si>
    <t>08:05:25</t>
  </si>
  <si>
    <t>Sender 09</t>
  </si>
  <si>
    <t>TX-001096</t>
  </si>
  <si>
    <t>08:46:24</t>
  </si>
  <si>
    <t>TX-001099</t>
  </si>
  <si>
    <t>10:13:41</t>
  </si>
  <si>
    <t>TX-001102</t>
  </si>
  <si>
    <t>10:41:59</t>
  </si>
  <si>
    <t>TX-001343</t>
  </si>
  <si>
    <t>12:48:47</t>
  </si>
  <si>
    <t>Sender 01</t>
  </si>
  <si>
    <t>TX-001100</t>
  </si>
  <si>
    <t>12:55:08</t>
  </si>
  <si>
    <t>TX-001097</t>
  </si>
  <si>
    <t>13:26:15</t>
  </si>
  <si>
    <t>TX-001098</t>
  </si>
  <si>
    <t>15:58:38</t>
  </si>
  <si>
    <t>TX-001101</t>
  </si>
  <si>
    <t>22:58:08</t>
  </si>
  <si>
    <t>TX-001103</t>
  </si>
  <si>
    <t>09:11:20</t>
  </si>
  <si>
    <t>TX-001106</t>
  </si>
  <si>
    <t>11:01:48</t>
  </si>
  <si>
    <t>TX-001344</t>
  </si>
  <si>
    <t>13:20:22</t>
  </si>
  <si>
    <t>Sender 02</t>
  </si>
  <si>
    <t>TX-001107</t>
  </si>
  <si>
    <t>13:38:14</t>
  </si>
  <si>
    <t>TX-001105</t>
  </si>
  <si>
    <t>14:09:49</t>
  </si>
  <si>
    <t>TX-001352</t>
  </si>
  <si>
    <t>15:04:06</t>
  </si>
  <si>
    <t>Sender 10</t>
  </si>
  <si>
    <t>TX-001104</t>
  </si>
  <si>
    <t>16:56:26</t>
  </si>
  <si>
    <t>TX-001108</t>
  </si>
  <si>
    <t>21:08:32</t>
  </si>
  <si>
    <t>TX-001360</t>
  </si>
  <si>
    <t>22:41:21</t>
  </si>
  <si>
    <t>Sender 18</t>
  </si>
  <si>
    <t>TX-001112</t>
  </si>
  <si>
    <t>08:11:59</t>
  </si>
  <si>
    <t>TX-001329</t>
  </si>
  <si>
    <t>08:24:57</t>
  </si>
  <si>
    <t>TX-001110</t>
  </si>
  <si>
    <t>13:02:26</t>
  </si>
  <si>
    <t>TX-001353</t>
  </si>
  <si>
    <t>14:07:44</t>
  </si>
  <si>
    <t>Sender 11</t>
  </si>
  <si>
    <t>TX-001361</t>
  </si>
  <si>
    <t>16:41:41</t>
  </si>
  <si>
    <t>Sender 19</t>
  </si>
  <si>
    <t>TX-001109</t>
  </si>
  <si>
    <t>18:31:30</t>
  </si>
  <si>
    <t>TX-001115</t>
  </si>
  <si>
    <t>18:46:20</t>
  </si>
  <si>
    <t>TX-001111</t>
  </si>
  <si>
    <t>19:14:47</t>
  </si>
  <si>
    <t>TX-001114</t>
  </si>
  <si>
    <t>19:25:49</t>
  </si>
  <si>
    <t>TX-001117</t>
  </si>
  <si>
    <t>20:29:52</t>
  </si>
  <si>
    <t>TX-001113</t>
  </si>
  <si>
    <t>21:44:20</t>
  </si>
  <si>
    <t>TX-001116</t>
  </si>
  <si>
    <t>22:41:56</t>
  </si>
  <si>
    <t>TX-001345</t>
  </si>
  <si>
    <t>22:43:27</t>
  </si>
  <si>
    <t>Sender 03</t>
  </si>
  <si>
    <t>TX-001346</t>
  </si>
  <si>
    <t>07:04:23</t>
  </si>
  <si>
    <t>Sender 04</t>
  </si>
  <si>
    <t>TX-001119</t>
  </si>
  <si>
    <t>07:12:18</t>
  </si>
  <si>
    <t>TX-001123</t>
  </si>
  <si>
    <t>09:11:49</t>
  </si>
  <si>
    <t>TX-001122</t>
  </si>
  <si>
    <t>10:29:53</t>
  </si>
  <si>
    <t>TX-001368</t>
  </si>
  <si>
    <t>15:29:10</t>
  </si>
  <si>
    <t>Cashier's Check</t>
  </si>
  <si>
    <t>Bank Check Purchase</t>
  </si>
  <si>
    <t>Bank Instrument</t>
  </si>
  <si>
    <t>Cashier's check purchase</t>
  </si>
  <si>
    <t>TX-001120</t>
  </si>
  <si>
    <t>15:49:52</t>
  </si>
  <si>
    <t>TX-001362</t>
  </si>
  <si>
    <t>16:31:37</t>
  </si>
  <si>
    <t>Sender 20</t>
  </si>
  <si>
    <t>TX-001118</t>
  </si>
  <si>
    <t>18:47:02</t>
  </si>
  <si>
    <t>TX-001121</t>
  </si>
  <si>
    <t>19:18:39</t>
  </si>
  <si>
    <t>TX-001354</t>
  </si>
  <si>
    <t>21:09:55</t>
  </si>
  <si>
    <t>Sender 12</t>
  </si>
  <si>
    <t>TX-001130</t>
  </si>
  <si>
    <t>10:10:55</t>
  </si>
  <si>
    <t>TX-001129</t>
  </si>
  <si>
    <t>11:24:35</t>
  </si>
  <si>
    <t>TX-001126</t>
  </si>
  <si>
    <t>11:45:46</t>
  </si>
  <si>
    <t>TX-001125</t>
  </si>
  <si>
    <t>12:56:29</t>
  </si>
  <si>
    <t>TX-001128</t>
  </si>
  <si>
    <t>18:46:50</t>
  </si>
  <si>
    <t>TX-001124</t>
  </si>
  <si>
    <t>20:01:11</t>
  </si>
  <si>
    <t>TX-001347</t>
  </si>
  <si>
    <t>20:31:32</t>
  </si>
  <si>
    <t>Sender 05</t>
  </si>
  <si>
    <t>TX-001127</t>
  </si>
  <si>
    <t>20:40:23</t>
  </si>
  <si>
    <t>TX-001355</t>
  </si>
  <si>
    <t>22:40:01</t>
  </si>
  <si>
    <t>Sender 13</t>
  </si>
  <si>
    <t>TX-001363</t>
  </si>
  <si>
    <t>22:53:35</t>
  </si>
  <si>
    <t>Sender 21</t>
  </si>
  <si>
    <t>TX-001348</t>
  </si>
  <si>
    <t>09:30:45</t>
  </si>
  <si>
    <t>Sender 06</t>
  </si>
  <si>
    <t>TX-001132</t>
  </si>
  <si>
    <t>10:12:00</t>
  </si>
  <si>
    <t>TX-001356</t>
  </si>
  <si>
    <t>19:43:34</t>
  </si>
  <si>
    <t>Sender 14</t>
  </si>
  <si>
    <t>TX-001135</t>
  </si>
  <si>
    <t>20:05:38</t>
  </si>
  <si>
    <t>TX-001131</t>
  </si>
  <si>
    <t>20:18:40</t>
  </si>
  <si>
    <t>TX-001364</t>
  </si>
  <si>
    <t>20:19:36</t>
  </si>
  <si>
    <t>Sender 22</t>
  </si>
  <si>
    <t>TX-001134</t>
  </si>
  <si>
    <t>21:15:13</t>
  </si>
  <si>
    <t>TX-001133</t>
  </si>
  <si>
    <t>TX-001141</t>
  </si>
  <si>
    <t>08:49:19</t>
  </si>
  <si>
    <t>TX-001140</t>
  </si>
  <si>
    <t>11:29:47</t>
  </si>
  <si>
    <t>TX-001369</t>
  </si>
  <si>
    <t>11:45:34</t>
  </si>
  <si>
    <t>TX-001136</t>
  </si>
  <si>
    <t>12:03:11</t>
  </si>
  <si>
    <t>TX-001365</t>
  </si>
  <si>
    <t>15:10:50</t>
  </si>
  <si>
    <t>Sender 23</t>
  </si>
  <si>
    <t>TX-001138</t>
  </si>
  <si>
    <t>15:21:58</t>
  </si>
  <si>
    <t>TX-001349</t>
  </si>
  <si>
    <t>15:28:39</t>
  </si>
  <si>
    <t>Sender 07</t>
  </si>
  <si>
    <t>TX-001137</t>
  </si>
  <si>
    <t>17:02:09</t>
  </si>
  <si>
    <t>TX-001142</t>
  </si>
  <si>
    <t>18:52:04</t>
  </si>
  <si>
    <t>TX-001139</t>
  </si>
  <si>
    <t>19:11:10</t>
  </si>
  <si>
    <t>TX-001357</t>
  </si>
  <si>
    <t>Sender 15</t>
  </si>
  <si>
    <t>TX-001358</t>
  </si>
  <si>
    <t>06:18:12</t>
  </si>
  <si>
    <t>Sender 16</t>
  </si>
  <si>
    <t>TX-001350</t>
  </si>
  <si>
    <t>08:12:57</t>
  </si>
  <si>
    <t>Sender 08</t>
  </si>
  <si>
    <t>TX-001145</t>
  </si>
  <si>
    <t>09:36:46</t>
  </si>
  <si>
    <t>TX-001143</t>
  </si>
  <si>
    <t>09:44:55</t>
  </si>
  <si>
    <t>TX-001366</t>
  </si>
  <si>
    <t>13:30:23</t>
  </si>
  <si>
    <t>Sender 24</t>
  </si>
  <si>
    <t>TX-001147</t>
  </si>
  <si>
    <t>16:16:33</t>
  </si>
  <si>
    <t>TX-001144</t>
  </si>
  <si>
    <t>19:33:13</t>
  </si>
  <si>
    <t>TX-001146</t>
  </si>
  <si>
    <t>21:46:44</t>
  </si>
  <si>
    <t>TX-001150</t>
  </si>
  <si>
    <t>06:29:40</t>
  </si>
  <si>
    <t>TX-001153</t>
  </si>
  <si>
    <t>12:44:18</t>
  </si>
  <si>
    <t>TX-001151</t>
  </si>
  <si>
    <t>12:51:39</t>
  </si>
  <si>
    <t>TX-001149</t>
  </si>
  <si>
    <t>13:45:18</t>
  </si>
  <si>
    <t>TX-001152</t>
  </si>
  <si>
    <t>16:22:35</t>
  </si>
  <si>
    <t>TX-001154</t>
  </si>
  <si>
    <t>16:49:00</t>
  </si>
  <si>
    <t>TX-001148</t>
  </si>
  <si>
    <t>21:31:51</t>
  </si>
  <si>
    <t>TX-001155</t>
  </si>
  <si>
    <t>06:53:11</t>
  </si>
  <si>
    <t>TX-001157</t>
  </si>
  <si>
    <t>07:41:08</t>
  </si>
  <si>
    <t>TX-001160</t>
  </si>
  <si>
    <t>07:53:33</t>
  </si>
  <si>
    <t>TX-001370</t>
  </si>
  <si>
    <t>15:11:11</t>
  </si>
  <si>
    <t>TX-001330</t>
  </si>
  <si>
    <t>15:27:48</t>
  </si>
  <si>
    <t>TX-001161</t>
  </si>
  <si>
    <t>16:35:34</t>
  </si>
  <si>
    <t>TX-001156</t>
  </si>
  <si>
    <t>16:59:43</t>
  </si>
  <si>
    <t>TX-001162</t>
  </si>
  <si>
    <t>17:04:09</t>
  </si>
  <si>
    <t>TX-001159</t>
  </si>
  <si>
    <t>20:50:52</t>
  </si>
  <si>
    <t>TX-001158</t>
  </si>
  <si>
    <t>20:57:55</t>
  </si>
  <si>
    <t>TX-001164</t>
  </si>
  <si>
    <t>09:55:50</t>
  </si>
  <si>
    <t>TX-001163</t>
  </si>
  <si>
    <t>11:36:38</t>
  </si>
  <si>
    <t>TX-001168</t>
  </si>
  <si>
    <t>12:58:05</t>
  </si>
  <si>
    <t>TX-001167</t>
  </si>
  <si>
    <t>TX-001165</t>
  </si>
  <si>
    <t>16:45:02</t>
  </si>
  <si>
    <t>TX-001166</t>
  </si>
  <si>
    <t>21:56:15</t>
  </si>
  <si>
    <t>TX-001172</t>
  </si>
  <si>
    <t>07:29:24</t>
  </si>
  <si>
    <t>TX-001171</t>
  </si>
  <si>
    <t>09:52:33</t>
  </si>
  <si>
    <t>TX-001169</t>
  </si>
  <si>
    <t>10:12:21</t>
  </si>
  <si>
    <t>TX-001173</t>
  </si>
  <si>
    <t>15:59:02</t>
  </si>
  <si>
    <t>TX-001170</t>
  </si>
  <si>
    <t>22:19:49</t>
  </si>
  <si>
    <t>TX-001174</t>
  </si>
  <si>
    <t>07:06:33</t>
  </si>
  <si>
    <t>TX-001176</t>
  </si>
  <si>
    <t>12:18:17</t>
  </si>
  <si>
    <t>TX-001178</t>
  </si>
  <si>
    <t>14:07:00</t>
  </si>
  <si>
    <t>TX-001175</t>
  </si>
  <si>
    <t>15:40:57</t>
  </si>
  <si>
    <t>TX-001306</t>
  </si>
  <si>
    <t>20:11:24</t>
  </si>
  <si>
    <t>TX-001177</t>
  </si>
  <si>
    <t>20:42:07</t>
  </si>
  <si>
    <t>TX-001182</t>
  </si>
  <si>
    <t>07:06:24</t>
  </si>
  <si>
    <t>TX-001181</t>
  </si>
  <si>
    <t>07:08:01</t>
  </si>
  <si>
    <t>TX-001180</t>
  </si>
  <si>
    <t>TX-001179</t>
  </si>
  <si>
    <t>16:17:09</t>
  </si>
  <si>
    <t>TX-001183</t>
  </si>
  <si>
    <t>18:11:45</t>
  </si>
  <si>
    <t>TX-001190</t>
  </si>
  <si>
    <t>06:04:30</t>
  </si>
  <si>
    <t>TX-001192</t>
  </si>
  <si>
    <t>09:25:52</t>
  </si>
  <si>
    <t>TX-001184</t>
  </si>
  <si>
    <t>12:45:48</t>
  </si>
  <si>
    <t>TX-001188</t>
  </si>
  <si>
    <t>14:58:23</t>
  </si>
  <si>
    <t>TX-001189</t>
  </si>
  <si>
    <t>16:50:55</t>
  </si>
  <si>
    <t>TX-001186</t>
  </si>
  <si>
    <t>20:06:29</t>
  </si>
  <si>
    <t>TX-001187</t>
  </si>
  <si>
    <t>20:30:14</t>
  </si>
  <si>
    <t>TX-001185</t>
  </si>
  <si>
    <t>20:36:08</t>
  </si>
  <si>
    <t>TX-001191</t>
  </si>
  <si>
    <t>20:54:10</t>
  </si>
  <si>
    <t>TX-001193</t>
  </si>
  <si>
    <t>08:50:19</t>
  </si>
  <si>
    <t>TX-001197</t>
  </si>
  <si>
    <t>13:11:42</t>
  </si>
  <si>
    <t>TX-001194</t>
  </si>
  <si>
    <t>19:15:39</t>
  </si>
  <si>
    <t>TX-001196</t>
  </si>
  <si>
    <t>19:50:27</t>
  </si>
  <si>
    <t>TX-001195</t>
  </si>
  <si>
    <t>21:24:04</t>
  </si>
  <si>
    <t>TX-001202</t>
  </si>
  <si>
    <t>10:28:34</t>
  </si>
  <si>
    <t>TX-001201</t>
  </si>
  <si>
    <t>10:56:37</t>
  </si>
  <si>
    <t>TX-001199</t>
  </si>
  <si>
    <t>11:19:25</t>
  </si>
  <si>
    <t>TX-001206</t>
  </si>
  <si>
    <t>15:03:23</t>
  </si>
  <si>
    <t>TX-001204</t>
  </si>
  <si>
    <t>15:58:59</t>
  </si>
  <si>
    <t>TX-001205</t>
  </si>
  <si>
    <t>17:05:37</t>
  </si>
  <si>
    <t>TX-001200</t>
  </si>
  <si>
    <t>18:20:31</t>
  </si>
  <si>
    <t>TX-001203</t>
  </si>
  <si>
    <t>20:12:13</t>
  </si>
  <si>
    <t>TX-001198</t>
  </si>
  <si>
    <t>20:20:35</t>
  </si>
  <si>
    <t>TX-001212</t>
  </si>
  <si>
    <t>08:41:01</t>
  </si>
  <si>
    <t>TX-001210</t>
  </si>
  <si>
    <t>11:30:08</t>
  </si>
  <si>
    <t>TX-001331</t>
  </si>
  <si>
    <t>12:50:43</t>
  </si>
  <si>
    <t>TX-001208</t>
  </si>
  <si>
    <t>13:27:44</t>
  </si>
  <si>
    <t>TX-001207</t>
  </si>
  <si>
    <t>17:07:55</t>
  </si>
  <si>
    <t>TX-001211</t>
  </si>
  <si>
    <t>17:53:26</t>
  </si>
  <si>
    <t>TX-001209</t>
  </si>
  <si>
    <t>18:25:24</t>
  </si>
  <si>
    <t>TX-001216</t>
  </si>
  <si>
    <t>06:36:31</t>
  </si>
  <si>
    <t>TX-001218</t>
  </si>
  <si>
    <t>07:02:36</t>
  </si>
  <si>
    <t>TX-001219</t>
  </si>
  <si>
    <t>09:37:30</t>
  </si>
  <si>
    <t>TX-001213</t>
  </si>
  <si>
    <t>10:05:08</t>
  </si>
  <si>
    <t>TX-001217</t>
  </si>
  <si>
    <t>14:26:59</t>
  </si>
  <si>
    <t>TX-001214</t>
  </si>
  <si>
    <t>19:39:11</t>
  </si>
  <si>
    <t>TX-001215</t>
  </si>
  <si>
    <t>20:24:22</t>
  </si>
  <si>
    <t>TX-001220</t>
  </si>
  <si>
    <t>22:54:48</t>
  </si>
  <si>
    <t>TX-001223</t>
  </si>
  <si>
    <t>06:30:29</t>
  </si>
  <si>
    <t>TX-001225</t>
  </si>
  <si>
    <t>07:44:59</t>
  </si>
  <si>
    <t>TX-001221</t>
  </si>
  <si>
    <t>08:15:30</t>
  </si>
  <si>
    <t>TX-001222</t>
  </si>
  <si>
    <t>15:39:03</t>
  </si>
  <si>
    <t>TX-001224</t>
  </si>
  <si>
    <t>16:26:22</t>
  </si>
  <si>
    <t>TX-001227</t>
  </si>
  <si>
    <t>06:18:31</t>
  </si>
  <si>
    <t>TX-001228</t>
  </si>
  <si>
    <t>08:54:50</t>
  </si>
  <si>
    <t>TX-001230</t>
  </si>
  <si>
    <t>09:38:11</t>
  </si>
  <si>
    <t>TX-001226</t>
  </si>
  <si>
    <t>11:36:03</t>
  </si>
  <si>
    <t>TX-001232</t>
  </si>
  <si>
    <t>13:31:11</t>
  </si>
  <si>
    <t>TX-001229</t>
  </si>
  <si>
    <t>14:17:54</t>
  </si>
  <si>
    <t>TX-001231</t>
  </si>
  <si>
    <t>17:51:11</t>
  </si>
  <si>
    <t>TX-001236</t>
  </si>
  <si>
    <t>09:03:10</t>
  </si>
  <si>
    <t>TX-001233</t>
  </si>
  <si>
    <t>10:53:31</t>
  </si>
  <si>
    <t>TX-001234</t>
  </si>
  <si>
    <t>13:42:28</t>
  </si>
  <si>
    <t>TX-001237</t>
  </si>
  <si>
    <t>15:30:47</t>
  </si>
  <si>
    <t>TX-001235</t>
  </si>
  <si>
    <t>17:03:41</t>
  </si>
  <si>
    <t>TX-001238</t>
  </si>
  <si>
    <t>18:30:16</t>
  </si>
  <si>
    <t>TX-001239</t>
  </si>
  <si>
    <t>19:00:18</t>
  </si>
  <si>
    <t>TX-001245</t>
  </si>
  <si>
    <t>06:43:00</t>
  </si>
  <si>
    <t>TX-001240</t>
  </si>
  <si>
    <t>07:06:58</t>
  </si>
  <si>
    <t>TX-001246</t>
  </si>
  <si>
    <t>09:33:06</t>
  </si>
  <si>
    <t>TX-001244</t>
  </si>
  <si>
    <t>12:33:21</t>
  </si>
  <si>
    <t>TX-001242</t>
  </si>
  <si>
    <t>14:51:06</t>
  </si>
  <si>
    <t>TX-001243</t>
  </si>
  <si>
    <t>18:29:49</t>
  </si>
  <si>
    <t>TX-001241</t>
  </si>
  <si>
    <t>19:39:58</t>
  </si>
  <si>
    <t>TX-001247</t>
  </si>
  <si>
    <t>06:39:05</t>
  </si>
  <si>
    <t>TX-001253</t>
  </si>
  <si>
    <t>TX-001249</t>
  </si>
  <si>
    <t>09:05:54</t>
  </si>
  <si>
    <t>TX-001250</t>
  </si>
  <si>
    <t>11:57:07</t>
  </si>
  <si>
    <t>TX-001248</t>
  </si>
  <si>
    <t>12:38:40</t>
  </si>
  <si>
    <t>TX-001254</t>
  </si>
  <si>
    <t>14:11:28</t>
  </si>
  <si>
    <t>TX-001252</t>
  </si>
  <si>
    <t>14:49:27</t>
  </si>
  <si>
    <t>TX-001255</t>
  </si>
  <si>
    <t>18:11:41</t>
  </si>
  <si>
    <t>TX-001251</t>
  </si>
  <si>
    <t>20:42:59</t>
  </si>
  <si>
    <t>TX-001263</t>
  </si>
  <si>
    <t>06:24:44</t>
  </si>
  <si>
    <t>TX-001261</t>
  </si>
  <si>
    <t>06:32:45</t>
  </si>
  <si>
    <t>TX-001259</t>
  </si>
  <si>
    <t>10:41:40</t>
  </si>
  <si>
    <t>TX-001257</t>
  </si>
  <si>
    <t>14:06:02</t>
  </si>
  <si>
    <t>TX-001258</t>
  </si>
  <si>
    <t>14:49:28</t>
  </si>
  <si>
    <t>TX-001260</t>
  </si>
  <si>
    <t>18:17:09</t>
  </si>
  <si>
    <t>TX-001262</t>
  </si>
  <si>
    <t>18:54:46</t>
  </si>
  <si>
    <t>TX-001256</t>
  </si>
  <si>
    <t>19:13:39</t>
  </si>
  <si>
    <t>TX-001270</t>
  </si>
  <si>
    <t>06:46:37</t>
  </si>
  <si>
    <t>TX-001268</t>
  </si>
  <si>
    <t>09:40:44</t>
  </si>
  <si>
    <t>TX-001271</t>
  </si>
  <si>
    <t>15:31:34</t>
  </si>
  <si>
    <t>TX-001266</t>
  </si>
  <si>
    <t>15:41:12</t>
  </si>
  <si>
    <t>TX-001265</t>
  </si>
  <si>
    <t>16:05:53</t>
  </si>
  <si>
    <t>TX-001264</t>
  </si>
  <si>
    <t>18:03:40</t>
  </si>
  <si>
    <t>TX-001267</t>
  </si>
  <si>
    <t>18:42:12</t>
  </si>
  <si>
    <t>TX-001307</t>
  </si>
  <si>
    <t>TX-001269</t>
  </si>
  <si>
    <t>20:47:12</t>
  </si>
  <si>
    <t>TX-001272</t>
  </si>
  <si>
    <t>07:21:50</t>
  </si>
  <si>
    <t>TX-001275</t>
  </si>
  <si>
    <t>07:47:09</t>
  </si>
  <si>
    <t>TX-001280</t>
  </si>
  <si>
    <t>08:51:12</t>
  </si>
  <si>
    <t>TX-001279</t>
  </si>
  <si>
    <t>08:52:52</t>
  </si>
  <si>
    <t>TX-001278</t>
  </si>
  <si>
    <t>TX-001277</t>
  </si>
  <si>
    <t>10:00:11</t>
  </si>
  <si>
    <t>TX-001274</t>
  </si>
  <si>
    <t>10:47:37</t>
  </si>
  <si>
    <t>TX-001273</t>
  </si>
  <si>
    <t>12:51:41</t>
  </si>
  <si>
    <t>TX-001276</t>
  </si>
  <si>
    <t>21:58:58</t>
  </si>
  <si>
    <t>TX-001289</t>
  </si>
  <si>
    <t>07:38:11</t>
  </si>
  <si>
    <t>TX-001286</t>
  </si>
  <si>
    <t>08:00:00</t>
  </si>
  <si>
    <t>TX-001281</t>
  </si>
  <si>
    <t>10:20:53</t>
  </si>
  <si>
    <t>TX-001282</t>
  </si>
  <si>
    <t>11:21:04</t>
  </si>
  <si>
    <t>TX-001288</t>
  </si>
  <si>
    <t>12:09:40</t>
  </si>
  <si>
    <t>TX-001287</t>
  </si>
  <si>
    <t>15:26:44</t>
  </si>
  <si>
    <t>TX-001285</t>
  </si>
  <si>
    <t>18:49:10</t>
  </si>
  <si>
    <t>TX-001283</t>
  </si>
  <si>
    <t>19:10:44</t>
  </si>
  <si>
    <t>TX-001284</t>
  </si>
  <si>
    <t>20:15:59</t>
  </si>
  <si>
    <t>TX-001290</t>
  </si>
  <si>
    <t>06:35:15</t>
  </si>
  <si>
    <t>TX-001293</t>
  </si>
  <si>
    <t>12:07:50</t>
  </si>
  <si>
    <t>TX-001295</t>
  </si>
  <si>
    <t>12:27:16</t>
  </si>
  <si>
    <t>TX-001294</t>
  </si>
  <si>
    <t>21:31:11</t>
  </si>
  <si>
    <t>TX-001291</t>
  </si>
  <si>
    <t>22:06:39</t>
  </si>
  <si>
    <t>TX-001292</t>
  </si>
  <si>
    <t>22:14:29</t>
  </si>
  <si>
    <t>signed_amount</t>
  </si>
  <si>
    <t>Large_Transaction_Flag</t>
  </si>
  <si>
    <t>Cash_Flag</t>
  </si>
  <si>
    <t>Near_10k_Flag</t>
  </si>
  <si>
    <t>Normal</t>
  </si>
  <si>
    <t>Non-Cash</t>
  </si>
  <si>
    <t>Other</t>
  </si>
  <si>
    <t>Large</t>
  </si>
  <si>
    <t>Near 10k</t>
  </si>
  <si>
    <t>Transaction_Count</t>
  </si>
  <si>
    <t>AML Summary.Flagged_Count</t>
  </si>
  <si>
    <t>AML Summary Flagged Amount</t>
  </si>
  <si>
    <t>Total Amount</t>
  </si>
  <si>
    <t>Flagged Percentage</t>
  </si>
  <si>
    <t>Total Flagged Transactions</t>
  </si>
  <si>
    <t>Total Flagged Amount</t>
  </si>
  <si>
    <t>Flagged Transaction Rate</t>
  </si>
  <si>
    <t>Top Flagged Transaction Type</t>
  </si>
  <si>
    <t>Flagged Transactions</t>
  </si>
  <si>
    <t>Near-10k flagged transactions</t>
  </si>
  <si>
    <t>Cash Deposits</t>
  </si>
  <si>
    <t>Deposit Amount</t>
  </si>
  <si>
    <t>Transactions Amount</t>
  </si>
  <si>
    <t>Near-10k International Wires</t>
  </si>
  <si>
    <t>International Wires</t>
  </si>
  <si>
    <t>Transaction Amount</t>
  </si>
  <si>
    <t>Near-10k Activity Total</t>
  </si>
  <si>
    <t>Days_Since_Previous</t>
  </si>
  <si>
    <t>Previous_Transaction_Type</t>
  </si>
  <si>
    <t>-</t>
  </si>
  <si>
    <t>Transaction_Date.1</t>
  </si>
  <si>
    <t>3/1/2026</t>
  </si>
  <si>
    <t>6:48 AM</t>
  </si>
  <si>
    <t>15.33</t>
  </si>
  <si>
    <t>59705.6</t>
  </si>
  <si>
    <t>-15.33</t>
  </si>
  <si>
    <t>8:37 AM</t>
  </si>
  <si>
    <t>55.83</t>
  </si>
  <si>
    <t>59831.99</t>
  </si>
  <si>
    <t>-55.83</t>
  </si>
  <si>
    <t>12:14 PM</t>
  </si>
  <si>
    <t>21.78</t>
  </si>
  <si>
    <t>59810.21</t>
  </si>
  <si>
    <t>-21.78</t>
  </si>
  <si>
    <t>1:14 PM</t>
  </si>
  <si>
    <t>112.18</t>
  </si>
  <si>
    <t>59887.82</t>
  </si>
  <si>
    <t>-112.18</t>
  </si>
  <si>
    <t>4:06 PM</t>
  </si>
  <si>
    <t>44.88</t>
  </si>
  <si>
    <t>59660.72</t>
  </si>
  <si>
    <t>-44.88</t>
  </si>
  <si>
    <t>7:14 PM</t>
  </si>
  <si>
    <t>89.28</t>
  </si>
  <si>
    <t>59720.93</t>
  </si>
  <si>
    <t>-89.28</t>
  </si>
  <si>
    <t>3/2/2026</t>
  </si>
  <si>
    <t>7:46 AM</t>
  </si>
  <si>
    <t>39.39</t>
  </si>
  <si>
    <t>59621.33</t>
  </si>
  <si>
    <t>-39.39</t>
  </si>
  <si>
    <t>9:24 AM</t>
  </si>
  <si>
    <t>64.77</t>
  </si>
  <si>
    <t>59504.79</t>
  </si>
  <si>
    <t>-64.77</t>
  </si>
  <si>
    <t>11:34 AM</t>
  </si>
  <si>
    <t>160</t>
  </si>
  <si>
    <t>59310.9</t>
  </si>
  <si>
    <t>-160</t>
  </si>
  <si>
    <t>1:49 PM</t>
  </si>
  <si>
    <t>24.29</t>
  </si>
  <si>
    <t>59569.56</t>
  </si>
  <si>
    <t>-24.29</t>
  </si>
  <si>
    <t>2:44 PM</t>
  </si>
  <si>
    <t>18.89</t>
  </si>
  <si>
    <t>59470.9</t>
  </si>
  <si>
    <t>-18.89</t>
  </si>
  <si>
    <t>5:10 PM</t>
  </si>
  <si>
    <t>15</t>
  </si>
  <si>
    <t>59489.79</t>
  </si>
  <si>
    <t>-15</t>
  </si>
  <si>
    <t>5:17 PM</t>
  </si>
  <si>
    <t>1850</t>
  </si>
  <si>
    <t>49199.23</t>
  </si>
  <si>
    <t>-1850</t>
  </si>
  <si>
    <t>5:36 PM</t>
  </si>
  <si>
    <t>15.61</t>
  </si>
  <si>
    <t>59593.85</t>
  </si>
  <si>
    <t>-15.61</t>
  </si>
  <si>
    <t>6:05 PM</t>
  </si>
  <si>
    <t>11.87</t>
  </si>
  <si>
    <t>59609.46</t>
  </si>
  <si>
    <t>-11.87</t>
  </si>
  <si>
    <t>3/3/2026</t>
  </si>
  <si>
    <t>7:51 AM</t>
  </si>
  <si>
    <t>47.09</t>
  </si>
  <si>
    <t>59224.03</t>
  </si>
  <si>
    <t>-47.09</t>
  </si>
  <si>
    <t>10:15 AM</t>
  </si>
  <si>
    <t>59181.88</t>
  </si>
  <si>
    <t>12:58 PM</t>
  </si>
  <si>
    <t>8.09</t>
  </si>
  <si>
    <t>59215.94</t>
  </si>
  <si>
    <t>-8.09</t>
  </si>
  <si>
    <t>2:59 PM</t>
  </si>
  <si>
    <t>26.49</t>
  </si>
  <si>
    <t>59284.41</t>
  </si>
  <si>
    <t>-26.49</t>
  </si>
  <si>
    <t>4:53 PM</t>
  </si>
  <si>
    <t>13.29</t>
  </si>
  <si>
    <t>59271.12</t>
  </si>
  <si>
    <t>-13.29</t>
  </si>
  <si>
    <t>9:25 PM</t>
  </si>
  <si>
    <t>19.06</t>
  </si>
  <si>
    <t>59196.88</t>
  </si>
  <si>
    <t>-19.06</t>
  </si>
  <si>
    <t>3/4/2026</t>
  </si>
  <si>
    <t>6:43 AM</t>
  </si>
  <si>
    <t>22.91</t>
  </si>
  <si>
    <t>59039.37</t>
  </si>
  <si>
    <t>-22.91</t>
  </si>
  <si>
    <t>9:09 AM</t>
  </si>
  <si>
    <t>59.79</t>
  </si>
  <si>
    <t>59112.21</t>
  </si>
  <si>
    <t>-59.79</t>
  </si>
  <si>
    <t>10:32 AM</t>
  </si>
  <si>
    <t>9.88</t>
  </si>
  <si>
    <t>59172</t>
  </si>
  <si>
    <t>-9.88</t>
  </si>
  <si>
    <t>2:32 PM</t>
  </si>
  <si>
    <t>139.13</t>
  </si>
  <si>
    <t>58830.35</t>
  </si>
  <si>
    <t>-139.13</t>
  </si>
  <si>
    <t>2:49 PM</t>
  </si>
  <si>
    <t>56.09</t>
  </si>
  <si>
    <t>58983.28</t>
  </si>
  <si>
    <t>-56.09</t>
  </si>
  <si>
    <t>7:10 PM</t>
  </si>
  <si>
    <t>13.8</t>
  </si>
  <si>
    <t>58969.48</t>
  </si>
  <si>
    <t>-13.8</t>
  </si>
  <si>
    <t>7:38 PM</t>
  </si>
  <si>
    <t>39.68</t>
  </si>
  <si>
    <t>59072.53</t>
  </si>
  <si>
    <t>-39.68</t>
  </si>
  <si>
    <t>8:33 PM</t>
  </si>
  <si>
    <t>10.25</t>
  </si>
  <si>
    <t>59062.28</t>
  </si>
  <si>
    <t>-10.25</t>
  </si>
  <si>
    <t>10:38 PM</t>
  </si>
  <si>
    <t>67.75</t>
  </si>
  <si>
    <t>58898.1</t>
  </si>
  <si>
    <t>3/5/2026</t>
  </si>
  <si>
    <t>9:59 AM</t>
  </si>
  <si>
    <t>33.41</t>
  </si>
  <si>
    <t>58840.39</t>
  </si>
  <si>
    <t>-33.41</t>
  </si>
  <si>
    <t>10:42 AM</t>
  </si>
  <si>
    <t>21.49</t>
  </si>
  <si>
    <t>58785.27</t>
  </si>
  <si>
    <t>-21.49</t>
  </si>
  <si>
    <t>1:56 PM</t>
  </si>
  <si>
    <t>7.35</t>
  </si>
  <si>
    <t>58833.04</t>
  </si>
  <si>
    <t>-7.35</t>
  </si>
  <si>
    <t>9:52 PM</t>
  </si>
  <si>
    <t>26.28</t>
  </si>
  <si>
    <t>58806.76</t>
  </si>
  <si>
    <t>-26.28</t>
  </si>
  <si>
    <t>10:55 PM</t>
  </si>
  <si>
    <t>12.48</t>
  </si>
  <si>
    <t>58772.79</t>
  </si>
  <si>
    <t>-12.48</t>
  </si>
  <si>
    <t>10:58 PM</t>
  </si>
  <si>
    <t>24.3</t>
  </si>
  <si>
    <t>58873.8</t>
  </si>
  <si>
    <t>-24.3</t>
  </si>
  <si>
    <t>3/6/2026</t>
  </si>
  <si>
    <t>7:14 AM</t>
  </si>
  <si>
    <t>27.02</t>
  </si>
  <si>
    <t>58710.32</t>
  </si>
  <si>
    <t>-27.02</t>
  </si>
  <si>
    <t>8:32 AM</t>
  </si>
  <si>
    <t>127.17</t>
  </si>
  <si>
    <t>58583.15</t>
  </si>
  <si>
    <t>-127.17</t>
  </si>
  <si>
    <t>12:34 PM</t>
  </si>
  <si>
    <t>13.37</t>
  </si>
  <si>
    <t>58569.78</t>
  </si>
  <si>
    <t>-13.37</t>
  </si>
  <si>
    <t>16.77</t>
  </si>
  <si>
    <t>58746.43</t>
  </si>
  <si>
    <t>-16.77</t>
  </si>
  <si>
    <t>1:37 PM</t>
  </si>
  <si>
    <t>9.09</t>
  </si>
  <si>
    <t>58737.34</t>
  </si>
  <si>
    <t>-9.09</t>
  </si>
  <si>
    <t>5:28 PM</t>
  </si>
  <si>
    <t>9.59</t>
  </si>
  <si>
    <t>58763.2</t>
  </si>
  <si>
    <t>-9.59</t>
  </si>
  <si>
    <t>3/7/2026</t>
  </si>
  <si>
    <t>7:17 AM</t>
  </si>
  <si>
    <t>120.18</t>
  </si>
  <si>
    <t>49079.05</t>
  </si>
  <si>
    <t>-120.18</t>
  </si>
  <si>
    <t>7:43 AM</t>
  </si>
  <si>
    <t>58348.17</t>
  </si>
  <si>
    <t>8:59 AM</t>
  </si>
  <si>
    <t>22.54</t>
  </si>
  <si>
    <t>58197.13</t>
  </si>
  <si>
    <t>-22.54</t>
  </si>
  <si>
    <t>9:03 AM</t>
  </si>
  <si>
    <t>44.16</t>
  </si>
  <si>
    <t>58219.67</t>
  </si>
  <si>
    <t>-44.16</t>
  </si>
  <si>
    <t>34.43</t>
  </si>
  <si>
    <t>58288.71</t>
  </si>
  <si>
    <t>-34.43</t>
  </si>
  <si>
    <t>2:29 PM</t>
  </si>
  <si>
    <t>24.88</t>
  </si>
  <si>
    <t>58263.83</t>
  </si>
  <si>
    <t>-24.88</t>
  </si>
  <si>
    <t>4:51 PM</t>
  </si>
  <si>
    <t>25.03</t>
  </si>
  <si>
    <t>58323.14</t>
  </si>
  <si>
    <t>-25.03</t>
  </si>
  <si>
    <t>5:27 PM</t>
  </si>
  <si>
    <t>54.95</t>
  </si>
  <si>
    <t>58363.17</t>
  </si>
  <si>
    <t>-54.95</t>
  </si>
  <si>
    <t>7:12 PM</t>
  </si>
  <si>
    <t>151.66</t>
  </si>
  <si>
    <t>58418.12</t>
  </si>
  <si>
    <t>-151.66</t>
  </si>
  <si>
    <t>3/8/2026</t>
  </si>
  <si>
    <t>7:37 AM</t>
  </si>
  <si>
    <t>7.05</t>
  </si>
  <si>
    <t>58136.92</t>
  </si>
  <si>
    <t>-7.05</t>
  </si>
  <si>
    <t>11:04 AM</t>
  </si>
  <si>
    <t>11.2</t>
  </si>
  <si>
    <t>58099.81</t>
  </si>
  <si>
    <t>-11.2</t>
  </si>
  <si>
    <t>1:25 PM</t>
  </si>
  <si>
    <t>55.76</t>
  </si>
  <si>
    <t>58044.05</t>
  </si>
  <si>
    <t>-55.76</t>
  </si>
  <si>
    <t>4:03 PM</t>
  </si>
  <si>
    <t>10.91</t>
  </si>
  <si>
    <t>58126.01</t>
  </si>
  <si>
    <t>-10.91</t>
  </si>
  <si>
    <t>6:16 PM</t>
  </si>
  <si>
    <t>23.16</t>
  </si>
  <si>
    <t>58158.97</t>
  </si>
  <si>
    <t>-23.16</t>
  </si>
  <si>
    <t>6:57 PM</t>
  </si>
  <si>
    <t>58182.13</t>
  </si>
  <si>
    <t>9:09 PM</t>
  </si>
  <si>
    <t>58143.97</t>
  </si>
  <si>
    <t>10:10 PM</t>
  </si>
  <si>
    <t>58111.01</t>
  </si>
  <si>
    <t>3/9/2026</t>
  </si>
  <si>
    <t>9:04 AM</t>
  </si>
  <si>
    <t>22.47</t>
  </si>
  <si>
    <t>57966.27</t>
  </si>
  <si>
    <t>-22.47</t>
  </si>
  <si>
    <t>10:59 AM</t>
  </si>
  <si>
    <t>102.05</t>
  </si>
  <si>
    <t>57864.22</t>
  </si>
  <si>
    <t>-102.05</t>
  </si>
  <si>
    <t>3:29 PM</t>
  </si>
  <si>
    <t>5.49</t>
  </si>
  <si>
    <t>57988.74</t>
  </si>
  <si>
    <t>-5.49</t>
  </si>
  <si>
    <t>4:15 PM</t>
  </si>
  <si>
    <t>6.86</t>
  </si>
  <si>
    <t>57994.23</t>
  </si>
  <si>
    <t>-6.86</t>
  </si>
  <si>
    <t>10:20 PM</t>
  </si>
  <si>
    <t>42.96</t>
  </si>
  <si>
    <t>58001.09</t>
  </si>
  <si>
    <t>-42.96</t>
  </si>
  <si>
    <t>3/10/2026</t>
  </si>
  <si>
    <t>10:16 AM</t>
  </si>
  <si>
    <t>68.95</t>
  </si>
  <si>
    <t>57778.94</t>
  </si>
  <si>
    <t>-68.95</t>
  </si>
  <si>
    <t>10:17 AM</t>
  </si>
  <si>
    <t>59.12</t>
  </si>
  <si>
    <t>57719.82</t>
  </si>
  <si>
    <t>-59.12</t>
  </si>
  <si>
    <t>12:43 PM</t>
  </si>
  <si>
    <t>139.73</t>
  </si>
  <si>
    <t>57580.09</t>
  </si>
  <si>
    <t>-139.73</t>
  </si>
  <si>
    <t>2:10 PM</t>
  </si>
  <si>
    <t>121.94</t>
  </si>
  <si>
    <t>57661.23</t>
  </si>
  <si>
    <t>2:57 PM</t>
  </si>
  <si>
    <t>11.08</t>
  </si>
  <si>
    <t>57569.01</t>
  </si>
  <si>
    <t>-11.08</t>
  </si>
  <si>
    <t>3:39 PM</t>
  </si>
  <si>
    <t>6.21</t>
  </si>
  <si>
    <t>57858.01</t>
  </si>
  <si>
    <t>-6.21</t>
  </si>
  <si>
    <t>3:59 PM</t>
  </si>
  <si>
    <t>10.12</t>
  </si>
  <si>
    <t>57847.89</t>
  </si>
  <si>
    <t>-10.12</t>
  </si>
  <si>
    <t>7:53 PM</t>
  </si>
  <si>
    <t>29.72</t>
  </si>
  <si>
    <t>57539.29</t>
  </si>
  <si>
    <t>-29.72</t>
  </si>
  <si>
    <t>8:26 PM</t>
  </si>
  <si>
    <t>84.81</t>
  </si>
  <si>
    <t>48994.24</t>
  </si>
  <si>
    <t>-84.81</t>
  </si>
  <si>
    <t>3/11/2026</t>
  </si>
  <si>
    <t>6:11 AM</t>
  </si>
  <si>
    <t>43.26</t>
  </si>
  <si>
    <t>57335.94</t>
  </si>
  <si>
    <t>-43.26</t>
  </si>
  <si>
    <t>7:19 AM</t>
  </si>
  <si>
    <t>25.19</t>
  </si>
  <si>
    <t>57596.07</t>
  </si>
  <si>
    <t>-25.19</t>
  </si>
  <si>
    <t>8:56 AM</t>
  </si>
  <si>
    <t>10.15</t>
  </si>
  <si>
    <t>57651.08</t>
  </si>
  <si>
    <t>-10.15</t>
  </si>
  <si>
    <t>132.16</t>
  </si>
  <si>
    <t>57463.91</t>
  </si>
  <si>
    <t>-132.16</t>
  </si>
  <si>
    <t>1:55 PM</t>
  </si>
  <si>
    <t>45.03</t>
  </si>
  <si>
    <t>57379.2</t>
  </si>
  <si>
    <t>-45.03</t>
  </si>
  <si>
    <t>5:37 PM</t>
  </si>
  <si>
    <t>29.82</t>
  </si>
  <si>
    <t>57621.26</t>
  </si>
  <si>
    <t>-29.82</t>
  </si>
  <si>
    <t>7:39 PM</t>
  </si>
  <si>
    <t>57424.23</t>
  </si>
  <si>
    <t>7:51 PM</t>
  </si>
  <si>
    <t>48.68</t>
  </si>
  <si>
    <t>57287.26</t>
  </si>
  <si>
    <t>-48.68</t>
  </si>
  <si>
    <t>3/12/2026</t>
  </si>
  <si>
    <t>6:07 AM</t>
  </si>
  <si>
    <t>14.97</t>
  </si>
  <si>
    <t>56998.91</t>
  </si>
  <si>
    <t>-14.97</t>
  </si>
  <si>
    <t>39.49</t>
  </si>
  <si>
    <t>57247.77</t>
  </si>
  <si>
    <t>-39.49</t>
  </si>
  <si>
    <t>1:12 PM</t>
  </si>
  <si>
    <t>127.04</t>
  </si>
  <si>
    <t>57120.73</t>
  </si>
  <si>
    <t>-127.04</t>
  </si>
  <si>
    <t>57105.73</t>
  </si>
  <si>
    <t>2:02 PM</t>
  </si>
  <si>
    <t>6.5</t>
  </si>
  <si>
    <t>56992.41</t>
  </si>
  <si>
    <t>-6.5</t>
  </si>
  <si>
    <t>2:55 PM</t>
  </si>
  <si>
    <t>82.93</t>
  </si>
  <si>
    <t>57022.8</t>
  </si>
  <si>
    <t>-82.93</t>
  </si>
  <si>
    <t>10:25 PM</t>
  </si>
  <si>
    <t>8.92</t>
  </si>
  <si>
    <t>57013.88</t>
  </si>
  <si>
    <t>-8.92</t>
  </si>
  <si>
    <t>3/13/2026</t>
  </si>
  <si>
    <t>12:23 PM</t>
  </si>
  <si>
    <t>20.3</t>
  </si>
  <si>
    <t>56900.25</t>
  </si>
  <si>
    <t>-20.3</t>
  </si>
  <si>
    <t>3:32 PM</t>
  </si>
  <si>
    <t>57.99</t>
  </si>
  <si>
    <t>56772.82</t>
  </si>
  <si>
    <t>-57.99</t>
  </si>
  <si>
    <t>3:35 PM</t>
  </si>
  <si>
    <t>9.2</t>
  </si>
  <si>
    <t>56763.62</t>
  </si>
  <si>
    <t>-9.2</t>
  </si>
  <si>
    <t>4:39 PM</t>
  </si>
  <si>
    <t>69.44</t>
  </si>
  <si>
    <t>56830.81</t>
  </si>
  <si>
    <t>-69.44</t>
  </si>
  <si>
    <t>6:43 PM</t>
  </si>
  <si>
    <t>86.84</t>
  </si>
  <si>
    <t>56676.78</t>
  </si>
  <si>
    <t>-86.84</t>
  </si>
  <si>
    <t>7:00 PM</t>
  </si>
  <si>
    <t>57.34</t>
  </si>
  <si>
    <t>56920.55</t>
  </si>
  <si>
    <t>-57.34</t>
  </si>
  <si>
    <t>10:07 PM</t>
  </si>
  <si>
    <t>14.52</t>
  </si>
  <si>
    <t>56977.89</t>
  </si>
  <si>
    <t>-14.52</t>
  </si>
  <si>
    <t>3/14/2026</t>
  </si>
  <si>
    <t>6:19 AM</t>
  </si>
  <si>
    <t>13.41</t>
  </si>
  <si>
    <t>56663.37</t>
  </si>
  <si>
    <t>-13.41</t>
  </si>
  <si>
    <t>8:29 AM</t>
  </si>
  <si>
    <t>187.14</t>
  </si>
  <si>
    <t>56169.93</t>
  </si>
  <si>
    <t>-187.14</t>
  </si>
  <si>
    <t>10:01 AM</t>
  </si>
  <si>
    <t>155.57</t>
  </si>
  <si>
    <t>56357.07</t>
  </si>
  <si>
    <t>-155.57</t>
  </si>
  <si>
    <t>1:43 PM</t>
  </si>
  <si>
    <t>12.86</t>
  </si>
  <si>
    <t>56512.64</t>
  </si>
  <si>
    <t>-12.86</t>
  </si>
  <si>
    <t>34.35</t>
  </si>
  <si>
    <t>56525.5</t>
  </si>
  <si>
    <t>-34.35</t>
  </si>
  <si>
    <t>4:29 PM</t>
  </si>
  <si>
    <t>88.52</t>
  </si>
  <si>
    <t>56574.85</t>
  </si>
  <si>
    <t>-88.52</t>
  </si>
  <si>
    <t>10:30 PM</t>
  </si>
  <si>
    <t>56559.85</t>
  </si>
  <si>
    <t>3/15/2026</t>
  </si>
  <si>
    <t>9:29 AM</t>
  </si>
  <si>
    <t>13.74</t>
  </si>
  <si>
    <t>55966.51</t>
  </si>
  <si>
    <t>-13.74</t>
  </si>
  <si>
    <t>9:49 AM</t>
  </si>
  <si>
    <t>131.37</t>
  </si>
  <si>
    <t>56023.56</t>
  </si>
  <si>
    <t>-131.37</t>
  </si>
  <si>
    <t>10:41 AM</t>
  </si>
  <si>
    <t>56154.93</t>
  </si>
  <si>
    <t>11:47 AM</t>
  </si>
  <si>
    <t>16.69</t>
  </si>
  <si>
    <t>55919.82</t>
  </si>
  <si>
    <t>-16.69</t>
  </si>
  <si>
    <t>1:53 PM</t>
  </si>
  <si>
    <t>55904.82</t>
  </si>
  <si>
    <t>2:28 PM</t>
  </si>
  <si>
    <t>120.28</t>
  </si>
  <si>
    <t>55784.54</t>
  </si>
  <si>
    <t>-120.28</t>
  </si>
  <si>
    <t>4:48 PM</t>
  </si>
  <si>
    <t>55951.51</t>
  </si>
  <si>
    <t>8:02 PM</t>
  </si>
  <si>
    <t>3211.03</t>
  </si>
  <si>
    <t>16458.43</t>
  </si>
  <si>
    <t>10:27 PM</t>
  </si>
  <si>
    <t>55936.51</t>
  </si>
  <si>
    <t>10:29 PM</t>
  </si>
  <si>
    <t>43.31</t>
  </si>
  <si>
    <t>55980.25</t>
  </si>
  <si>
    <t>-43.31</t>
  </si>
  <si>
    <t>3/16/2026</t>
  </si>
  <si>
    <t>8:08 AM</t>
  </si>
  <si>
    <t>8.7</t>
  </si>
  <si>
    <t>55775.84</t>
  </si>
  <si>
    <t>-8.7</t>
  </si>
  <si>
    <t>10:45 AM</t>
  </si>
  <si>
    <t>80.18</t>
  </si>
  <si>
    <t>55695.66</t>
  </si>
  <si>
    <t>-80.18</t>
  </si>
  <si>
    <t>4:34 PM</t>
  </si>
  <si>
    <t>42.74</t>
  </si>
  <si>
    <t>55652.92</t>
  </si>
  <si>
    <t>-42.74</t>
  </si>
  <si>
    <t>6:30 PM</t>
  </si>
  <si>
    <t>126.8</t>
  </si>
  <si>
    <t>55521.94</t>
  </si>
  <si>
    <t>-126.8</t>
  </si>
  <si>
    <t>6:54 PM</t>
  </si>
  <si>
    <t>23.53</t>
  </si>
  <si>
    <t>55498.41</t>
  </si>
  <si>
    <t>-23.53</t>
  </si>
  <si>
    <t>7:24 PM</t>
  </si>
  <si>
    <t>4.18</t>
  </si>
  <si>
    <t>55648.74</t>
  </si>
  <si>
    <t>-4.18</t>
  </si>
  <si>
    <t>3/17/2026</t>
  </si>
  <si>
    <t>6:58 AM</t>
  </si>
  <si>
    <t>55459.02</t>
  </si>
  <si>
    <t>8:30 AM</t>
  </si>
  <si>
    <t>87.45</t>
  </si>
  <si>
    <t>55409.87</t>
  </si>
  <si>
    <t>2:24 PM</t>
  </si>
  <si>
    <t>55415.36</t>
  </si>
  <si>
    <t>92.94</t>
  </si>
  <si>
    <t>55322.42</t>
  </si>
  <si>
    <t>-92.94</t>
  </si>
  <si>
    <t>6:46 PM</t>
  </si>
  <si>
    <t>9.39</t>
  </si>
  <si>
    <t>55474.02</t>
  </si>
  <si>
    <t>-9.39</t>
  </si>
  <si>
    <t>7:08 PM</t>
  </si>
  <si>
    <t>28.66</t>
  </si>
  <si>
    <t>55430.36</t>
  </si>
  <si>
    <t>-28.66</t>
  </si>
  <si>
    <t>7:31 PM</t>
  </si>
  <si>
    <t>55483.41</t>
  </si>
  <si>
    <t>3/18/2026</t>
  </si>
  <si>
    <t>8:49 AM</t>
  </si>
  <si>
    <t>19.66</t>
  </si>
  <si>
    <t>55390.21</t>
  </si>
  <si>
    <t>-19.66</t>
  </si>
  <si>
    <t>11:38 AM</t>
  </si>
  <si>
    <t>14.74</t>
  </si>
  <si>
    <t>55114.57</t>
  </si>
  <si>
    <t>-14.74</t>
  </si>
  <si>
    <t>12:29 PM</t>
  </si>
  <si>
    <t>50.2</t>
  </si>
  <si>
    <t>55129.31</t>
  </si>
  <si>
    <t>-50.2</t>
  </si>
  <si>
    <t>1:08 PM</t>
  </si>
  <si>
    <t>96.91</t>
  </si>
  <si>
    <t>55179.51</t>
  </si>
  <si>
    <t>-96.91</t>
  </si>
  <si>
    <t>113.79</t>
  </si>
  <si>
    <t>55276.42</t>
  </si>
  <si>
    <t>-113.79</t>
  </si>
  <si>
    <t>3/19/2026</t>
  </si>
  <si>
    <t>6:59 AM</t>
  </si>
  <si>
    <t>5.51</t>
  </si>
  <si>
    <t>55109.06</t>
  </si>
  <si>
    <t>-5.51</t>
  </si>
  <si>
    <t>7:22 AM</t>
  </si>
  <si>
    <t>61.81</t>
  </si>
  <si>
    <t>55006.57</t>
  </si>
  <si>
    <t>-61.81</t>
  </si>
  <si>
    <t>15.57</t>
  </si>
  <si>
    <t>54991</t>
  </si>
  <si>
    <t>-15.57</t>
  </si>
  <si>
    <t>10:27 AM</t>
  </si>
  <si>
    <t>152.59</t>
  </si>
  <si>
    <t>55134.93</t>
  </si>
  <si>
    <t>12:04 PM</t>
  </si>
  <si>
    <t>10.54</t>
  </si>
  <si>
    <t>55098.52</t>
  </si>
  <si>
    <t>-10.54</t>
  </si>
  <si>
    <t>3:54 PM</t>
  </si>
  <si>
    <t>30.14</t>
  </si>
  <si>
    <t>55068.38</t>
  </si>
  <si>
    <t>-30.14</t>
  </si>
  <si>
    <t>7:52 PM</t>
  </si>
  <si>
    <t>8.66</t>
  </si>
  <si>
    <t>54982.34</t>
  </si>
  <si>
    <t>-8.66</t>
  </si>
  <si>
    <t>3/20/2026</t>
  </si>
  <si>
    <t>11:31 AM</t>
  </si>
  <si>
    <t>55038.85</t>
  </si>
  <si>
    <t>8.51</t>
  </si>
  <si>
    <t>55104.8</t>
  </si>
  <si>
    <t>-8.51</t>
  </si>
  <si>
    <t>89.99</t>
  </si>
  <si>
    <t>48904.25</t>
  </si>
  <si>
    <t>-89.99</t>
  </si>
  <si>
    <t>4:17 PM</t>
  </si>
  <si>
    <t>49.49</t>
  </si>
  <si>
    <t>54989.36</t>
  </si>
  <si>
    <t>-49.49</t>
  </si>
  <si>
    <t>6:21 PM</t>
  </si>
  <si>
    <t>55053.85</t>
  </si>
  <si>
    <t>8:15 PM</t>
  </si>
  <si>
    <t>35.95</t>
  </si>
  <si>
    <t>55068.85</t>
  </si>
  <si>
    <t>-35.95</t>
  </si>
  <si>
    <t>8:27 PM</t>
  </si>
  <si>
    <t>21.62</t>
  </si>
  <si>
    <t>55113.31</t>
  </si>
  <si>
    <t>-21.62</t>
  </si>
  <si>
    <t>9:41 PM</t>
  </si>
  <si>
    <t>141.31</t>
  </si>
  <si>
    <t>54836.27</t>
  </si>
  <si>
    <t>-141.31</t>
  </si>
  <si>
    <t>10:12 PM</t>
  </si>
  <si>
    <t>11.78</t>
  </si>
  <si>
    <t>54977.58</t>
  </si>
  <si>
    <t>-11.78</t>
  </si>
  <si>
    <t>3/21/2026</t>
  </si>
  <si>
    <t>11:12 AM</t>
  </si>
  <si>
    <t>68.17</t>
  </si>
  <si>
    <t>54687.93</t>
  </si>
  <si>
    <t>-68.17</t>
  </si>
  <si>
    <t>2:14 PM</t>
  </si>
  <si>
    <t>54756.1</t>
  </si>
  <si>
    <t>4:22 PM</t>
  </si>
  <si>
    <t>15.16</t>
  </si>
  <si>
    <t>54771.1</t>
  </si>
  <si>
    <t>-15.16</t>
  </si>
  <si>
    <t>5:30 PM</t>
  </si>
  <si>
    <t>13.3</t>
  </si>
  <si>
    <t>54786.26</t>
  </si>
  <si>
    <t>-13.3</t>
  </si>
  <si>
    <t>6:44 PM</t>
  </si>
  <si>
    <t>36.71</t>
  </si>
  <si>
    <t>54799.56</t>
  </si>
  <si>
    <t>-36.71</t>
  </si>
  <si>
    <t>3/22/2026</t>
  </si>
  <si>
    <t>6:36 AM</t>
  </si>
  <si>
    <t>54500.93</t>
  </si>
  <si>
    <t>8:36 AM</t>
  </si>
  <si>
    <t>42.04</t>
  </si>
  <si>
    <t>54426.72</t>
  </si>
  <si>
    <t>-42.04</t>
  </si>
  <si>
    <t>20.09</t>
  </si>
  <si>
    <t>54604.21</t>
  </si>
  <si>
    <t>-20.09</t>
  </si>
  <si>
    <t>10:40 AM</t>
  </si>
  <si>
    <t>88.28</t>
  </si>
  <si>
    <t>54515.93</t>
  </si>
  <si>
    <t>-88.28</t>
  </si>
  <si>
    <t>3:14 PM</t>
  </si>
  <si>
    <t>63.63</t>
  </si>
  <si>
    <t>54624.3</t>
  </si>
  <si>
    <t>-63.63</t>
  </si>
  <si>
    <t>4:11 PM</t>
  </si>
  <si>
    <t>54485.93</t>
  </si>
  <si>
    <t>9:07 PM</t>
  </si>
  <si>
    <t>17.17</t>
  </si>
  <si>
    <t>54468.76</t>
  </si>
  <si>
    <t>-17.17</t>
  </si>
  <si>
    <t>3/23/2026</t>
  </si>
  <si>
    <t>6:26 AM</t>
  </si>
  <si>
    <t>11.13</t>
  </si>
  <si>
    <t>54226.38</t>
  </si>
  <si>
    <t>-11.13</t>
  </si>
  <si>
    <t>7:39 AM</t>
  </si>
  <si>
    <t>8.8</t>
  </si>
  <si>
    <t>54320.14</t>
  </si>
  <si>
    <t>-8.8</t>
  </si>
  <si>
    <t>9:35 AM</t>
  </si>
  <si>
    <t>71.7</t>
  </si>
  <si>
    <t>54355.02</t>
  </si>
  <si>
    <t>-71.7</t>
  </si>
  <si>
    <t>11:15 AM</t>
  </si>
  <si>
    <t>13.25</t>
  </si>
  <si>
    <t>54237.51</t>
  </si>
  <si>
    <t>-13.25</t>
  </si>
  <si>
    <t>12:40 PM</t>
  </si>
  <si>
    <t>69.38</t>
  </si>
  <si>
    <t>54250.76</t>
  </si>
  <si>
    <t>-69.38</t>
  </si>
  <si>
    <t>54340.5</t>
  </si>
  <si>
    <t>8:19 PM</t>
  </si>
  <si>
    <t>11.56</t>
  </si>
  <si>
    <t>54328.94</t>
  </si>
  <si>
    <t>-11.56</t>
  </si>
  <si>
    <t>3/24/2026</t>
  </si>
  <si>
    <t>8:03 AM</t>
  </si>
  <si>
    <t>54044.86</t>
  </si>
  <si>
    <t>1:41 PM</t>
  </si>
  <si>
    <t>87.67</t>
  </si>
  <si>
    <t>54060.43</t>
  </si>
  <si>
    <t>-87.67</t>
  </si>
  <si>
    <t>1:59 PM</t>
  </si>
  <si>
    <t>54148.1</t>
  </si>
  <si>
    <t>3:28 PM</t>
  </si>
  <si>
    <t>12.33</t>
  </si>
  <si>
    <t>54032.53</t>
  </si>
  <si>
    <t>-12.33</t>
  </si>
  <si>
    <t>3:44 PM</t>
  </si>
  <si>
    <t>63.28</t>
  </si>
  <si>
    <t>54163.1</t>
  </si>
  <si>
    <t>-63.28</t>
  </si>
  <si>
    <t>3/25/2026</t>
  </si>
  <si>
    <t>29.6</t>
  </si>
  <si>
    <t>53860.96</t>
  </si>
  <si>
    <t>-29.6</t>
  </si>
  <si>
    <t>9:54 AM</t>
  </si>
  <si>
    <t>24.7</t>
  </si>
  <si>
    <t>53794.19</t>
  </si>
  <si>
    <t>-24.7</t>
  </si>
  <si>
    <t>11:30 AM</t>
  </si>
  <si>
    <t>12.07</t>
  </si>
  <si>
    <t>53848.89</t>
  </si>
  <si>
    <t>-12.07</t>
  </si>
  <si>
    <t>11:37 AM</t>
  </si>
  <si>
    <t>53833.89</t>
  </si>
  <si>
    <t>4:38 PM</t>
  </si>
  <si>
    <t>130.96</t>
  </si>
  <si>
    <t>53890.56</t>
  </si>
  <si>
    <t>-130.96</t>
  </si>
  <si>
    <t>9:18 PM</t>
  </si>
  <si>
    <t>29.41</t>
  </si>
  <si>
    <t>53764.78</t>
  </si>
  <si>
    <t>-29.41</t>
  </si>
  <si>
    <t>9:22 PM</t>
  </si>
  <si>
    <t>53818.89</t>
  </si>
  <si>
    <t>9:28 PM</t>
  </si>
  <si>
    <t>11.01</t>
  </si>
  <si>
    <t>54021.52</t>
  </si>
  <si>
    <t>-11.01</t>
  </si>
  <si>
    <t>3/26/2026</t>
  </si>
  <si>
    <t>6:42 AM</t>
  </si>
  <si>
    <t>19.43</t>
  </si>
  <si>
    <t>53730.35</t>
  </si>
  <si>
    <t>-19.43</t>
  </si>
  <si>
    <t>7:12 AM</t>
  </si>
  <si>
    <t>16.93</t>
  </si>
  <si>
    <t>53713.42</t>
  </si>
  <si>
    <t>-16.93</t>
  </si>
  <si>
    <t>43.85</t>
  </si>
  <si>
    <t>53629.19</t>
  </si>
  <si>
    <t>-43.85</t>
  </si>
  <si>
    <t>2:20 PM</t>
  </si>
  <si>
    <t>53749.78</t>
  </si>
  <si>
    <t>9:40 PM</t>
  </si>
  <si>
    <t>40.38</t>
  </si>
  <si>
    <t>53673.04</t>
  </si>
  <si>
    <t>-40.38</t>
  </si>
  <si>
    <t>3/27/2026</t>
  </si>
  <si>
    <t>9:41 AM</t>
  </si>
  <si>
    <t>45.07</t>
  </si>
  <si>
    <t>53430.82</t>
  </si>
  <si>
    <t>-45.07</t>
  </si>
  <si>
    <t>1:45 PM</t>
  </si>
  <si>
    <t>141.59</t>
  </si>
  <si>
    <t>53487.6</t>
  </si>
  <si>
    <t>-141.59</t>
  </si>
  <si>
    <t>27.94</t>
  </si>
  <si>
    <t>53402.88</t>
  </si>
  <si>
    <t>-27.94</t>
  </si>
  <si>
    <t>7:05 PM</t>
  </si>
  <si>
    <t>11.71</t>
  </si>
  <si>
    <t>53475.89</t>
  </si>
  <si>
    <t>-11.71</t>
  </si>
  <si>
    <t>9:30 PM</t>
  </si>
  <si>
    <t>9.82</t>
  </si>
  <si>
    <t>53393.06</t>
  </si>
  <si>
    <t>-9.82</t>
  </si>
  <si>
    <t>3/28/2026</t>
  </si>
  <si>
    <t>6:18 AM</t>
  </si>
  <si>
    <t>14.01</t>
  </si>
  <si>
    <t>53343.04</t>
  </si>
  <si>
    <t>-14.01</t>
  </si>
  <si>
    <t>10:55 AM</t>
  </si>
  <si>
    <t>21.19</t>
  </si>
  <si>
    <t>53371.87</t>
  </si>
  <si>
    <t>-21.19</t>
  </si>
  <si>
    <t>11:10 AM</t>
  </si>
  <si>
    <t>3198.08</t>
  </si>
  <si>
    <t>19656.51</t>
  </si>
  <si>
    <t>4:55 PM</t>
  </si>
  <si>
    <t>15.66</t>
  </si>
  <si>
    <t>53296.66</t>
  </si>
  <si>
    <t>-15.66</t>
  </si>
  <si>
    <t>5:21 PM</t>
  </si>
  <si>
    <t>53312.32</t>
  </si>
  <si>
    <t>7:21 PM</t>
  </si>
  <si>
    <t>14.82</t>
  </si>
  <si>
    <t>53357.05</t>
  </si>
  <si>
    <t>-14.82</t>
  </si>
  <si>
    <t>9:55 PM</t>
  </si>
  <si>
    <t>15.72</t>
  </si>
  <si>
    <t>53327.32</t>
  </si>
  <si>
    <t>-15.72</t>
  </si>
  <si>
    <t>3/29/2026</t>
  </si>
  <si>
    <t>7:08 AM</t>
  </si>
  <si>
    <t>27.81</t>
  </si>
  <si>
    <t>53089.48</t>
  </si>
  <si>
    <t>-27.81</t>
  </si>
  <si>
    <t>10:26 AM</t>
  </si>
  <si>
    <t>53021.26</t>
  </si>
  <si>
    <t>2:21 PM</t>
  </si>
  <si>
    <t>10.99</t>
  </si>
  <si>
    <t>53010.27</t>
  </si>
  <si>
    <t>-10.99</t>
  </si>
  <si>
    <t>4:40 PM</t>
  </si>
  <si>
    <t>15.7</t>
  </si>
  <si>
    <t>52979.22</t>
  </si>
  <si>
    <t>-15.7</t>
  </si>
  <si>
    <t>4:54 PM</t>
  </si>
  <si>
    <t>15.35</t>
  </si>
  <si>
    <t>52994.92</t>
  </si>
  <si>
    <t>-15.35</t>
  </si>
  <si>
    <t>6:24 PM</t>
  </si>
  <si>
    <t>53117.29</t>
  </si>
  <si>
    <t>7:02 PM</t>
  </si>
  <si>
    <t>164.37</t>
  </si>
  <si>
    <t>53132.29</t>
  </si>
  <si>
    <t>-164.37</t>
  </si>
  <si>
    <t>8:06 PM</t>
  </si>
  <si>
    <t>53.22</t>
  </si>
  <si>
    <t>53036.26</t>
  </si>
  <si>
    <t>-53.22</t>
  </si>
  <si>
    <t>3/30/2026</t>
  </si>
  <si>
    <t>7:18 AM</t>
  </si>
  <si>
    <t>59.2</t>
  </si>
  <si>
    <t>52798.4</t>
  </si>
  <si>
    <t>-59.2</t>
  </si>
  <si>
    <t>9:48 AM</t>
  </si>
  <si>
    <t>43.7</t>
  </si>
  <si>
    <t>52901.78</t>
  </si>
  <si>
    <t>-43.7</t>
  </si>
  <si>
    <t>1:33 PM</t>
  </si>
  <si>
    <t>30.4</t>
  </si>
  <si>
    <t>52768</t>
  </si>
  <si>
    <t>-30.4</t>
  </si>
  <si>
    <t>33.74</t>
  </si>
  <si>
    <t>52945.48</t>
  </si>
  <si>
    <t>-33.74</t>
  </si>
  <si>
    <t>3:57 PM</t>
  </si>
  <si>
    <t>44.18</t>
  </si>
  <si>
    <t>52857.6</t>
  </si>
  <si>
    <t>-44.18</t>
  </si>
  <si>
    <t>3/31/2026</t>
  </si>
  <si>
    <t>6:57 AM</t>
  </si>
  <si>
    <t>10.43</t>
  </si>
  <si>
    <t>52645.83</t>
  </si>
  <si>
    <t>-10.43</t>
  </si>
  <si>
    <t>10:14 AM</t>
  </si>
  <si>
    <t>100.58</t>
  </si>
  <si>
    <t>52656.26</t>
  </si>
  <si>
    <t>-100.58</t>
  </si>
  <si>
    <t>52630.83</t>
  </si>
  <si>
    <t>3:12 PM</t>
  </si>
  <si>
    <t>10.4</t>
  </si>
  <si>
    <t>52561.07</t>
  </si>
  <si>
    <t>-10.4</t>
  </si>
  <si>
    <t>3:40 PM</t>
  </si>
  <si>
    <t>59.36</t>
  </si>
  <si>
    <t>52571.47</t>
  </si>
  <si>
    <t>-59.36</t>
  </si>
  <si>
    <t>6:39 PM</t>
  </si>
  <si>
    <t>11.16</t>
  </si>
  <si>
    <t>52756.84</t>
  </si>
  <si>
    <t>-11.16</t>
  </si>
  <si>
    <t>4/1/2026</t>
  </si>
  <si>
    <t>7:58 AM</t>
  </si>
  <si>
    <t>8.22</t>
  </si>
  <si>
    <t>52514.96</t>
  </si>
  <si>
    <t>-8.22</t>
  </si>
  <si>
    <t>8:58 AM</t>
  </si>
  <si>
    <t>46.08</t>
  </si>
  <si>
    <t>52154.07</t>
  </si>
  <si>
    <t>-46.08</t>
  </si>
  <si>
    <t>122.52</t>
  </si>
  <si>
    <t>52257.38</t>
  </si>
  <si>
    <t>-122.52</t>
  </si>
  <si>
    <t>46.87</t>
  </si>
  <si>
    <t>52107.2</t>
  </si>
  <si>
    <t>-46.87</t>
  </si>
  <si>
    <t>3:01 PM</t>
  </si>
  <si>
    <t>37.89</t>
  </si>
  <si>
    <t>52523.18</t>
  </si>
  <si>
    <t>-37.89</t>
  </si>
  <si>
    <t>3:49 PM</t>
  </si>
  <si>
    <t>52499.96</t>
  </si>
  <si>
    <t>5:14 PM</t>
  </si>
  <si>
    <t>120.06</t>
  </si>
  <si>
    <t>52379.9</t>
  </si>
  <si>
    <t>-120.06</t>
  </si>
  <si>
    <t>57.23</t>
  </si>
  <si>
    <t>52200.15</t>
  </si>
  <si>
    <t>-57.23</t>
  </si>
  <si>
    <t>4/2/2026</t>
  </si>
  <si>
    <t>11:50 AM</t>
  </si>
  <si>
    <t>47054.25</t>
  </si>
  <si>
    <t>2:53 PM</t>
  </si>
  <si>
    <t>17.53</t>
  </si>
  <si>
    <t>52089.67</t>
  </si>
  <si>
    <t>-17.53</t>
  </si>
  <si>
    <t>4:58 PM</t>
  </si>
  <si>
    <t>170.91</t>
  </si>
  <si>
    <t>51989.33</t>
  </si>
  <si>
    <t>5:06 PM</t>
  </si>
  <si>
    <t>12.18</t>
  </si>
  <si>
    <t>51818.42</t>
  </si>
  <si>
    <t>-12.18</t>
  </si>
  <si>
    <t>5:43 PM</t>
  </si>
  <si>
    <t>11.85</t>
  </si>
  <si>
    <t>51830.6</t>
  </si>
  <si>
    <t>-11.85</t>
  </si>
  <si>
    <t>6:00 PM</t>
  </si>
  <si>
    <t>15.49</t>
  </si>
  <si>
    <t>51842.45</t>
  </si>
  <si>
    <t>-15.49</t>
  </si>
  <si>
    <t>165.11</t>
  </si>
  <si>
    <t>51857.94</t>
  </si>
  <si>
    <t>-165.11</t>
  </si>
  <si>
    <t>8:04 PM</t>
  </si>
  <si>
    <t>49.82</t>
  </si>
  <si>
    <t>52023.05</t>
  </si>
  <si>
    <t>-49.82</t>
  </si>
  <si>
    <t>9:51 PM</t>
  </si>
  <si>
    <t>16.8</t>
  </si>
  <si>
    <t>52072.87</t>
  </si>
  <si>
    <t>-16.8</t>
  </si>
  <si>
    <t>4/3/2026</t>
  </si>
  <si>
    <t>28.99</t>
  </si>
  <si>
    <t>51945.34</t>
  </si>
  <si>
    <t>-28.99</t>
  </si>
  <si>
    <t>9:53 AM</t>
  </si>
  <si>
    <t>43.42</t>
  </si>
  <si>
    <t>51832.19</t>
  </si>
  <si>
    <t>-43.42</t>
  </si>
  <si>
    <t>10:24 AM</t>
  </si>
  <si>
    <t>26.86</t>
  </si>
  <si>
    <t>51918.48</t>
  </si>
  <si>
    <t>-26.86</t>
  </si>
  <si>
    <t>3:41 PM</t>
  </si>
  <si>
    <t>51974.33</t>
  </si>
  <si>
    <t>7:37 PM</t>
  </si>
  <si>
    <t>42.87</t>
  </si>
  <si>
    <t>51875.61</t>
  </si>
  <si>
    <t>-42.87</t>
  </si>
  <si>
    <t>4/4/2026</t>
  </si>
  <si>
    <t>9:43 AM</t>
  </si>
  <si>
    <t>164.27</t>
  </si>
  <si>
    <t>51562.25</t>
  </si>
  <si>
    <t>-164.27</t>
  </si>
  <si>
    <t>6.66</t>
  </si>
  <si>
    <t>51532.06</t>
  </si>
  <si>
    <t>-6.66</t>
  </si>
  <si>
    <t>12:28 PM</t>
  </si>
  <si>
    <t>105.67</t>
  </si>
  <si>
    <t>51726.52</t>
  </si>
  <si>
    <t>-105.67</t>
  </si>
  <si>
    <t>12:37 PM</t>
  </si>
  <si>
    <t>24.21</t>
  </si>
  <si>
    <t>51468.43</t>
  </si>
  <si>
    <t>-24.21</t>
  </si>
  <si>
    <t>12:41 PM</t>
  </si>
  <si>
    <t>51517.06</t>
  </si>
  <si>
    <t>24.42</t>
  </si>
  <si>
    <t>51492.64</t>
  </si>
  <si>
    <t>-24.42</t>
  </si>
  <si>
    <t>5:03 PM</t>
  </si>
  <si>
    <t>51538.72</t>
  </si>
  <si>
    <t>4/5/2026</t>
  </si>
  <si>
    <t>116.82</t>
  </si>
  <si>
    <t>51248.48</t>
  </si>
  <si>
    <t>-116.82</t>
  </si>
  <si>
    <t>9:42 AM</t>
  </si>
  <si>
    <t>15.18</t>
  </si>
  <si>
    <t>51400.04</t>
  </si>
  <si>
    <t>-15.18</t>
  </si>
  <si>
    <t>10:08 AM</t>
  </si>
  <si>
    <t>53.21</t>
  </si>
  <si>
    <t>51415.22</t>
  </si>
  <si>
    <t>-53.21</t>
  </si>
  <si>
    <t>5:32 PM</t>
  </si>
  <si>
    <t>45.81</t>
  </si>
  <si>
    <t>51168.57</t>
  </si>
  <si>
    <t>-45.81</t>
  </si>
  <si>
    <t>5:50 PM</t>
  </si>
  <si>
    <t>34.74</t>
  </si>
  <si>
    <t>51365.3</t>
  </si>
  <si>
    <t>-34.74</t>
  </si>
  <si>
    <t>7:33 PM</t>
  </si>
  <si>
    <t>34.1</t>
  </si>
  <si>
    <t>51214.38</t>
  </si>
  <si>
    <t>-34.1</t>
  </si>
  <si>
    <t>10:19 PM</t>
  </si>
  <si>
    <t>118.42</t>
  </si>
  <si>
    <t>51050.15</t>
  </si>
  <si>
    <t>-118.42</t>
  </si>
  <si>
    <t>4/6/2026</t>
  </si>
  <si>
    <t>10:04 AM</t>
  </si>
  <si>
    <t>38.11</t>
  </si>
  <si>
    <t>50820.71</t>
  </si>
  <si>
    <t>-38.11</t>
  </si>
  <si>
    <t>12:27 PM</t>
  </si>
  <si>
    <t>124.75</t>
  </si>
  <si>
    <t>50668.8</t>
  </si>
  <si>
    <t>-124.75</t>
  </si>
  <si>
    <t>4:24 PM</t>
  </si>
  <si>
    <t>12.74</t>
  </si>
  <si>
    <t>50807.97</t>
  </si>
  <si>
    <t>-12.74</t>
  </si>
  <si>
    <t>6:27 PM</t>
  </si>
  <si>
    <t>144.82</t>
  </si>
  <si>
    <t>50905.33</t>
  </si>
  <si>
    <t>-144.82</t>
  </si>
  <si>
    <t>46.51</t>
  </si>
  <si>
    <t>50858.82</t>
  </si>
  <si>
    <t>-46.51</t>
  </si>
  <si>
    <t>14.42</t>
  </si>
  <si>
    <t>50793.55</t>
  </si>
  <si>
    <t>-14.42</t>
  </si>
  <si>
    <t>4/7/2026</t>
  </si>
  <si>
    <t>19.49</t>
  </si>
  <si>
    <t>50411.25</t>
  </si>
  <si>
    <t>-19.49</t>
  </si>
  <si>
    <t>50.21</t>
  </si>
  <si>
    <t>50445.68</t>
  </si>
  <si>
    <t>-50.21</t>
  </si>
  <si>
    <t>9:26 AM</t>
  </si>
  <si>
    <t>14.94</t>
  </si>
  <si>
    <t>50430.74</t>
  </si>
  <si>
    <t>-14.94</t>
  </si>
  <si>
    <t>9:47 AM</t>
  </si>
  <si>
    <t>26.66</t>
  </si>
  <si>
    <t>50495.89</t>
  </si>
  <si>
    <t>-26.66</t>
  </si>
  <si>
    <t>4:42 PM</t>
  </si>
  <si>
    <t>37.63</t>
  </si>
  <si>
    <t>50580.14</t>
  </si>
  <si>
    <t>-37.63</t>
  </si>
  <si>
    <t>6:26 PM</t>
  </si>
  <si>
    <t>51.03</t>
  </si>
  <si>
    <t>50617.77</t>
  </si>
  <si>
    <t>-51.03</t>
  </si>
  <si>
    <t>9:04 PM</t>
  </si>
  <si>
    <t>57.59</t>
  </si>
  <si>
    <t>50522.55</t>
  </si>
  <si>
    <t>-57.59</t>
  </si>
  <si>
    <t>10:13 PM</t>
  </si>
  <si>
    <t>50402.33</t>
  </si>
  <si>
    <t>4/8/2026</t>
  </si>
  <si>
    <t>8:47 AM</t>
  </si>
  <si>
    <t>175.49</t>
  </si>
  <si>
    <t>50481.27</t>
  </si>
  <si>
    <t>10:36 AM</t>
  </si>
  <si>
    <t>8.32</t>
  </si>
  <si>
    <t>50305.78</t>
  </si>
  <si>
    <t>-8.32</t>
  </si>
  <si>
    <t>2:01 PM</t>
  </si>
  <si>
    <t>10.39</t>
  </si>
  <si>
    <t>50327.94</t>
  </si>
  <si>
    <t>-10.39</t>
  </si>
  <si>
    <t>3:58 PM</t>
  </si>
  <si>
    <t>13.84</t>
  </si>
  <si>
    <t>50314.1</t>
  </si>
  <si>
    <t>-13.84</t>
  </si>
  <si>
    <t>5:07 PM</t>
  </si>
  <si>
    <t>51.96</t>
  </si>
  <si>
    <t>50350.37</t>
  </si>
  <si>
    <t>-51.96</t>
  </si>
  <si>
    <t>7:54 PM</t>
  </si>
  <si>
    <t>12.04</t>
  </si>
  <si>
    <t>50338.33</t>
  </si>
  <si>
    <t>-12.04</t>
  </si>
  <si>
    <t>4/9/2026</t>
  </si>
  <si>
    <t>7:00 AM</t>
  </si>
  <si>
    <t>21.7</t>
  </si>
  <si>
    <t>50302.41</t>
  </si>
  <si>
    <t>-21.7</t>
  </si>
  <si>
    <t>14.3</t>
  </si>
  <si>
    <t>50403.57</t>
  </si>
  <si>
    <t>-14.3</t>
  </si>
  <si>
    <t>48.4</t>
  </si>
  <si>
    <t>50417.87</t>
  </si>
  <si>
    <t>-48.4</t>
  </si>
  <si>
    <t>9:18 AM</t>
  </si>
  <si>
    <t>39.26</t>
  </si>
  <si>
    <t>50339.11</t>
  </si>
  <si>
    <t>-39.26</t>
  </si>
  <si>
    <t>12:48 PM</t>
  </si>
  <si>
    <t>50378.37</t>
  </si>
  <si>
    <t>1:05 PM</t>
  </si>
  <si>
    <t>182.45</t>
  </si>
  <si>
    <t>46871.8</t>
  </si>
  <si>
    <t>-182.45</t>
  </si>
  <si>
    <t>3:02 PM</t>
  </si>
  <si>
    <t>50324.11</t>
  </si>
  <si>
    <t>3:20 PM</t>
  </si>
  <si>
    <t>142.27</t>
  </si>
  <si>
    <t>50444.68</t>
  </si>
  <si>
    <t>5:19 PM</t>
  </si>
  <si>
    <t>50466.27</t>
  </si>
  <si>
    <t>7:11 PM</t>
  </si>
  <si>
    <t>50284.68</t>
  </si>
  <si>
    <t>10.2</t>
  </si>
  <si>
    <t>50393.37</t>
  </si>
  <si>
    <t>-10.2</t>
  </si>
  <si>
    <t>4/10/2026</t>
  </si>
  <si>
    <t>7:27 AM</t>
  </si>
  <si>
    <t>11.75</t>
  </si>
  <si>
    <t>50252.37</t>
  </si>
  <si>
    <t>-11.75</t>
  </si>
  <si>
    <t>9:33 AM</t>
  </si>
  <si>
    <t>49988.78</t>
  </si>
  <si>
    <t>4:10 PM</t>
  </si>
  <si>
    <t>3.4</t>
  </si>
  <si>
    <t>50217.49</t>
  </si>
  <si>
    <t>-3.4</t>
  </si>
  <si>
    <t>4:14 PM</t>
  </si>
  <si>
    <t>19.54</t>
  </si>
  <si>
    <t>50148.78</t>
  </si>
  <si>
    <t>-19.54</t>
  </si>
  <si>
    <t>4:36 PM</t>
  </si>
  <si>
    <t>50237.37</t>
  </si>
  <si>
    <t>5:05 PM</t>
  </si>
  <si>
    <t>50202.49</t>
  </si>
  <si>
    <t>6:33 PM</t>
  </si>
  <si>
    <t>34.17</t>
  </si>
  <si>
    <t>50168.32</t>
  </si>
  <si>
    <t>-34.17</t>
  </si>
  <si>
    <t>7:18 PM</t>
  </si>
  <si>
    <t>16.48</t>
  </si>
  <si>
    <t>50220.89</t>
  </si>
  <si>
    <t>-16.48</t>
  </si>
  <si>
    <t>10:35 PM</t>
  </si>
  <si>
    <t>20.56</t>
  </si>
  <si>
    <t>50264.12</t>
  </si>
  <si>
    <t>-20.56</t>
  </si>
  <si>
    <t>4/11/2026</t>
  </si>
  <si>
    <t>15.15</t>
  </si>
  <si>
    <t>49867.42</t>
  </si>
  <si>
    <t>-15.15</t>
  </si>
  <si>
    <t>15.85</t>
  </si>
  <si>
    <t>49882.57</t>
  </si>
  <si>
    <t>-15.85</t>
  </si>
  <si>
    <t>26.26</t>
  </si>
  <si>
    <t>49962.52</t>
  </si>
  <si>
    <t>-26.26</t>
  </si>
  <si>
    <t>18.24</t>
  </si>
  <si>
    <t>49944.28</t>
  </si>
  <si>
    <t>-18.24</t>
  </si>
  <si>
    <t>3:04 PM</t>
  </si>
  <si>
    <t>29.1</t>
  </si>
  <si>
    <t>49838.32</t>
  </si>
  <si>
    <t>-29.1</t>
  </si>
  <si>
    <t>49898.42</t>
  </si>
  <si>
    <t>9:29 PM</t>
  </si>
  <si>
    <t>30.86</t>
  </si>
  <si>
    <t>49913.42</t>
  </si>
  <si>
    <t>-30.86</t>
  </si>
  <si>
    <t>4/12/2026</t>
  </si>
  <si>
    <t>7:15 AM</t>
  </si>
  <si>
    <t>19.69</t>
  </si>
  <si>
    <t>49658.41</t>
  </si>
  <si>
    <t>-19.69</t>
  </si>
  <si>
    <t>7:28 AM</t>
  </si>
  <si>
    <t>15.77</t>
  </si>
  <si>
    <t>49822.55</t>
  </si>
  <si>
    <t>-15.77</t>
  </si>
  <si>
    <t>4:04 PM</t>
  </si>
  <si>
    <t>49565.4</t>
  </si>
  <si>
    <t>4:43 PM</t>
  </si>
  <si>
    <t>81.99</t>
  </si>
  <si>
    <t>49725.4</t>
  </si>
  <si>
    <t>4:45 PM</t>
  </si>
  <si>
    <t>75.22</t>
  </si>
  <si>
    <t>49678.1</t>
  </si>
  <si>
    <t>-75.22</t>
  </si>
  <si>
    <t>9:32 PM</t>
  </si>
  <si>
    <t>69.23</t>
  </si>
  <si>
    <t>49753.32</t>
  </si>
  <si>
    <t>-69.23</t>
  </si>
  <si>
    <t>10:33 PM</t>
  </si>
  <si>
    <t>49643.41</t>
  </si>
  <si>
    <t>4/13/2026</t>
  </si>
  <si>
    <t>10:58 AM</t>
  </si>
  <si>
    <t>21.33</t>
  </si>
  <si>
    <t>49523.89</t>
  </si>
  <si>
    <t>-21.33</t>
  </si>
  <si>
    <t>3:16 PM</t>
  </si>
  <si>
    <t>20.18</t>
  </si>
  <si>
    <t>49545.22</t>
  </si>
  <si>
    <t>-20.18</t>
  </si>
  <si>
    <t>6:08 PM</t>
  </si>
  <si>
    <t>17.55</t>
  </si>
  <si>
    <t>49506.34</t>
  </si>
  <si>
    <t>-17.55</t>
  </si>
  <si>
    <t>6:41 PM</t>
  </si>
  <si>
    <t>37.48</t>
  </si>
  <si>
    <t>49468.86</t>
  </si>
  <si>
    <t>-37.48</t>
  </si>
  <si>
    <t>10:05 PM</t>
  </si>
  <si>
    <t>50.29</t>
  </si>
  <si>
    <t>49418.57</t>
  </si>
  <si>
    <t>-50.29</t>
  </si>
  <si>
    <t>4/14/2026</t>
  </si>
  <si>
    <t>9:32 AM</t>
  </si>
  <si>
    <t>15.82</t>
  </si>
  <si>
    <t>49363.69</t>
  </si>
  <si>
    <t>-15.82</t>
  </si>
  <si>
    <t>10:09 AM</t>
  </si>
  <si>
    <t>49379.51</t>
  </si>
  <si>
    <t>10:38 AM</t>
  </si>
  <si>
    <t>53.57</t>
  </si>
  <si>
    <t>49287.59</t>
  </si>
  <si>
    <t>-53.57</t>
  </si>
  <si>
    <t>11:46 AM</t>
  </si>
  <si>
    <t>143.38</t>
  </si>
  <si>
    <t>49430.97</t>
  </si>
  <si>
    <t>12:21 PM</t>
  </si>
  <si>
    <t>24.06</t>
  </si>
  <si>
    <t>49394.51</t>
  </si>
  <si>
    <t>-24.06</t>
  </si>
  <si>
    <t>72.12</t>
  </si>
  <si>
    <t>46799.68</t>
  </si>
  <si>
    <t>-72.12</t>
  </si>
  <si>
    <t>1:28 PM</t>
  </si>
  <si>
    <t>80</t>
  </si>
  <si>
    <t>49350.97</t>
  </si>
  <si>
    <t>-80</t>
  </si>
  <si>
    <t>10:02 PM</t>
  </si>
  <si>
    <t>22.53</t>
  </si>
  <si>
    <t>49341.16</t>
  </si>
  <si>
    <t>-22.53</t>
  </si>
  <si>
    <t>4/15/2026</t>
  </si>
  <si>
    <t>7:41 AM</t>
  </si>
  <si>
    <t>42.92</t>
  </si>
  <si>
    <t>49245.14</t>
  </si>
  <si>
    <t>-42.92</t>
  </si>
  <si>
    <t>9:45 AM</t>
  </si>
  <si>
    <t>36.84</t>
  </si>
  <si>
    <t>49208.3</t>
  </si>
  <si>
    <t>-36.84</t>
  </si>
  <si>
    <t>11:52 AM</t>
  </si>
  <si>
    <t>17.91</t>
  </si>
  <si>
    <t>49288.06</t>
  </si>
  <si>
    <t>-17.91</t>
  </si>
  <si>
    <t>49320.97</t>
  </si>
  <si>
    <t>1:19 PM</t>
  </si>
  <si>
    <t>49335.97</t>
  </si>
  <si>
    <t>3:05 PM</t>
  </si>
  <si>
    <t>22.77</t>
  </si>
  <si>
    <t>49185.53</t>
  </si>
  <si>
    <t>-22.77</t>
  </si>
  <si>
    <t>49305.97</t>
  </si>
  <si>
    <t>43.58</t>
  </si>
  <si>
    <t>49229.11</t>
  </si>
  <si>
    <t>3055.81</t>
  </si>
  <si>
    <t>22712.32</t>
  </si>
  <si>
    <t>4/16/2026</t>
  </si>
  <si>
    <t>49060.95</t>
  </si>
  <si>
    <t>17.02</t>
  </si>
  <si>
    <t>49140.1</t>
  </si>
  <si>
    <t>-17.02</t>
  </si>
  <si>
    <t>10:02 AM</t>
  </si>
  <si>
    <t>49.15</t>
  </si>
  <si>
    <t>49090.95</t>
  </si>
  <si>
    <t>-49.15</t>
  </si>
  <si>
    <t>10:35 AM</t>
  </si>
  <si>
    <t>50.5</t>
  </si>
  <si>
    <t>49010.45</t>
  </si>
  <si>
    <t>-50.5</t>
  </si>
  <si>
    <t>10:48 AM</t>
  </si>
  <si>
    <t>49075.95</t>
  </si>
  <si>
    <t>3:15 PM</t>
  </si>
  <si>
    <t>16.35</t>
  </si>
  <si>
    <t>48994.1</t>
  </si>
  <si>
    <t>-16.35</t>
  </si>
  <si>
    <t>49157.12</t>
  </si>
  <si>
    <t>7:03 PM</t>
  </si>
  <si>
    <t>56.38</t>
  </si>
  <si>
    <t>49172.73</t>
  </si>
  <si>
    <t>-56.38</t>
  </si>
  <si>
    <t>147.02</t>
  </si>
  <si>
    <t>48847.08</t>
  </si>
  <si>
    <t>-147.02</t>
  </si>
  <si>
    <t>4/17/2026</t>
  </si>
  <si>
    <t>6:22 AM</t>
  </si>
  <si>
    <t>48597.04</t>
  </si>
  <si>
    <t>6:39 AM</t>
  </si>
  <si>
    <t>19.65</t>
  </si>
  <si>
    <t>48817.18</t>
  </si>
  <si>
    <t>-19.65</t>
  </si>
  <si>
    <t>7:40 AM</t>
  </si>
  <si>
    <t>19.59</t>
  </si>
  <si>
    <t>48618.23</t>
  </si>
  <si>
    <t>-19.59</t>
  </si>
  <si>
    <t>39.24</t>
  </si>
  <si>
    <t>48557.8</t>
  </si>
  <si>
    <t>-39.24</t>
  </si>
  <si>
    <t>11:42 AM</t>
  </si>
  <si>
    <t>113.58</t>
  </si>
  <si>
    <t>48703.6</t>
  </si>
  <si>
    <t>-113.58</t>
  </si>
  <si>
    <t>5:04 PM</t>
  </si>
  <si>
    <t>48.17</t>
  </si>
  <si>
    <t>48655.43</t>
  </si>
  <si>
    <t>-48.17</t>
  </si>
  <si>
    <t>17.61</t>
  </si>
  <si>
    <t>48637.82</t>
  </si>
  <si>
    <t>-17.61</t>
  </si>
  <si>
    <t>10:36 PM</t>
  </si>
  <si>
    <t>48836.83</t>
  </si>
  <si>
    <t>4/18/2026</t>
  </si>
  <si>
    <t>11:53 AM</t>
  </si>
  <si>
    <t>36.39</t>
  </si>
  <si>
    <t>48521.41</t>
  </si>
  <si>
    <t>-36.39</t>
  </si>
  <si>
    <t>12:56 PM</t>
  </si>
  <si>
    <t>19.8</t>
  </si>
  <si>
    <t>48476.09</t>
  </si>
  <si>
    <t>-19.8</t>
  </si>
  <si>
    <t>10.52</t>
  </si>
  <si>
    <t>48495.89</t>
  </si>
  <si>
    <t>-10.52</t>
  </si>
  <si>
    <t>48506.41</t>
  </si>
  <si>
    <t>56.54</t>
  </si>
  <si>
    <t>48419.55</t>
  </si>
  <si>
    <t>-56.54</t>
  </si>
  <si>
    <t>4/19/2026</t>
  </si>
  <si>
    <t>7:55 AM</t>
  </si>
  <si>
    <t>9</t>
  </si>
  <si>
    <t>48410.55</t>
  </si>
  <si>
    <t>-9</t>
  </si>
  <si>
    <t>8:46 AM</t>
  </si>
  <si>
    <t>14</t>
  </si>
  <si>
    <t>48342.22</t>
  </si>
  <si>
    <t>-14</t>
  </si>
  <si>
    <t>43.53</t>
  </si>
  <si>
    <t>48298.69</t>
  </si>
  <si>
    <t>-43.53</t>
  </si>
  <si>
    <t>22.21</t>
  </si>
  <si>
    <t>48388.34</t>
  </si>
  <si>
    <t>-22.21</t>
  </si>
  <si>
    <t>5:59 PM</t>
  </si>
  <si>
    <t>48356.22</t>
  </si>
  <si>
    <t>17.12</t>
  </si>
  <si>
    <t>48371.22</t>
  </si>
  <si>
    <t>-17.12</t>
  </si>
  <si>
    <t>8:38 PM</t>
  </si>
  <si>
    <t>67.3</t>
  </si>
  <si>
    <t>48231.39</t>
  </si>
  <si>
    <t>-67.3</t>
  </si>
  <si>
    <t>4/20/2026</t>
  </si>
  <si>
    <t>7:04 AM</t>
  </si>
  <si>
    <t>12.95</t>
  </si>
  <si>
    <t>48187.19</t>
  </si>
  <si>
    <t>-12.95</t>
  </si>
  <si>
    <t>7:38 AM</t>
  </si>
  <si>
    <t>26.83</t>
  </si>
  <si>
    <t>48135.46</t>
  </si>
  <si>
    <t>-26.83</t>
  </si>
  <si>
    <t>8:15 AM</t>
  </si>
  <si>
    <t>48162.29</t>
  </si>
  <si>
    <t>11:01 AM</t>
  </si>
  <si>
    <t>9.9</t>
  </si>
  <si>
    <t>48177.29</t>
  </si>
  <si>
    <t>-9.9</t>
  </si>
  <si>
    <t>1:07 PM</t>
  </si>
  <si>
    <t>41.78</t>
  </si>
  <si>
    <t>48027.98</t>
  </si>
  <si>
    <t>-41.78</t>
  </si>
  <si>
    <t>48120.46</t>
  </si>
  <si>
    <t>5:39 PM</t>
  </si>
  <si>
    <t>31.25</t>
  </si>
  <si>
    <t>48200.14</t>
  </si>
  <si>
    <t>-31.25</t>
  </si>
  <si>
    <t>10:23 PM</t>
  </si>
  <si>
    <t>50.7</t>
  </si>
  <si>
    <t>48069.76</t>
  </si>
  <si>
    <t>-50.7</t>
  </si>
  <si>
    <t>4/21/2026</t>
  </si>
  <si>
    <t>8:35 AM</t>
  </si>
  <si>
    <t>42.73</t>
  </si>
  <si>
    <t>47754.13</t>
  </si>
  <si>
    <t>-42.73</t>
  </si>
  <si>
    <t>10:39 AM</t>
  </si>
  <si>
    <t>94.78</t>
  </si>
  <si>
    <t>47639.69</t>
  </si>
  <si>
    <t>10:54 AM</t>
  </si>
  <si>
    <t>47811.86</t>
  </si>
  <si>
    <t>11:45 AM</t>
  </si>
  <si>
    <t>47737.65</t>
  </si>
  <si>
    <t>1:50 PM</t>
  </si>
  <si>
    <t>152.99</t>
  </si>
  <si>
    <t>47544.91</t>
  </si>
  <si>
    <t>-152.99</t>
  </si>
  <si>
    <t>2:00 PM</t>
  </si>
  <si>
    <t>46709.69</t>
  </si>
  <si>
    <t>2:45 PM</t>
  </si>
  <si>
    <t>11.77</t>
  </si>
  <si>
    <t>48016.21</t>
  </si>
  <si>
    <t>-11.77</t>
  </si>
  <si>
    <t>189.35</t>
  </si>
  <si>
    <t>47826.86</t>
  </si>
  <si>
    <t>-189.35</t>
  </si>
  <si>
    <t>6:45 PM</t>
  </si>
  <si>
    <t>47559.69</t>
  </si>
  <si>
    <t>8:05 PM</t>
  </si>
  <si>
    <t>47796.86</t>
  </si>
  <si>
    <t>10:14 PM</t>
  </si>
  <si>
    <t>39.75</t>
  </si>
  <si>
    <t>47697.9</t>
  </si>
  <si>
    <t>-39.75</t>
  </si>
  <si>
    <t>4/22/2026</t>
  </si>
  <si>
    <t>7:53 AM</t>
  </si>
  <si>
    <t>12.55</t>
  </si>
  <si>
    <t>47468.11</t>
  </si>
  <si>
    <t>-12.55</t>
  </si>
  <si>
    <t>10:10 AM</t>
  </si>
  <si>
    <t>122.56</t>
  </si>
  <si>
    <t>47225.13</t>
  </si>
  <si>
    <t>-122.56</t>
  </si>
  <si>
    <t>12.3</t>
  </si>
  <si>
    <t>47455.81</t>
  </si>
  <si>
    <t>-12.3</t>
  </si>
  <si>
    <t>11:49 AM</t>
  </si>
  <si>
    <t>19.6</t>
  </si>
  <si>
    <t>47480.66</t>
  </si>
  <si>
    <t>-19.6</t>
  </si>
  <si>
    <t>2:08 PM</t>
  </si>
  <si>
    <t>34.53</t>
  </si>
  <si>
    <t>47347.69</t>
  </si>
  <si>
    <t>-34.53</t>
  </si>
  <si>
    <t>4:41 PM</t>
  </si>
  <si>
    <t>28.27</t>
  </si>
  <si>
    <t>47515.26</t>
  </si>
  <si>
    <t>-28.27</t>
  </si>
  <si>
    <t>16.16</t>
  </si>
  <si>
    <t>47543.53</t>
  </si>
  <si>
    <t>-16.16</t>
  </si>
  <si>
    <t>10:22 PM</t>
  </si>
  <si>
    <t>47500.26</t>
  </si>
  <si>
    <t>10:57 PM</t>
  </si>
  <si>
    <t>73.59</t>
  </si>
  <si>
    <t>47382.22</t>
  </si>
  <si>
    <t>-73.59</t>
  </si>
  <si>
    <t>4/23/2026</t>
  </si>
  <si>
    <t>6:05 AM</t>
  </si>
  <si>
    <t>122.81</t>
  </si>
  <si>
    <t>47102.32</t>
  </si>
  <si>
    <t>-122.81</t>
  </si>
  <si>
    <t>9:20 AM</t>
  </si>
  <si>
    <t>79.29</t>
  </si>
  <si>
    <t>46789.43</t>
  </si>
  <si>
    <t>-79.29</t>
  </si>
  <si>
    <t>11:28 AM</t>
  </si>
  <si>
    <t>56.43</t>
  </si>
  <si>
    <t>46936.52</t>
  </si>
  <si>
    <t>-56.43</t>
  </si>
  <si>
    <t>81.25</t>
  </si>
  <si>
    <t>47007.95</t>
  </si>
  <si>
    <t>-81.25</t>
  </si>
  <si>
    <t>46921.52</t>
  </si>
  <si>
    <t>4:46 PM</t>
  </si>
  <si>
    <t>52.8</t>
  </si>
  <si>
    <t>46868.72</t>
  </si>
  <si>
    <t>-52.8</t>
  </si>
  <si>
    <t>6:19 PM</t>
  </si>
  <si>
    <t>46992.95</t>
  </si>
  <si>
    <t>13.12</t>
  </si>
  <si>
    <t>47089.2</t>
  </si>
  <si>
    <t>-13.12</t>
  </si>
  <si>
    <t>4/24/2026</t>
  </si>
  <si>
    <t>8:25 AM</t>
  </si>
  <si>
    <t>10.96</t>
  </si>
  <si>
    <t>46675.58</t>
  </si>
  <si>
    <t>-10.96</t>
  </si>
  <si>
    <t>46774.43</t>
  </si>
  <si>
    <t>46660.58</t>
  </si>
  <si>
    <t>4:12 PM</t>
  </si>
  <si>
    <t>40.54</t>
  </si>
  <si>
    <t>46714.47</t>
  </si>
  <si>
    <t>-40.54</t>
  </si>
  <si>
    <t>7:15 PM</t>
  </si>
  <si>
    <t>19.42</t>
  </si>
  <si>
    <t>46755.01</t>
  </si>
  <si>
    <t>-19.42</t>
  </si>
  <si>
    <t>9:38 PM</t>
  </si>
  <si>
    <t>46636.16</t>
  </si>
  <si>
    <t>27.93</t>
  </si>
  <si>
    <t>46686.54</t>
  </si>
  <si>
    <t>-27.93</t>
  </si>
  <si>
    <t>4/25/2026</t>
  </si>
  <si>
    <t>9:08 AM</t>
  </si>
  <si>
    <t>14.2</t>
  </si>
  <si>
    <t>46588.65</t>
  </si>
  <si>
    <t>-14.2</t>
  </si>
  <si>
    <t>9:27 AM</t>
  </si>
  <si>
    <t>46626.04</t>
  </si>
  <si>
    <t>3.97</t>
  </si>
  <si>
    <t>46607.88</t>
  </si>
  <si>
    <t>-3.97</t>
  </si>
  <si>
    <t>4:35 PM</t>
  </si>
  <si>
    <t>10.09</t>
  </si>
  <si>
    <t>46578.56</t>
  </si>
  <si>
    <t>-10.09</t>
  </si>
  <si>
    <t>6:23 PM</t>
  </si>
  <si>
    <t>14.19</t>
  </si>
  <si>
    <t>46611.85</t>
  </si>
  <si>
    <t>-14.19</t>
  </si>
  <si>
    <t>9:33 PM</t>
  </si>
  <si>
    <t>73.29</t>
  </si>
  <si>
    <t>46489.31</t>
  </si>
  <si>
    <t>-73.29</t>
  </si>
  <si>
    <t>15.96</t>
  </si>
  <si>
    <t>46562.6</t>
  </si>
  <si>
    <t>-15.96</t>
  </si>
  <si>
    <t>10:28 PM</t>
  </si>
  <si>
    <t>5.03</t>
  </si>
  <si>
    <t>46602.85</t>
  </si>
  <si>
    <t>-5.03</t>
  </si>
  <si>
    <t>4/26/2026</t>
  </si>
  <si>
    <t>6:38 AM</t>
  </si>
  <si>
    <t>46323.29</t>
  </si>
  <si>
    <t>64.78</t>
  </si>
  <si>
    <t>46338.44</t>
  </si>
  <si>
    <t>-64.78</t>
  </si>
  <si>
    <t>1:46 PM</t>
  </si>
  <si>
    <t>17.54</t>
  </si>
  <si>
    <t>46305.75</t>
  </si>
  <si>
    <t>-17.54</t>
  </si>
  <si>
    <t>3:30 PM</t>
  </si>
  <si>
    <t>17.35</t>
  </si>
  <si>
    <t>46403.22</t>
  </si>
  <si>
    <t>-17.35</t>
  </si>
  <si>
    <t>46432.88</t>
  </si>
  <si>
    <t>10:53 PM</t>
  </si>
  <si>
    <t>12.31</t>
  </si>
  <si>
    <t>46420.57</t>
  </si>
  <si>
    <t>-12.31</t>
  </si>
  <si>
    <t>4/27/2026</t>
  </si>
  <si>
    <t>7:45 AM</t>
  </si>
  <si>
    <t>46193.82</t>
  </si>
  <si>
    <t>11:29 AM</t>
  </si>
  <si>
    <t>15.65</t>
  </si>
  <si>
    <t>46165.06</t>
  </si>
  <si>
    <t>-15.65</t>
  </si>
  <si>
    <t>12:15 PM</t>
  </si>
  <si>
    <t>12.54</t>
  </si>
  <si>
    <t>46137.39</t>
  </si>
  <si>
    <t>-12.54</t>
  </si>
  <si>
    <t>12:26 PM</t>
  </si>
  <si>
    <t>24.52</t>
  </si>
  <si>
    <t>46208.82</t>
  </si>
  <si>
    <t>-24.52</t>
  </si>
  <si>
    <t>1:02 PM</t>
  </si>
  <si>
    <t>40.87</t>
  </si>
  <si>
    <t>46264.88</t>
  </si>
  <si>
    <t>-40.87</t>
  </si>
  <si>
    <t>13.11</t>
  </si>
  <si>
    <t>46180.71</t>
  </si>
  <si>
    <t>-13.11</t>
  </si>
  <si>
    <t>15.13</t>
  </si>
  <si>
    <t>46149.93</t>
  </si>
  <si>
    <t>-15.13</t>
  </si>
  <si>
    <t>8:20 PM</t>
  </si>
  <si>
    <t>31.54</t>
  </si>
  <si>
    <t>46233.34</t>
  </si>
  <si>
    <t>-31.54</t>
  </si>
  <si>
    <t>4/28/2026</t>
  </si>
  <si>
    <t>1:15 PM</t>
  </si>
  <si>
    <t>5.92</t>
  </si>
  <si>
    <t>45941.11</t>
  </si>
  <si>
    <t>-5.92</t>
  </si>
  <si>
    <t>2:18 PM</t>
  </si>
  <si>
    <t>37.15</t>
  </si>
  <si>
    <t>46086.37</t>
  </si>
  <si>
    <t>-37.15</t>
  </si>
  <si>
    <t>2:47 PM</t>
  </si>
  <si>
    <t>56.05</t>
  </si>
  <si>
    <t>45995</t>
  </si>
  <si>
    <t>-56.05</t>
  </si>
  <si>
    <t>47.97</t>
  </si>
  <si>
    <t>45947.03</t>
  </si>
  <si>
    <t>-47.97</t>
  </si>
  <si>
    <t>3:45 PM</t>
  </si>
  <si>
    <t>19.62</t>
  </si>
  <si>
    <t>46051.05</t>
  </si>
  <si>
    <t>-19.62</t>
  </si>
  <si>
    <t>6:52 PM</t>
  </si>
  <si>
    <t>46070.67</t>
  </si>
  <si>
    <t>8:37 PM</t>
  </si>
  <si>
    <t>3229.02</t>
  </si>
  <si>
    <t>25941.34</t>
  </si>
  <si>
    <t>9:20 PM</t>
  </si>
  <si>
    <t>13.87</t>
  </si>
  <si>
    <t>46123.52</t>
  </si>
  <si>
    <t>-13.87</t>
  </si>
  <si>
    <t>4/29/2026</t>
  </si>
  <si>
    <t>107.26</t>
  </si>
  <si>
    <t>45442.92</t>
  </si>
  <si>
    <t>-107.26</t>
  </si>
  <si>
    <t>8:41 AM</t>
  </si>
  <si>
    <t>133.31</t>
  </si>
  <si>
    <t>45550.18</t>
  </si>
  <si>
    <t>-133.31</t>
  </si>
  <si>
    <t>10:00 AM</t>
  </si>
  <si>
    <t>56.06</t>
  </si>
  <si>
    <t>45854.32</t>
  </si>
  <si>
    <t>-56.06</t>
  </si>
  <si>
    <t>146.55</t>
  </si>
  <si>
    <t>45683.49</t>
  </si>
  <si>
    <t>-146.55</t>
  </si>
  <si>
    <t>30.73</t>
  </si>
  <si>
    <t>45910.38</t>
  </si>
  <si>
    <t>-30.73</t>
  </si>
  <si>
    <t>6:50 PM</t>
  </si>
  <si>
    <t>167.14</t>
  </si>
  <si>
    <t>45275.78</t>
  </si>
  <si>
    <t>-167.14</t>
  </si>
  <si>
    <t>24.28</t>
  </si>
  <si>
    <t>45830.04</t>
  </si>
  <si>
    <t>-24.28</t>
  </si>
  <si>
    <t>4/30/2026</t>
  </si>
  <si>
    <t>6:16 AM</t>
  </si>
  <si>
    <t>169.73</t>
  </si>
  <si>
    <t>44929.22</t>
  </si>
  <si>
    <t>-169.73</t>
  </si>
  <si>
    <t>19.18</t>
  </si>
  <si>
    <t>45256.6</t>
  </si>
  <si>
    <t>-19.18</t>
  </si>
  <si>
    <t>4:50 PM</t>
  </si>
  <si>
    <t>8.56</t>
  </si>
  <si>
    <t>45157.11</t>
  </si>
  <si>
    <t>-8.56</t>
  </si>
  <si>
    <t>6:42 PM</t>
  </si>
  <si>
    <t>14.92</t>
  </si>
  <si>
    <t>45098.95</t>
  </si>
  <si>
    <t>-14.92</t>
  </si>
  <si>
    <t>43.24</t>
  </si>
  <si>
    <t>45113.87</t>
  </si>
  <si>
    <t>-43.24</t>
  </si>
  <si>
    <t>8:17 PM</t>
  </si>
  <si>
    <t>45204.2</t>
  </si>
  <si>
    <t>8:41 PM</t>
  </si>
  <si>
    <t>38.53</t>
  </si>
  <si>
    <t>45165.67</t>
  </si>
  <si>
    <t>-38.53</t>
  </si>
  <si>
    <t>10:31 PM</t>
  </si>
  <si>
    <t>10.36</t>
  </si>
  <si>
    <t>45246.24</t>
  </si>
  <si>
    <t>-10.36</t>
  </si>
  <si>
    <t>5/1/2026</t>
  </si>
  <si>
    <t>23.7</t>
  </si>
  <si>
    <t>44905.52</t>
  </si>
  <si>
    <t>-23.7</t>
  </si>
  <si>
    <t>7:42 AM</t>
  </si>
  <si>
    <t>44.02</t>
  </si>
  <si>
    <t>44861.5</t>
  </si>
  <si>
    <t>-44.02</t>
  </si>
  <si>
    <t>10:30 AM</t>
  </si>
  <si>
    <t>51</t>
  </si>
  <si>
    <t>44781.84</t>
  </si>
  <si>
    <t>-51</t>
  </si>
  <si>
    <t>23.69</t>
  </si>
  <si>
    <t>44743.15</t>
  </si>
  <si>
    <t>-23.69</t>
  </si>
  <si>
    <t>3:23 PM</t>
  </si>
  <si>
    <t>13.66</t>
  </si>
  <si>
    <t>44832.84</t>
  </si>
  <si>
    <t>-13.66</t>
  </si>
  <si>
    <t>5:26 PM</t>
  </si>
  <si>
    <t>44766.84</t>
  </si>
  <si>
    <t>44846.5</t>
  </si>
  <si>
    <t>5/2/2026</t>
  </si>
  <si>
    <t>7:35 AM</t>
  </si>
  <si>
    <t>93.09</t>
  </si>
  <si>
    <t>44566.02</t>
  </si>
  <si>
    <t>-93.09</t>
  </si>
  <si>
    <t>12:45 PM</t>
  </si>
  <si>
    <t>44674.11</t>
  </si>
  <si>
    <t>12.25</t>
  </si>
  <si>
    <t>44689.11</t>
  </si>
  <si>
    <t>-12.25</t>
  </si>
  <si>
    <t>16.7</t>
  </si>
  <si>
    <t>44726.45</t>
  </si>
  <si>
    <t>-16.7</t>
  </si>
  <si>
    <t>7:47 PM</t>
  </si>
  <si>
    <t>44859.69</t>
  </si>
  <si>
    <t>25.09</t>
  </si>
  <si>
    <t>44701.36</t>
  </si>
  <si>
    <t>-25.09</t>
  </si>
  <si>
    <t>44659.11</t>
  </si>
  <si>
    <t>5/3/2026</t>
  </si>
  <si>
    <t>6:47 AM</t>
  </si>
  <si>
    <t>68.29</t>
  </si>
  <si>
    <t>44497.73</t>
  </si>
  <si>
    <t>-68.29</t>
  </si>
  <si>
    <t>24.91</t>
  </si>
  <si>
    <t>44448.56</t>
  </si>
  <si>
    <t>-24.91</t>
  </si>
  <si>
    <t>10.14</t>
  </si>
  <si>
    <t>44373.85</t>
  </si>
  <si>
    <t>-10.14</t>
  </si>
  <si>
    <t>54.46</t>
  </si>
  <si>
    <t>44394.1</t>
  </si>
  <si>
    <t>-54.46</t>
  </si>
  <si>
    <t>5:44 PM</t>
  </si>
  <si>
    <t>24.26</t>
  </si>
  <si>
    <t>44473.47</t>
  </si>
  <si>
    <t>-24.26</t>
  </si>
  <si>
    <t>6:28 PM</t>
  </si>
  <si>
    <t>10.11</t>
  </si>
  <si>
    <t>44383.99</t>
  </si>
  <si>
    <t>-10.11</t>
  </si>
  <si>
    <t>14.17</t>
  </si>
  <si>
    <t>44359.68</t>
  </si>
  <si>
    <t>-14.17</t>
  </si>
  <si>
    <t>5/4/2026</t>
  </si>
  <si>
    <t>8:06 AM</t>
  </si>
  <si>
    <t>48.56</t>
  </si>
  <si>
    <t>44034.89</t>
  </si>
  <si>
    <t>-48.56</t>
  </si>
  <si>
    <t>93.99</t>
  </si>
  <si>
    <t>44107.06</t>
  </si>
  <si>
    <t>-93.99</t>
  </si>
  <si>
    <t>1:47 PM</t>
  </si>
  <si>
    <t>159.55</t>
  </si>
  <si>
    <t>44194.44</t>
  </si>
  <si>
    <t>16.36</t>
  </si>
  <si>
    <t>44201.05</t>
  </si>
  <si>
    <t>-16.36</t>
  </si>
  <si>
    <t>23.61</t>
  </si>
  <si>
    <t>44083.45</t>
  </si>
  <si>
    <t>-23.61</t>
  </si>
  <si>
    <t>8:43 PM</t>
  </si>
  <si>
    <t>44217.41</t>
  </si>
  <si>
    <t>-142.27</t>
  </si>
  <si>
    <t>5/5/2026</t>
  </si>
  <si>
    <t>13.26</t>
  </si>
  <si>
    <t>44181.18</t>
  </si>
  <si>
    <t>-13.26</t>
  </si>
  <si>
    <t>20.32</t>
  </si>
  <si>
    <t>44153.58</t>
  </si>
  <si>
    <t>-20.32</t>
  </si>
  <si>
    <t>11:48 AM</t>
  </si>
  <si>
    <t>67.98</t>
  </si>
  <si>
    <t>43825.47</t>
  </si>
  <si>
    <t>-67.98</t>
  </si>
  <si>
    <t>2:03 PM</t>
  </si>
  <si>
    <t>85.61</t>
  </si>
  <si>
    <t>44067.97</t>
  </si>
  <si>
    <t>-85.61</t>
  </si>
  <si>
    <t>7.28</t>
  </si>
  <si>
    <t>44173.9</t>
  </si>
  <si>
    <t>-7.28</t>
  </si>
  <si>
    <t>141.48</t>
  </si>
  <si>
    <t>43893.45</t>
  </si>
  <si>
    <t>-141.48</t>
  </si>
  <si>
    <t>7:35 PM</t>
  </si>
  <si>
    <t>33.04</t>
  </si>
  <si>
    <t>44034.93</t>
  </si>
  <si>
    <t>-33.04</t>
  </si>
  <si>
    <t>5/6/2026</t>
  </si>
  <si>
    <t>10:51 AM</t>
  </si>
  <si>
    <t>16.01</t>
  </si>
  <si>
    <t>43809.46</t>
  </si>
  <si>
    <t>-16.01</t>
  </si>
  <si>
    <t>12:51 PM</t>
  </si>
  <si>
    <t>128.95</t>
  </si>
  <si>
    <t>43478.27</t>
  </si>
  <si>
    <t>-128.95</t>
  </si>
  <si>
    <t>2:13 PM</t>
  </si>
  <si>
    <t>23.54</t>
  </si>
  <si>
    <t>43696.5</t>
  </si>
  <si>
    <t>-23.54</t>
  </si>
  <si>
    <t>68.11</t>
  </si>
  <si>
    <t>43628.39</t>
  </si>
  <si>
    <t>-68.11</t>
  </si>
  <si>
    <t>21.17</t>
  </si>
  <si>
    <t>43607.22</t>
  </si>
  <si>
    <t>-21.17</t>
  </si>
  <si>
    <t>89.42</t>
  </si>
  <si>
    <t>43720.04</t>
  </si>
  <si>
    <t>-89.42</t>
  </si>
  <si>
    <t>129.83</t>
  </si>
  <si>
    <t>44729.86</t>
  </si>
  <si>
    <t>-129.83</t>
  </si>
  <si>
    <t>5/7/2026</t>
  </si>
  <si>
    <t>12:25 PM</t>
  </si>
  <si>
    <t>43403.37</t>
  </si>
  <si>
    <t>12:47 PM</t>
  </si>
  <si>
    <t>44.9</t>
  </si>
  <si>
    <t>43418.37</t>
  </si>
  <si>
    <t>-44.9</t>
  </si>
  <si>
    <t>19.73</t>
  </si>
  <si>
    <t>43273.37</t>
  </si>
  <si>
    <t>-19.73</t>
  </si>
  <si>
    <t>3:24 PM</t>
  </si>
  <si>
    <t>110.27</t>
  </si>
  <si>
    <t>43293.1</t>
  </si>
  <si>
    <t>-110.27</t>
  </si>
  <si>
    <t>4:19 PM</t>
  </si>
  <si>
    <t>43463.27</t>
  </si>
  <si>
    <t>23.24</t>
  </si>
  <si>
    <t>43250.13</t>
  </si>
  <si>
    <t>-23.24</t>
  </si>
  <si>
    <t>5/8/2026</t>
  </si>
  <si>
    <t>143.94</t>
  </si>
  <si>
    <t>43028.2</t>
  </si>
  <si>
    <t>-143.94</t>
  </si>
  <si>
    <t>7:33 AM</t>
  </si>
  <si>
    <t>17.32</t>
  </si>
  <si>
    <t>42952.06</t>
  </si>
  <si>
    <t>-17.32</t>
  </si>
  <si>
    <t>7:48 AM</t>
  </si>
  <si>
    <t>200</t>
  </si>
  <si>
    <t>42752.06</t>
  </si>
  <si>
    <t>-200</t>
  </si>
  <si>
    <t>8.61</t>
  </si>
  <si>
    <t>43019.59</t>
  </si>
  <si>
    <t>-8.61</t>
  </si>
  <si>
    <t>1:31 PM</t>
  </si>
  <si>
    <t>13.83</t>
  </si>
  <si>
    <t>43005.76</t>
  </si>
  <si>
    <t>-13.83</t>
  </si>
  <si>
    <t>42969.38</t>
  </si>
  <si>
    <t>77.99</t>
  </si>
  <si>
    <t>43172.14</t>
  </si>
  <si>
    <t>-77.99</t>
  </si>
  <si>
    <t>9:46 PM</t>
  </si>
  <si>
    <t>21.38</t>
  </si>
  <si>
    <t>42984.38</t>
  </si>
  <si>
    <t>-21.38</t>
  </si>
  <si>
    <t>5/9/2026</t>
  </si>
  <si>
    <t>11:06 AM</t>
  </si>
  <si>
    <t>18.32</t>
  </si>
  <si>
    <t>42547.53</t>
  </si>
  <si>
    <t>-18.32</t>
  </si>
  <si>
    <t>1:04 PM</t>
  </si>
  <si>
    <t>41.7</t>
  </si>
  <si>
    <t>42710.36</t>
  </si>
  <si>
    <t>-41.7</t>
  </si>
  <si>
    <t>48.22</t>
  </si>
  <si>
    <t>42499.31</t>
  </si>
  <si>
    <t>-48.22</t>
  </si>
  <si>
    <t>1:44 PM</t>
  </si>
  <si>
    <t>93.44</t>
  </si>
  <si>
    <t>42578.96</t>
  </si>
  <si>
    <t>20.83</t>
  </si>
  <si>
    <t>42565.85</t>
  </si>
  <si>
    <t>-20.83</t>
  </si>
  <si>
    <t>13.79</t>
  </si>
  <si>
    <t>42485.52</t>
  </si>
  <si>
    <t>-13.79</t>
  </si>
  <si>
    <t>18.84</t>
  </si>
  <si>
    <t>42586.68</t>
  </si>
  <si>
    <t>-18.84</t>
  </si>
  <si>
    <t>9:42 PM</t>
  </si>
  <si>
    <t>96.47</t>
  </si>
  <si>
    <t>42605.52</t>
  </si>
  <si>
    <t>-96.47</t>
  </si>
  <si>
    <t>8.37</t>
  </si>
  <si>
    <t>42701.99</t>
  </si>
  <si>
    <t>-8.37</t>
  </si>
  <si>
    <t>5/10/2026</t>
  </si>
  <si>
    <t>6:44 AM</t>
  </si>
  <si>
    <t>42534.09</t>
  </si>
  <si>
    <t>9:57 AM</t>
  </si>
  <si>
    <t>37.42</t>
  </si>
  <si>
    <t>42449.68</t>
  </si>
  <si>
    <t>-37.42</t>
  </si>
  <si>
    <t>29.87</t>
  </si>
  <si>
    <t>42549.09</t>
  </si>
  <si>
    <t>-29.87</t>
  </si>
  <si>
    <t>7:41 PM</t>
  </si>
  <si>
    <t>46.99</t>
  </si>
  <si>
    <t>42487.1</t>
  </si>
  <si>
    <t>-46.99</t>
  </si>
  <si>
    <t>9:17 PM</t>
  </si>
  <si>
    <t>47.18</t>
  </si>
  <si>
    <t>42402.5</t>
  </si>
  <si>
    <t>-47.18</t>
  </si>
  <si>
    <t>5/11/2026</t>
  </si>
  <si>
    <t>7:11 AM</t>
  </si>
  <si>
    <t>18.45</t>
  </si>
  <si>
    <t>42384.05</t>
  </si>
  <si>
    <t>-18.45</t>
  </si>
  <si>
    <t>8:21 AM</t>
  </si>
  <si>
    <t>7.41</t>
  </si>
  <si>
    <t>42172.29</t>
  </si>
  <si>
    <t>-7.41</t>
  </si>
  <si>
    <t>10:50 AM</t>
  </si>
  <si>
    <t>14.98</t>
  </si>
  <si>
    <t>42226.74</t>
  </si>
  <si>
    <t>-14.98</t>
  </si>
  <si>
    <t>8.81</t>
  </si>
  <si>
    <t>42375.24</t>
  </si>
  <si>
    <t>-8.81</t>
  </si>
  <si>
    <t>3:10 PM</t>
  </si>
  <si>
    <t>20.65</t>
  </si>
  <si>
    <t>42354.59</t>
  </si>
  <si>
    <t>-20.65</t>
  </si>
  <si>
    <t>47.04</t>
  </si>
  <si>
    <t>42179.7</t>
  </si>
  <si>
    <t>-47.04</t>
  </si>
  <si>
    <t>112.87</t>
  </si>
  <si>
    <t>42241.72</t>
  </si>
  <si>
    <t>-112.87</t>
  </si>
  <si>
    <t>5/12/2026</t>
  </si>
  <si>
    <t>8:11 AM</t>
  </si>
  <si>
    <t>5.43</t>
  </si>
  <si>
    <t>42051.74</t>
  </si>
  <si>
    <t>-5.43</t>
  </si>
  <si>
    <t>26.1</t>
  </si>
  <si>
    <t>42117.02</t>
  </si>
  <si>
    <t>-26.1</t>
  </si>
  <si>
    <t>2:50 PM</t>
  </si>
  <si>
    <t>9.54</t>
  </si>
  <si>
    <t>42162.75</t>
  </si>
  <si>
    <t>-9.54</t>
  </si>
  <si>
    <t>22.26</t>
  </si>
  <si>
    <t>42057.17</t>
  </si>
  <si>
    <t>-22.26</t>
  </si>
  <si>
    <t>3:51 PM</t>
  </si>
  <si>
    <t>4.63</t>
  </si>
  <si>
    <t>42143.12</t>
  </si>
  <si>
    <t>-4.63</t>
  </si>
  <si>
    <t>4:23 PM</t>
  </si>
  <si>
    <t>37.59</t>
  </si>
  <si>
    <t>42079.43</t>
  </si>
  <si>
    <t>-37.59</t>
  </si>
  <si>
    <t>115.51</t>
  </si>
  <si>
    <t>42152.25</t>
  </si>
  <si>
    <t>42147.75</t>
  </si>
  <si>
    <t>6:49 PM</t>
  </si>
  <si>
    <t>100</t>
  </si>
  <si>
    <t>42052.25</t>
  </si>
  <si>
    <t>-100</t>
  </si>
  <si>
    <t>10:26 PM</t>
  </si>
  <si>
    <t>42036.74</t>
  </si>
  <si>
    <t>5/13/2026</t>
  </si>
  <si>
    <t>41951.04</t>
  </si>
  <si>
    <t>40.06</t>
  </si>
  <si>
    <t>41966.04</t>
  </si>
  <si>
    <t>-40.06</t>
  </si>
  <si>
    <t>6:10 PM</t>
  </si>
  <si>
    <t>42039.71</t>
  </si>
  <si>
    <t>20.19</t>
  </si>
  <si>
    <t>41930.85</t>
  </si>
  <si>
    <t>-20.19</t>
  </si>
  <si>
    <t>7:19 PM</t>
  </si>
  <si>
    <t>25.39</t>
  </si>
  <si>
    <t>42006.1</t>
  </si>
  <si>
    <t>-25.39</t>
  </si>
  <si>
    <t>42031.49</t>
  </si>
  <si>
    <t>5/14/2026</t>
  </si>
  <si>
    <t>88.12</t>
  </si>
  <si>
    <t>44641.74</t>
  </si>
  <si>
    <t>-88.12</t>
  </si>
  <si>
    <t>6:46 AM</t>
  </si>
  <si>
    <t>35.27</t>
  </si>
  <si>
    <t>41689.08</t>
  </si>
  <si>
    <t>-35.27</t>
  </si>
  <si>
    <t>10:19 AM</t>
  </si>
  <si>
    <t>41915.85</t>
  </si>
  <si>
    <t>11:25 AM</t>
  </si>
  <si>
    <t>97.26</t>
  </si>
  <si>
    <t>41818.59</t>
  </si>
  <si>
    <t>-97.26</t>
  </si>
  <si>
    <t>9.94</t>
  </si>
  <si>
    <t>41724.35</t>
  </si>
  <si>
    <t>-9.94</t>
  </si>
  <si>
    <t>2:52 PM</t>
  </si>
  <si>
    <t>70.01</t>
  </si>
  <si>
    <t>41734.29</t>
  </si>
  <si>
    <t>-70.01</t>
  </si>
  <si>
    <t>3:53 PM</t>
  </si>
  <si>
    <t>90.04</t>
  </si>
  <si>
    <t>41599.04</t>
  </si>
  <si>
    <t>-90.04</t>
  </si>
  <si>
    <t>9:08 PM</t>
  </si>
  <si>
    <t>85.46</t>
  </si>
  <si>
    <t>41684.5</t>
  </si>
  <si>
    <t>9:36 PM</t>
  </si>
  <si>
    <t>14.29</t>
  </si>
  <si>
    <t>41804.3</t>
  </si>
  <si>
    <t>-14.29</t>
  </si>
  <si>
    <t>5/15/2026</t>
  </si>
  <si>
    <t>18.91</t>
  </si>
  <si>
    <t>41600.65</t>
  </si>
  <si>
    <t>-18.91</t>
  </si>
  <si>
    <t>9:16 AM</t>
  </si>
  <si>
    <t>5.01</t>
  </si>
  <si>
    <t>41377.06</t>
  </si>
  <si>
    <t>-5.01</t>
  </si>
  <si>
    <t>3115.19</t>
  </si>
  <si>
    <t>29056.53</t>
  </si>
  <si>
    <t>129.05</t>
  </si>
  <si>
    <t>41471.6</t>
  </si>
  <si>
    <t>-129.05</t>
  </si>
  <si>
    <t>13.33</t>
  </si>
  <si>
    <t>41619.56</t>
  </si>
  <si>
    <t>-13.33</t>
  </si>
  <si>
    <t>6:04 PM</t>
  </si>
  <si>
    <t>36.61</t>
  </si>
  <si>
    <t>41647.89</t>
  </si>
  <si>
    <t>-36.61</t>
  </si>
  <si>
    <t>6:48 PM</t>
  </si>
  <si>
    <t>89.53</t>
  </si>
  <si>
    <t>41382.07</t>
  </si>
  <si>
    <t>-89.53</t>
  </si>
  <si>
    <t>10:59 PM</t>
  </si>
  <si>
    <t>41632.89</t>
  </si>
  <si>
    <t>5/16/2026</t>
  </si>
  <si>
    <t>6:30 AM</t>
  </si>
  <si>
    <t>12.26</t>
  </si>
  <si>
    <t>41349.8</t>
  </si>
  <si>
    <t>-12.26</t>
  </si>
  <si>
    <t>8:07 AM</t>
  </si>
  <si>
    <t>41339.98</t>
  </si>
  <si>
    <t>21.93</t>
  </si>
  <si>
    <t>41318.05</t>
  </si>
  <si>
    <t>-21.93</t>
  </si>
  <si>
    <t>41221.9</t>
  </si>
  <si>
    <t>104.76</t>
  </si>
  <si>
    <t>41213.29</t>
  </si>
  <si>
    <t>-104.76</t>
  </si>
  <si>
    <t>41198.29</t>
  </si>
  <si>
    <t>8:49 PM</t>
  </si>
  <si>
    <t>41362.06</t>
  </si>
  <si>
    <t>5/17/2026</t>
  </si>
  <si>
    <t>48.63</t>
  </si>
  <si>
    <t>40940.73</t>
  </si>
  <si>
    <t>-48.63</t>
  </si>
  <si>
    <t>11:21 AM</t>
  </si>
  <si>
    <t>103.85</t>
  </si>
  <si>
    <t>41118.05</t>
  </si>
  <si>
    <t>-103.85</t>
  </si>
  <si>
    <t>1:51 PM</t>
  </si>
  <si>
    <t>21.21</t>
  </si>
  <si>
    <t>41096.84</t>
  </si>
  <si>
    <t>-21.21</t>
  </si>
  <si>
    <t>12.8</t>
  </si>
  <si>
    <t>40927.93</t>
  </si>
  <si>
    <t>-12.8</t>
  </si>
  <si>
    <t>104.43</t>
  </si>
  <si>
    <t>41032.36</t>
  </si>
  <si>
    <t>92.02</t>
  </si>
  <si>
    <t>40989.36</t>
  </si>
  <si>
    <t>-92.02</t>
  </si>
  <si>
    <t>7:25 PM</t>
  </si>
  <si>
    <t>15.46</t>
  </si>
  <si>
    <t>41081.38</t>
  </si>
  <si>
    <t>-15.46</t>
  </si>
  <si>
    <t>5/18/2026</t>
  </si>
  <si>
    <t>8:43 AM</t>
  </si>
  <si>
    <t>16.86</t>
  </si>
  <si>
    <t>40989.2</t>
  </si>
  <si>
    <t>-16.86</t>
  </si>
  <si>
    <t>3:07 PM</t>
  </si>
  <si>
    <t>14.13</t>
  </si>
  <si>
    <t>40975.07</t>
  </si>
  <si>
    <t>-14.13</t>
  </si>
  <si>
    <t>30.99</t>
  </si>
  <si>
    <t>40900.02</t>
  </si>
  <si>
    <t>-30.99</t>
  </si>
  <si>
    <t>8:39 PM</t>
  </si>
  <si>
    <t>26.3</t>
  </si>
  <si>
    <t>41006.06</t>
  </si>
  <si>
    <t>-26.3</t>
  </si>
  <si>
    <t>44551.75</t>
  </si>
  <si>
    <t>10:24 PM</t>
  </si>
  <si>
    <t>44.06</t>
  </si>
  <si>
    <t>40931.01</t>
  </si>
  <si>
    <t>-44.06</t>
  </si>
  <si>
    <t>5/19/2026</t>
  </si>
  <si>
    <t>51.78</t>
  </si>
  <si>
    <t>40835.74</t>
  </si>
  <si>
    <t>-51.78</t>
  </si>
  <si>
    <t>12:52 PM</t>
  </si>
  <si>
    <t>79.55</t>
  </si>
  <si>
    <t>40756.19</t>
  </si>
  <si>
    <t>-79.55</t>
  </si>
  <si>
    <t>1:18 PM</t>
  </si>
  <si>
    <t>50.27</t>
  </si>
  <si>
    <t>40673.34</t>
  </si>
  <si>
    <t>-50.27</t>
  </si>
  <si>
    <t>3:08 PM</t>
  </si>
  <si>
    <t>12.5</t>
  </si>
  <si>
    <t>40887.52</t>
  </si>
  <si>
    <t>-12.5</t>
  </si>
  <si>
    <t>8:31 PM</t>
  </si>
  <si>
    <t>40723.61</t>
  </si>
  <si>
    <t>9:26 PM</t>
  </si>
  <si>
    <t>17.58</t>
  </si>
  <si>
    <t>40738.61</t>
  </si>
  <si>
    <t>-17.58</t>
  </si>
  <si>
    <t>9:35 PM</t>
  </si>
  <si>
    <t>144.92</t>
  </si>
  <si>
    <t>40528.42</t>
  </si>
  <si>
    <t>-144.92</t>
  </si>
  <si>
    <t>5/20/2026</t>
  </si>
  <si>
    <t>43.95</t>
  </si>
  <si>
    <t>40275.03</t>
  </si>
  <si>
    <t>-43.95</t>
  </si>
  <si>
    <t>4.95</t>
  </si>
  <si>
    <t>40394.1</t>
  </si>
  <si>
    <t>-4.95</t>
  </si>
  <si>
    <t>5:34 PM</t>
  </si>
  <si>
    <t>14.85</t>
  </si>
  <si>
    <t>40513.57</t>
  </si>
  <si>
    <t>-14.85</t>
  </si>
  <si>
    <t>5:55 PM</t>
  </si>
  <si>
    <t>75.12</t>
  </si>
  <si>
    <t>40318.98</t>
  </si>
  <si>
    <t>-75.12</t>
  </si>
  <si>
    <t>130.26</t>
  </si>
  <si>
    <t>40405.29</t>
  </si>
  <si>
    <t>8:34 PM</t>
  </si>
  <si>
    <t>114.52</t>
  </si>
  <si>
    <t>40399.05</t>
  </si>
  <si>
    <t>-114.52</t>
  </si>
  <si>
    <t>5/21/2026</t>
  </si>
  <si>
    <t>10:44 AM</t>
  </si>
  <si>
    <t>16.14</t>
  </si>
  <si>
    <t>40175.14</t>
  </si>
  <si>
    <t>-16.14</t>
  </si>
  <si>
    <t>3:18 PM</t>
  </si>
  <si>
    <t>12.53</t>
  </si>
  <si>
    <t>40237.39</t>
  </si>
  <si>
    <t>-12.53</t>
  </si>
  <si>
    <t>17.99</t>
  </si>
  <si>
    <t>40157.15</t>
  </si>
  <si>
    <t>-17.99</t>
  </si>
  <si>
    <t>155.37</t>
  </si>
  <si>
    <t>40249.92</t>
  </si>
  <si>
    <t>-155.37</t>
  </si>
  <si>
    <t>7:58 PM</t>
  </si>
  <si>
    <t>28.78</t>
  </si>
  <si>
    <t>40191.28</t>
  </si>
  <si>
    <t>-28.78</t>
  </si>
  <si>
    <t>17.33</t>
  </si>
  <si>
    <t>40220.06</t>
  </si>
  <si>
    <t>-17.33</t>
  </si>
  <si>
    <t>5/22/2026</t>
  </si>
  <si>
    <t>7:02 AM</t>
  </si>
  <si>
    <t>39858.74</t>
  </si>
  <si>
    <t>11.59</t>
  </si>
  <si>
    <t>40114.46</t>
  </si>
  <si>
    <t>-11.59</t>
  </si>
  <si>
    <t>38.26</t>
  </si>
  <si>
    <t>40062.47</t>
  </si>
  <si>
    <t>-38.26</t>
  </si>
  <si>
    <t>36.46</t>
  </si>
  <si>
    <t>39873.74</t>
  </si>
  <si>
    <t>-36.46</t>
  </si>
  <si>
    <t>2:40 PM</t>
  </si>
  <si>
    <t>31.1</t>
  </si>
  <si>
    <t>40126.05</t>
  </si>
  <si>
    <t>-31.1</t>
  </si>
  <si>
    <t>100.06</t>
  </si>
  <si>
    <t>39910.2</t>
  </si>
  <si>
    <t>-100.06</t>
  </si>
  <si>
    <t>5:29 PM</t>
  </si>
  <si>
    <t>13.73</t>
  </si>
  <si>
    <t>40100.73</t>
  </si>
  <si>
    <t>-13.73</t>
  </si>
  <si>
    <t>6:13 PM</t>
  </si>
  <si>
    <t>52.21</t>
  </si>
  <si>
    <t>40010.26</t>
  </si>
  <si>
    <t>-52.21</t>
  </si>
  <si>
    <t>5/23/2026</t>
  </si>
  <si>
    <t>11:03 AM</t>
  </si>
  <si>
    <t>42.55</t>
  </si>
  <si>
    <t>39555.16</t>
  </si>
  <si>
    <t>-42.55</t>
  </si>
  <si>
    <t>68.47</t>
  </si>
  <si>
    <t>39790.27</t>
  </si>
  <si>
    <t>-68.47</t>
  </si>
  <si>
    <t>43.29</t>
  </si>
  <si>
    <t>39603.02</t>
  </si>
  <si>
    <t>-43.29</t>
  </si>
  <si>
    <t>5:16 PM</t>
  </si>
  <si>
    <t>5.31</t>
  </si>
  <si>
    <t>39597.71</t>
  </si>
  <si>
    <t>-5.31</t>
  </si>
  <si>
    <t>143.96</t>
  </si>
  <si>
    <t>39646.31</t>
  </si>
  <si>
    <t>-143.96</t>
  </si>
  <si>
    <t>5/24/2026</t>
  </si>
  <si>
    <t>9:00 AM</t>
  </si>
  <si>
    <t>15.45</t>
  </si>
  <si>
    <t>39539.71</t>
  </si>
  <si>
    <t>-15.45</t>
  </si>
  <si>
    <t>9:06 AM</t>
  </si>
  <si>
    <t>4.7</t>
  </si>
  <si>
    <t>39488.82</t>
  </si>
  <si>
    <t>-4.7</t>
  </si>
  <si>
    <t>53.81</t>
  </si>
  <si>
    <t>39435.01</t>
  </si>
  <si>
    <t>-53.81</t>
  </si>
  <si>
    <t>39524.71</t>
  </si>
  <si>
    <t>4:52 PM</t>
  </si>
  <si>
    <t>39509.71</t>
  </si>
  <si>
    <t>16.19</t>
  </si>
  <si>
    <t>39493.52</t>
  </si>
  <si>
    <t>-16.19</t>
  </si>
  <si>
    <t>5/25/2026</t>
  </si>
  <si>
    <t>48.53</t>
  </si>
  <si>
    <t>39386.48</t>
  </si>
  <si>
    <t>-48.53</t>
  </si>
  <si>
    <t>39221.66</t>
  </si>
  <si>
    <t>66.83</t>
  </si>
  <si>
    <t>39249.25</t>
  </si>
  <si>
    <t>-66.83</t>
  </si>
  <si>
    <t>25.6</t>
  </si>
  <si>
    <t>39360.88</t>
  </si>
  <si>
    <t>-25.6</t>
  </si>
  <si>
    <t>7:20 PM</t>
  </si>
  <si>
    <t>9.68</t>
  </si>
  <si>
    <t>39239.57</t>
  </si>
  <si>
    <t>-9.68</t>
  </si>
  <si>
    <t>8:55 PM</t>
  </si>
  <si>
    <t>44.8</t>
  </si>
  <si>
    <t>39316.08</t>
  </si>
  <si>
    <t>-44.8</t>
  </si>
  <si>
    <t>5/26/2026</t>
  </si>
  <si>
    <t>8:00 AM</t>
  </si>
  <si>
    <t>22.83</t>
  </si>
  <si>
    <t>38755.46</t>
  </si>
  <si>
    <t>-22.83</t>
  </si>
  <si>
    <t>8:33 AM</t>
  </si>
  <si>
    <t>34.05</t>
  </si>
  <si>
    <t>38931.56</t>
  </si>
  <si>
    <t>-34.05</t>
  </si>
  <si>
    <t>38778.29</t>
  </si>
  <si>
    <t>117.54</t>
  </si>
  <si>
    <t>38965.61</t>
  </si>
  <si>
    <t>-117.54</t>
  </si>
  <si>
    <t>3:13 PM</t>
  </si>
  <si>
    <t>125.68</t>
  </si>
  <si>
    <t>39095.98</t>
  </si>
  <si>
    <t>-125.68</t>
  </si>
  <si>
    <t>83.68</t>
  </si>
  <si>
    <t>38839.14</t>
  </si>
  <si>
    <t>4:08 PM</t>
  </si>
  <si>
    <t>143.33</t>
  </si>
  <si>
    <t>38788.23</t>
  </si>
  <si>
    <t>-143.33</t>
  </si>
  <si>
    <t>6:18 PM</t>
  </si>
  <si>
    <t>12.83</t>
  </si>
  <si>
    <t>39083.15</t>
  </si>
  <si>
    <t>-12.83</t>
  </si>
  <si>
    <t>5/27/2026</t>
  </si>
  <si>
    <t>8:19 AM</t>
  </si>
  <si>
    <t>14.9</t>
  </si>
  <si>
    <t>38741.1</t>
  </si>
  <si>
    <t>-14.9</t>
  </si>
  <si>
    <t>8:40 AM</t>
  </si>
  <si>
    <t>16.33</t>
  </si>
  <si>
    <t>38822.81</t>
  </si>
  <si>
    <t>-16.33</t>
  </si>
  <si>
    <t>68.23</t>
  </si>
  <si>
    <t>38656</t>
  </si>
  <si>
    <t>-68.23</t>
  </si>
  <si>
    <t>11:07 AM</t>
  </si>
  <si>
    <t>57.28</t>
  </si>
  <si>
    <t>38598.72</t>
  </si>
  <si>
    <t>-57.28</t>
  </si>
  <si>
    <t>36.06</t>
  </si>
  <si>
    <t>38562.66</t>
  </si>
  <si>
    <t>-36.06</t>
  </si>
  <si>
    <t>47.57</t>
  </si>
  <si>
    <t>38756</t>
  </si>
  <si>
    <t>-47.57</t>
  </si>
  <si>
    <t>1:03 PM</t>
  </si>
  <si>
    <t>16.87</t>
  </si>
  <si>
    <t>38724.23</t>
  </si>
  <si>
    <t>-16.87</t>
  </si>
  <si>
    <t>2:05 PM</t>
  </si>
  <si>
    <t>19.24</t>
  </si>
  <si>
    <t>38803.57</t>
  </si>
  <si>
    <t>-19.24</t>
  </si>
  <si>
    <t>5/28/2026</t>
  </si>
  <si>
    <t>6:15 AM</t>
  </si>
  <si>
    <t>10.04</t>
  </si>
  <si>
    <t>38384.37</t>
  </si>
  <si>
    <t>-10.04</t>
  </si>
  <si>
    <t>6:21 AM</t>
  </si>
  <si>
    <t>60.57</t>
  </si>
  <si>
    <t>38479.22</t>
  </si>
  <si>
    <t>-60.57</t>
  </si>
  <si>
    <t>8:16 AM</t>
  </si>
  <si>
    <t>8.17</t>
  </si>
  <si>
    <t>38471.05</t>
  </si>
  <si>
    <t>-8.17</t>
  </si>
  <si>
    <t>9:14 AM</t>
  </si>
  <si>
    <t>14.83</t>
  </si>
  <si>
    <t>38394.41</t>
  </si>
  <si>
    <t>-14.83</t>
  </si>
  <si>
    <t>11:23 AM</t>
  </si>
  <si>
    <t>38409.24</t>
  </si>
  <si>
    <t>3229.67</t>
  </si>
  <si>
    <t>32286.2</t>
  </si>
  <si>
    <t>2:46 PM</t>
  </si>
  <si>
    <t>22.87</t>
  </si>
  <si>
    <t>38539.79</t>
  </si>
  <si>
    <t>-22.87</t>
  </si>
  <si>
    <t>46.81</t>
  </si>
  <si>
    <t>38424.24</t>
  </si>
  <si>
    <t>-46.81</t>
  </si>
  <si>
    <t>5/29/2026</t>
  </si>
  <si>
    <t>47.1</t>
  </si>
  <si>
    <t>38262.64</t>
  </si>
  <si>
    <t>-47.1</t>
  </si>
  <si>
    <t>45.25</t>
  </si>
  <si>
    <t>38339.12</t>
  </si>
  <si>
    <t>-45.25</t>
  </si>
  <si>
    <t>22.11</t>
  </si>
  <si>
    <t>38309.74</t>
  </si>
  <si>
    <t>-22.11</t>
  </si>
  <si>
    <t>1:26 PM</t>
  </si>
  <si>
    <t>7.27</t>
  </si>
  <si>
    <t>38331.85</t>
  </si>
  <si>
    <t>-7.27</t>
  </si>
  <si>
    <t>38222.92</t>
  </si>
  <si>
    <t>3:36 PM</t>
  </si>
  <si>
    <t>60</t>
  </si>
  <si>
    <t>38162.92</t>
  </si>
  <si>
    <t>-60</t>
  </si>
  <si>
    <t>24.72</t>
  </si>
  <si>
    <t>38237.92</t>
  </si>
  <si>
    <t>-24.72</t>
  </si>
  <si>
    <t>5/30/2026</t>
  </si>
  <si>
    <t>138.78</t>
  </si>
  <si>
    <t>37783.73</t>
  </si>
  <si>
    <t>-138.78</t>
  </si>
  <si>
    <t>8:02 AM</t>
  </si>
  <si>
    <t>36.47</t>
  </si>
  <si>
    <t>37703.38</t>
  </si>
  <si>
    <t>-36.47</t>
  </si>
  <si>
    <t>1:09 PM</t>
  </si>
  <si>
    <t>142.38</t>
  </si>
  <si>
    <t>37925.96</t>
  </si>
  <si>
    <t>-142.38</t>
  </si>
  <si>
    <t>3:06 PM</t>
  </si>
  <si>
    <t>19.13</t>
  </si>
  <si>
    <t>37764.6</t>
  </si>
  <si>
    <t>-19.13</t>
  </si>
  <si>
    <t>132.14</t>
  </si>
  <si>
    <t>37571.24</t>
  </si>
  <si>
    <t>-132.14</t>
  </si>
  <si>
    <t>5:40 PM</t>
  </si>
  <si>
    <t>3.45</t>
  </si>
  <si>
    <t>37922.51</t>
  </si>
  <si>
    <t>-3.45</t>
  </si>
  <si>
    <t>24.75</t>
  </si>
  <si>
    <t>37739.85</t>
  </si>
  <si>
    <t>-24.75</t>
  </si>
  <si>
    <t>9:49 PM</t>
  </si>
  <si>
    <t>94.58</t>
  </si>
  <si>
    <t>38068.34</t>
  </si>
  <si>
    <t>-94.58</t>
  </si>
  <si>
    <t>10:08 PM</t>
  </si>
  <si>
    <t>40</t>
  </si>
  <si>
    <t>37531.24</t>
  </si>
  <si>
    <t>-40</t>
  </si>
  <si>
    <t>5/31/2026</t>
  </si>
  <si>
    <t>51.59</t>
  </si>
  <si>
    <t>37479.65</t>
  </si>
  <si>
    <t>-51.59</t>
  </si>
  <si>
    <t>29.77</t>
  </si>
  <si>
    <t>37408.83</t>
  </si>
  <si>
    <t>-29.77</t>
  </si>
  <si>
    <t>12:08 PM</t>
  </si>
  <si>
    <t>37438.6</t>
  </si>
  <si>
    <t>2:54 PM</t>
  </si>
  <si>
    <t>37364.69</t>
  </si>
  <si>
    <t>17.47</t>
  </si>
  <si>
    <t>37462.18</t>
  </si>
  <si>
    <t>-17.47</t>
  </si>
  <si>
    <t>3:52 PM</t>
  </si>
  <si>
    <t>29.88</t>
  </si>
  <si>
    <t>37334.81</t>
  </si>
  <si>
    <t>-29.88</t>
  </si>
  <si>
    <t>4:09 PM</t>
  </si>
  <si>
    <t>37134.81</t>
  </si>
  <si>
    <t>4:20 PM</t>
  </si>
  <si>
    <t>16.31</t>
  </si>
  <si>
    <t>37445.87</t>
  </si>
  <si>
    <t>-16.31</t>
  </si>
  <si>
    <t>5:49 PM</t>
  </si>
  <si>
    <t>29.14</t>
  </si>
  <si>
    <t>37379.69</t>
  </si>
  <si>
    <t>-29.14</t>
  </si>
  <si>
    <t>6/1/2026</t>
  </si>
  <si>
    <t>28.6</t>
  </si>
  <si>
    <t>37106.21</t>
  </si>
  <si>
    <t>-28.6</t>
  </si>
  <si>
    <t>10.07</t>
  </si>
  <si>
    <t>36880.01</t>
  </si>
  <si>
    <t>-10.07</t>
  </si>
  <si>
    <t>10:07 AM</t>
  </si>
  <si>
    <t>62.19</t>
  </si>
  <si>
    <t>37013.54</t>
  </si>
  <si>
    <t>-62.19</t>
  </si>
  <si>
    <t>15.48</t>
  </si>
  <si>
    <t>37090.73</t>
  </si>
  <si>
    <t>-15.48</t>
  </si>
  <si>
    <t>12:57 PM</t>
  </si>
  <si>
    <t>179.55</t>
  </si>
  <si>
    <t>36700.46</t>
  </si>
  <si>
    <t>-179.55</t>
  </si>
  <si>
    <t>1:06 PM</t>
  </si>
  <si>
    <t>37075.73</t>
  </si>
  <si>
    <t>123.46</t>
  </si>
  <si>
    <t>36890.08</t>
  </si>
  <si>
    <t>-123.46</t>
  </si>
  <si>
    <t>6/2/2026</t>
  </si>
  <si>
    <t>36568.62</t>
  </si>
  <si>
    <t>11:17 AM</t>
  </si>
  <si>
    <t>22.16</t>
  </si>
  <si>
    <t>36583.62</t>
  </si>
  <si>
    <t>-22.16</t>
  </si>
  <si>
    <t>4:07 PM</t>
  </si>
  <si>
    <t>67.25</t>
  </si>
  <si>
    <t>36633.21</t>
  </si>
  <si>
    <t>-67.25</t>
  </si>
  <si>
    <t>36361.4</t>
  </si>
  <si>
    <t>12.43</t>
  </si>
  <si>
    <t>36605.78</t>
  </si>
  <si>
    <t>-12.43</t>
  </si>
  <si>
    <t>36618.21</t>
  </si>
  <si>
    <t>127.22</t>
  </si>
  <si>
    <t>36441.4</t>
  </si>
  <si>
    <t>-127.22</t>
  </si>
  <si>
    <t>42701.75</t>
  </si>
  <si>
    <t>6/3/2026</t>
  </si>
  <si>
    <t>6:24 AM</t>
  </si>
  <si>
    <t>36347.66</t>
  </si>
  <si>
    <t>39.05</t>
  </si>
  <si>
    <t>36260.85</t>
  </si>
  <si>
    <t>-39.05</t>
  </si>
  <si>
    <t>166.76</t>
  </si>
  <si>
    <t>36237.42</t>
  </si>
  <si>
    <t>9:15 AM</t>
  </si>
  <si>
    <t>185.37</t>
  </si>
  <si>
    <t>36070.66</t>
  </si>
  <si>
    <t>-185.37</t>
  </si>
  <si>
    <t>2:11 PM</t>
  </si>
  <si>
    <t>36299.9</t>
  </si>
  <si>
    <t>32.94</t>
  </si>
  <si>
    <t>36314.72</t>
  </si>
  <si>
    <t>-32.94</t>
  </si>
  <si>
    <t>4.82</t>
  </si>
  <si>
    <t>36256.03</t>
  </si>
  <si>
    <t>-4.82</t>
  </si>
  <si>
    <t>6/4/2026</t>
  </si>
  <si>
    <t>11:11 AM</t>
  </si>
  <si>
    <t>56.63</t>
  </si>
  <si>
    <t>36180.79</t>
  </si>
  <si>
    <t>-56.63</t>
  </si>
  <si>
    <t>35978.01</t>
  </si>
  <si>
    <t>35938.2</t>
  </si>
  <si>
    <t>12:53 PM</t>
  </si>
  <si>
    <t>30.52</t>
  </si>
  <si>
    <t>35993.01</t>
  </si>
  <si>
    <t>-30.52</t>
  </si>
  <si>
    <t>1:01 PM</t>
  </si>
  <si>
    <t>24.81</t>
  </si>
  <si>
    <t>35953.2</t>
  </si>
  <si>
    <t>-24.81</t>
  </si>
  <si>
    <t>45.28</t>
  </si>
  <si>
    <t>35892.92</t>
  </si>
  <si>
    <t>-45.28</t>
  </si>
  <si>
    <t>107.34</t>
  </si>
  <si>
    <t>36023.53</t>
  </si>
  <si>
    <t>-107.34</t>
  </si>
  <si>
    <t>5:58 PM</t>
  </si>
  <si>
    <t>49.92</t>
  </si>
  <si>
    <t>36130.87</t>
  </si>
  <si>
    <t>-49.92</t>
  </si>
  <si>
    <t>143.9</t>
  </si>
  <si>
    <t>36036.82</t>
  </si>
  <si>
    <t>6/5/2026</t>
  </si>
  <si>
    <t>5.78</t>
  </si>
  <si>
    <t>35935.27</t>
  </si>
  <si>
    <t>-5.78</t>
  </si>
  <si>
    <t>19.16</t>
  </si>
  <si>
    <t>35916.11</t>
  </si>
  <si>
    <t>-19.16</t>
  </si>
  <si>
    <t>11:24 AM</t>
  </si>
  <si>
    <t>19.61</t>
  </si>
  <si>
    <t>35941.05</t>
  </si>
  <si>
    <t>-19.61</t>
  </si>
  <si>
    <t>35960.66</t>
  </si>
  <si>
    <t>1:22 PM</t>
  </si>
  <si>
    <t>139.25</t>
  </si>
  <si>
    <t>35720.97</t>
  </si>
  <si>
    <t>-139.25</t>
  </si>
  <si>
    <t>1:40 PM</t>
  </si>
  <si>
    <t>55.89</t>
  </si>
  <si>
    <t>35860.22</t>
  </si>
  <si>
    <t>-55.89</t>
  </si>
  <si>
    <t>36022.69</t>
  </si>
  <si>
    <t>7:50 PM</t>
  </si>
  <si>
    <t>47.03</t>
  </si>
  <si>
    <t>35975.66</t>
  </si>
  <si>
    <t>-47.03</t>
  </si>
  <si>
    <t>6/6/2026</t>
  </si>
  <si>
    <t>9:46 AM</t>
  </si>
  <si>
    <t>39.52</t>
  </si>
  <si>
    <t>35650.23</t>
  </si>
  <si>
    <t>-39.52</t>
  </si>
  <si>
    <t>31.22</t>
  </si>
  <si>
    <t>35689.75</t>
  </si>
  <si>
    <t>-31.22</t>
  </si>
  <si>
    <t>6:22 PM</t>
  </si>
  <si>
    <t>12.37</t>
  </si>
  <si>
    <t>35570.85</t>
  </si>
  <si>
    <t>-12.37</t>
  </si>
  <si>
    <t>67.01</t>
  </si>
  <si>
    <t>35583.22</t>
  </si>
  <si>
    <t>-67.01</t>
  </si>
  <si>
    <t>9:50 PM</t>
  </si>
  <si>
    <t>4.93</t>
  </si>
  <si>
    <t>35565.92</t>
  </si>
  <si>
    <t>-4.93</t>
  </si>
  <si>
    <t>6/7/2026</t>
  </si>
  <si>
    <t>26.05</t>
  </si>
  <si>
    <t>35539.87</t>
  </si>
  <si>
    <t>-26.05</t>
  </si>
  <si>
    <t>24.13</t>
  </si>
  <si>
    <t>35450.64</t>
  </si>
  <si>
    <t>-24.13</t>
  </si>
  <si>
    <t>21.58</t>
  </si>
  <si>
    <t>35518.29</t>
  </si>
  <si>
    <t>-21.58</t>
  </si>
  <si>
    <t>9:21 AM</t>
  </si>
  <si>
    <t>5.98</t>
  </si>
  <si>
    <t>35429.66</t>
  </si>
  <si>
    <t>-5.98</t>
  </si>
  <si>
    <t>43.52</t>
  </si>
  <si>
    <t>35474.77</t>
  </si>
  <si>
    <t>-43.52</t>
  </si>
  <si>
    <t>35435.64</t>
  </si>
  <si>
    <t>6/8/2026</t>
  </si>
  <si>
    <t>6:13 AM</t>
  </si>
  <si>
    <t>35311.59</t>
  </si>
  <si>
    <t>8.16</t>
  </si>
  <si>
    <t>35421.5</t>
  </si>
  <si>
    <t>-8.16</t>
  </si>
  <si>
    <t>10:03 AM</t>
  </si>
  <si>
    <t>22.6</t>
  </si>
  <si>
    <t>35398.9</t>
  </si>
  <si>
    <t>-22.6</t>
  </si>
  <si>
    <t>72.31</t>
  </si>
  <si>
    <t>35326.59</t>
  </si>
  <si>
    <t>-72.31</t>
  </si>
  <si>
    <t>6:11 PM</t>
  </si>
  <si>
    <t>5.28</t>
  </si>
  <si>
    <t>35273.64</t>
  </si>
  <si>
    <t>-5.28</t>
  </si>
  <si>
    <t>9:31 PM</t>
  </si>
  <si>
    <t>14.99</t>
  </si>
  <si>
    <t>35278.92</t>
  </si>
  <si>
    <t>-14.99</t>
  </si>
  <si>
    <t>9:54 PM</t>
  </si>
  <si>
    <t>17.68</t>
  </si>
  <si>
    <t>35293.91</t>
  </si>
  <si>
    <t>-17.68</t>
  </si>
  <si>
    <t>6/9/2026</t>
  </si>
  <si>
    <t>7:32 AM</t>
  </si>
  <si>
    <t>41.74</t>
  </si>
  <si>
    <t>35087.28</t>
  </si>
  <si>
    <t>-41.74</t>
  </si>
  <si>
    <t>9:28 AM</t>
  </si>
  <si>
    <t>141.55</t>
  </si>
  <si>
    <t>42560.2</t>
  </si>
  <si>
    <t>-141.55</t>
  </si>
  <si>
    <t>22.01</t>
  </si>
  <si>
    <t>35065.27</t>
  </si>
  <si>
    <t>-22.01</t>
  </si>
  <si>
    <t>11.9</t>
  </si>
  <si>
    <t>35210.3</t>
  </si>
  <si>
    <t>-11.9</t>
  </si>
  <si>
    <t>1:30 PM</t>
  </si>
  <si>
    <t>35129.02</t>
  </si>
  <si>
    <t>1:35 PM</t>
  </si>
  <si>
    <t>21.44</t>
  </si>
  <si>
    <t>35162.57</t>
  </si>
  <si>
    <t>-21.44</t>
  </si>
  <si>
    <t>5:51 PM</t>
  </si>
  <si>
    <t>26.29</t>
  </si>
  <si>
    <t>35184.01</t>
  </si>
  <si>
    <t>-26.29</t>
  </si>
  <si>
    <t>7:34 PM</t>
  </si>
  <si>
    <t>18.55</t>
  </si>
  <si>
    <t>35144.02</t>
  </si>
  <si>
    <t>-18.55</t>
  </si>
  <si>
    <t>8:16 PM</t>
  </si>
  <si>
    <t>51.44</t>
  </si>
  <si>
    <t>35222.2</t>
  </si>
  <si>
    <t>-51.44</t>
  </si>
  <si>
    <t>6/10/2026</t>
  </si>
  <si>
    <t>6:50 AM</t>
  </si>
  <si>
    <t>11.28</t>
  </si>
  <si>
    <t>34758.96</t>
  </si>
  <si>
    <t>-11.28</t>
  </si>
  <si>
    <t>21.73</t>
  </si>
  <si>
    <t>34737.23</t>
  </si>
  <si>
    <t>-21.73</t>
  </si>
  <si>
    <t>174.37</t>
  </si>
  <si>
    <t>34911.6</t>
  </si>
  <si>
    <t>155.91</t>
  </si>
  <si>
    <t>34909.36</t>
  </si>
  <si>
    <t>-155.91</t>
  </si>
  <si>
    <t>41.36</t>
  </si>
  <si>
    <t>34796.59</t>
  </si>
  <si>
    <t>-41.36</t>
  </si>
  <si>
    <t>6:35 PM</t>
  </si>
  <si>
    <t>26.35</t>
  </si>
  <si>
    <t>34770.24</t>
  </si>
  <si>
    <t>-26.35</t>
  </si>
  <si>
    <t>71.41</t>
  </si>
  <si>
    <t>34837.95</t>
  </si>
  <si>
    <t>-71.41</t>
  </si>
  <si>
    <t>6/11/2026</t>
  </si>
  <si>
    <t>57.91</t>
  </si>
  <si>
    <t>42502.29</t>
  </si>
  <si>
    <t>-57.91</t>
  </si>
  <si>
    <t>2:25 PM</t>
  </si>
  <si>
    <t>34871.1</t>
  </si>
  <si>
    <t>112.71</t>
  </si>
  <si>
    <t>34754.65</t>
  </si>
  <si>
    <t>-112.71</t>
  </si>
  <si>
    <t>4:44 PM</t>
  </si>
  <si>
    <t>3.74</t>
  </si>
  <si>
    <t>34867.36</t>
  </si>
  <si>
    <t>-3.74</t>
  </si>
  <si>
    <t>5:56 PM</t>
  </si>
  <si>
    <t>34895.46</t>
  </si>
  <si>
    <t>9.36</t>
  </si>
  <si>
    <t>34886.1</t>
  </si>
  <si>
    <t>-9.36</t>
  </si>
  <si>
    <t>69.75</t>
  </si>
  <si>
    <t>34824.4</t>
  </si>
  <si>
    <t>6/12/2026</t>
  </si>
  <si>
    <t>52.12</t>
  </si>
  <si>
    <t>34686.52</t>
  </si>
  <si>
    <t>83.44</t>
  </si>
  <si>
    <t>34650.45</t>
  </si>
  <si>
    <t>-83.44</t>
  </si>
  <si>
    <t>31.4</t>
  </si>
  <si>
    <t>34750.97</t>
  </si>
  <si>
    <t>-31.4</t>
  </si>
  <si>
    <t>34782.37</t>
  </si>
  <si>
    <t>20.02</t>
  </si>
  <si>
    <t>34804.38</t>
  </si>
  <si>
    <t>-20.02</t>
  </si>
  <si>
    <t>17.08</t>
  </si>
  <si>
    <t>34733.89</t>
  </si>
  <si>
    <t>-17.08</t>
  </si>
  <si>
    <t>10:56 PM</t>
  </si>
  <si>
    <t>16.05</t>
  </si>
  <si>
    <t>34634.4</t>
  </si>
  <si>
    <t>-16.05</t>
  </si>
  <si>
    <t>6/13/2026</t>
  </si>
  <si>
    <t>1:23 PM</t>
  </si>
  <si>
    <t>34569.69</t>
  </si>
  <si>
    <t>164.57</t>
  </si>
  <si>
    <t>34327.97</t>
  </si>
  <si>
    <t>-164.57</t>
  </si>
  <si>
    <t>25.9</t>
  </si>
  <si>
    <t>34528.79</t>
  </si>
  <si>
    <t>-25.9</t>
  </si>
  <si>
    <t>6:03 PM</t>
  </si>
  <si>
    <t>36.25</t>
  </si>
  <si>
    <t>34492.54</t>
  </si>
  <si>
    <t>-36.25</t>
  </si>
  <si>
    <t>8:32 PM</t>
  </si>
  <si>
    <t>60.77</t>
  </si>
  <si>
    <t>34625.75</t>
  </si>
  <si>
    <t>-60.77</t>
  </si>
  <si>
    <t>9:37 PM</t>
  </si>
  <si>
    <t>34554.69</t>
  </si>
  <si>
    <t>10:01 PM</t>
  </si>
  <si>
    <t>34314.85</t>
  </si>
  <si>
    <t>6/14/2026</t>
  </si>
  <si>
    <t>34299.85</t>
  </si>
  <si>
    <t>3:19 PM</t>
  </si>
  <si>
    <t>154.3</t>
  </si>
  <si>
    <t>34360.44</t>
  </si>
  <si>
    <t>46.42</t>
  </si>
  <si>
    <t>34253.43</t>
  </si>
  <si>
    <t>-46.42</t>
  </si>
  <si>
    <t>6:37 PM</t>
  </si>
  <si>
    <t>22.36</t>
  </si>
  <si>
    <t>34206.14</t>
  </si>
  <si>
    <t>-22.36</t>
  </si>
  <si>
    <t>9.93</t>
  </si>
  <si>
    <t>34243.5</t>
  </si>
  <si>
    <t>-9.93</t>
  </si>
  <si>
    <t>34228.5</t>
  </si>
  <si>
    <t>6/15/2026</t>
  </si>
  <si>
    <t>21.48</t>
  </si>
  <si>
    <t>34266.38</t>
  </si>
  <si>
    <t>-21.48</t>
  </si>
  <si>
    <t>3115.23</t>
  </si>
  <si>
    <t>35401.43</t>
  </si>
  <si>
    <t>10:46 AM</t>
  </si>
  <si>
    <t>15.55</t>
  </si>
  <si>
    <t>34250.83</t>
  </si>
  <si>
    <t>-15.55</t>
  </si>
  <si>
    <t>133.29</t>
  </si>
  <si>
    <t>34102.54</t>
  </si>
  <si>
    <t>-133.29</t>
  </si>
  <si>
    <t>2:58 PM</t>
  </si>
  <si>
    <t>34235.83</t>
  </si>
  <si>
    <t>13.19</t>
  </si>
  <si>
    <t>34287.86</t>
  </si>
  <si>
    <t>-13.19</t>
  </si>
  <si>
    <t>59.39</t>
  </si>
  <si>
    <t>34301.05</t>
  </si>
  <si>
    <t>-59.39</t>
  </si>
  <si>
    <t>6/16/2026</t>
  </si>
  <si>
    <t>9:30 AM</t>
  </si>
  <si>
    <t>10.49</t>
  </si>
  <si>
    <t>33978.88</t>
  </si>
  <si>
    <t>-10.49</t>
  </si>
  <si>
    <t>12.72</t>
  </si>
  <si>
    <t>34055.44</t>
  </si>
  <si>
    <t>-12.72</t>
  </si>
  <si>
    <t>11:43 AM</t>
  </si>
  <si>
    <t>14.15</t>
  </si>
  <si>
    <t>34041.29</t>
  </si>
  <si>
    <t>-14.15</t>
  </si>
  <si>
    <t>34.38</t>
  </si>
  <si>
    <t>34068.16</t>
  </si>
  <si>
    <t>-34.38</t>
  </si>
  <si>
    <t>12:32 PM</t>
  </si>
  <si>
    <t>45.61</t>
  </si>
  <si>
    <t>33933.27</t>
  </si>
  <si>
    <t>-45.61</t>
  </si>
  <si>
    <t>42.03</t>
  </si>
  <si>
    <t>33999.26</t>
  </si>
  <si>
    <t>-42.03</t>
  </si>
  <si>
    <t>9.89</t>
  </si>
  <si>
    <t>33989.37</t>
  </si>
  <si>
    <t>-9.89</t>
  </si>
  <si>
    <t>13.07</t>
  </si>
  <si>
    <t>33920.2</t>
  </si>
  <si>
    <t>-13.07</t>
  </si>
  <si>
    <t>6/17/2026</t>
  </si>
  <si>
    <t>136.91</t>
  </si>
  <si>
    <t>33644.76</t>
  </si>
  <si>
    <t>-136.91</t>
  </si>
  <si>
    <t>20.54</t>
  </si>
  <si>
    <t>33831.22</t>
  </si>
  <si>
    <t>-20.54</t>
  </si>
  <si>
    <t>27.58</t>
  </si>
  <si>
    <t>33796.71</t>
  </si>
  <si>
    <t>-27.58</t>
  </si>
  <si>
    <t>11:36 AM</t>
  </si>
  <si>
    <t>6.93</t>
  </si>
  <si>
    <t>33824.29</t>
  </si>
  <si>
    <t>-6.93</t>
  </si>
  <si>
    <t>15.04</t>
  </si>
  <si>
    <t>33781.67</t>
  </si>
  <si>
    <t>-15.04</t>
  </si>
  <si>
    <t>8:09 PM</t>
  </si>
  <si>
    <t>29.28</t>
  </si>
  <si>
    <t>33890.92</t>
  </si>
  <si>
    <t>-29.28</t>
  </si>
  <si>
    <t>9:21 PM</t>
  </si>
  <si>
    <t>39.16</t>
  </si>
  <si>
    <t>33851.76</t>
  </si>
  <si>
    <t>-39.16</t>
  </si>
  <si>
    <t>6/18/2026</t>
  </si>
  <si>
    <t>6.34</t>
  </si>
  <si>
    <t>33510.24</t>
  </si>
  <si>
    <t>-6.34</t>
  </si>
  <si>
    <t>24.23</t>
  </si>
  <si>
    <t>33516.58</t>
  </si>
  <si>
    <t>-24.23</t>
  </si>
  <si>
    <t>103.95</t>
  </si>
  <si>
    <t>33540.81</t>
  </si>
  <si>
    <t>-103.95</t>
  </si>
  <si>
    <t>6:01 PM</t>
  </si>
  <si>
    <t>41.35</t>
  </si>
  <si>
    <t>33432.18</t>
  </si>
  <si>
    <t>-41.35</t>
  </si>
  <si>
    <t>21.71</t>
  </si>
  <si>
    <t>33473.53</t>
  </si>
  <si>
    <t>-21.71</t>
  </si>
  <si>
    <t>23.51</t>
  </si>
  <si>
    <t>33408.67</t>
  </si>
  <si>
    <t>-23.51</t>
  </si>
  <si>
    <t>10:21 PM</t>
  </si>
  <si>
    <t>33495.24</t>
  </si>
  <si>
    <t>6/19/2026</t>
  </si>
  <si>
    <t>16.22</t>
  </si>
  <si>
    <t>33249.89</t>
  </si>
  <si>
    <t>-16.22</t>
  </si>
  <si>
    <t>93.43</t>
  </si>
  <si>
    <t>33295.59</t>
  </si>
  <si>
    <t>-93.43</t>
  </si>
  <si>
    <t>33271.46</t>
  </si>
  <si>
    <t>2:30 PM</t>
  </si>
  <si>
    <t>5.35</t>
  </si>
  <si>
    <t>33266.11</t>
  </si>
  <si>
    <t>-5.35</t>
  </si>
  <si>
    <t>33389.02</t>
  </si>
  <si>
    <t>6/20/2026</t>
  </si>
  <si>
    <t>33029.91</t>
  </si>
  <si>
    <t>32860.79</t>
  </si>
  <si>
    <t>32875.79</t>
  </si>
  <si>
    <t>9:31 AM</t>
  </si>
  <si>
    <t>36.14</t>
  </si>
  <si>
    <t>33189</t>
  </si>
  <si>
    <t>-36.14</t>
  </si>
  <si>
    <t>33225.14</t>
  </si>
  <si>
    <t>1:29 PM</t>
  </si>
  <si>
    <t>60.94</t>
  </si>
  <si>
    <t>32799.85</t>
  </si>
  <si>
    <t>-60.94</t>
  </si>
  <si>
    <t>134.5</t>
  </si>
  <si>
    <t>32895.41</t>
  </si>
  <si>
    <t>-134.5</t>
  </si>
  <si>
    <t>150.48</t>
  </si>
  <si>
    <t>33038.52</t>
  </si>
  <si>
    <t>-150.48</t>
  </si>
  <si>
    <t>6/21/2026</t>
  </si>
  <si>
    <t>26.75</t>
  </si>
  <si>
    <t>32660.76</t>
  </si>
  <si>
    <t>-26.75</t>
  </si>
  <si>
    <t>7:54 AM</t>
  </si>
  <si>
    <t>62.66</t>
  </si>
  <si>
    <t>32737.19</t>
  </si>
  <si>
    <t>-62.66</t>
  </si>
  <si>
    <t>5000</t>
  </si>
  <si>
    <t>77813.61</t>
  </si>
  <si>
    <t>32626.23</t>
  </si>
  <si>
    <t>42412.3</t>
  </si>
  <si>
    <t>2:56 PM</t>
  </si>
  <si>
    <t>32611.23</t>
  </si>
  <si>
    <t>4:27 PM</t>
  </si>
  <si>
    <t>49.68</t>
  </si>
  <si>
    <t>32687.51</t>
  </si>
  <si>
    <t>-49.68</t>
  </si>
  <si>
    <t>6:29 PM</t>
  </si>
  <si>
    <t>38.21</t>
  </si>
  <si>
    <t>32573.02</t>
  </si>
  <si>
    <t>-38.21</t>
  </si>
  <si>
    <t>6/22/2026</t>
  </si>
  <si>
    <t>6:55 AM</t>
  </si>
  <si>
    <t>17.8</t>
  </si>
  <si>
    <t>32382.23</t>
  </si>
  <si>
    <t>-17.8</t>
  </si>
  <si>
    <t>11.37</t>
  </si>
  <si>
    <t>32343.54</t>
  </si>
  <si>
    <t>-11.37</t>
  </si>
  <si>
    <t>142.66</t>
  </si>
  <si>
    <t>32415.03</t>
  </si>
  <si>
    <t>-142.66</t>
  </si>
  <si>
    <t>32557.69</t>
  </si>
  <si>
    <t>4:33 PM</t>
  </si>
  <si>
    <t>186.07</t>
  </si>
  <si>
    <t>32148.83</t>
  </si>
  <si>
    <t>-186.07</t>
  </si>
  <si>
    <t>8:11 PM</t>
  </si>
  <si>
    <t>32400.03</t>
  </si>
  <si>
    <t>27.32</t>
  </si>
  <si>
    <t>32354.91</t>
  </si>
  <si>
    <t>-27.32</t>
  </si>
  <si>
    <t>10:49 PM</t>
  </si>
  <si>
    <t>8.64</t>
  </si>
  <si>
    <t>32334.9</t>
  </si>
  <si>
    <t>-8.64</t>
  </si>
  <si>
    <t>6/23/2026</t>
  </si>
  <si>
    <t>23.38</t>
  </si>
  <si>
    <t>32027.67</t>
  </si>
  <si>
    <t>-23.38</t>
  </si>
  <si>
    <t>58.45</t>
  </si>
  <si>
    <t>31930.01</t>
  </si>
  <si>
    <t>-58.45</t>
  </si>
  <si>
    <t>9:02 AM</t>
  </si>
  <si>
    <t>7500</t>
  </si>
  <si>
    <t>85313.61</t>
  </si>
  <si>
    <t>31850.41</t>
  </si>
  <si>
    <t>6:09 PM</t>
  </si>
  <si>
    <t>97.78</t>
  </si>
  <si>
    <t>32051.05</t>
  </si>
  <si>
    <t>-97.78</t>
  </si>
  <si>
    <t>31910.36</t>
  </si>
  <si>
    <t>44.95</t>
  </si>
  <si>
    <t>31865.41</t>
  </si>
  <si>
    <t>-44.95</t>
  </si>
  <si>
    <t>31988.46</t>
  </si>
  <si>
    <t>28.22</t>
  </si>
  <si>
    <t>31999.45</t>
  </si>
  <si>
    <t>-28.22</t>
  </si>
  <si>
    <t>6/24/2026</t>
  </si>
  <si>
    <t>6:52 AM</t>
  </si>
  <si>
    <t>88.76</t>
  </si>
  <si>
    <t>31761.65</t>
  </si>
  <si>
    <t>-88.76</t>
  </si>
  <si>
    <t>7:57 AM</t>
  </si>
  <si>
    <t>44.51</t>
  </si>
  <si>
    <t>31430.37</t>
  </si>
  <si>
    <t>-44.51</t>
  </si>
  <si>
    <t>16.46</t>
  </si>
  <si>
    <t>31745.19</t>
  </si>
  <si>
    <t>-16.46</t>
  </si>
  <si>
    <t>1:00 PM</t>
  </si>
  <si>
    <t>26.87</t>
  </si>
  <si>
    <t>31526.03</t>
  </si>
  <si>
    <t>-26.87</t>
  </si>
  <si>
    <t>51.15</t>
  </si>
  <si>
    <t>31474.88</t>
  </si>
  <si>
    <t>-51.15</t>
  </si>
  <si>
    <t>162.29</t>
  </si>
  <si>
    <t>31567.9</t>
  </si>
  <si>
    <t>-162.29</t>
  </si>
  <si>
    <t>5:45 PM</t>
  </si>
  <si>
    <t>31552.9</t>
  </si>
  <si>
    <t>5:52 PM</t>
  </si>
  <si>
    <t>31730.19</t>
  </si>
  <si>
    <t>6/25/2026</t>
  </si>
  <si>
    <t>7:59 AM</t>
  </si>
  <si>
    <t>59.86</t>
  </si>
  <si>
    <t>31328.7</t>
  </si>
  <si>
    <t>-59.86</t>
  </si>
  <si>
    <t>10:06 AM</t>
  </si>
  <si>
    <t>37.22</t>
  </si>
  <si>
    <t>31115.59</t>
  </si>
  <si>
    <t>-37.22</t>
  </si>
  <si>
    <t>10:28 AM</t>
  </si>
  <si>
    <t>6000</t>
  </si>
  <si>
    <t>91313.61</t>
  </si>
  <si>
    <t>11:44 AM</t>
  </si>
  <si>
    <t>31152.81</t>
  </si>
  <si>
    <t>12:12 PM</t>
  </si>
  <si>
    <t>34.71</t>
  </si>
  <si>
    <t>31395.66</t>
  </si>
  <si>
    <t>-34.71</t>
  </si>
  <si>
    <t>7.1</t>
  </si>
  <si>
    <t>31388.56</t>
  </si>
  <si>
    <t>-7.1</t>
  </si>
  <si>
    <t>88.26</t>
  </si>
  <si>
    <t>31167.81</t>
  </si>
  <si>
    <t>-88.26</t>
  </si>
  <si>
    <t>8:29 PM</t>
  </si>
  <si>
    <t>60.61</t>
  </si>
  <si>
    <t>31268.09</t>
  </si>
  <si>
    <t>-60.61</t>
  </si>
  <si>
    <t>9:00 PM</t>
  </si>
  <si>
    <t>12.02</t>
  </si>
  <si>
    <t>31256.07</t>
  </si>
  <si>
    <t>-12.02</t>
  </si>
  <si>
    <t>6/26/2026</t>
  </si>
  <si>
    <t>13.61</t>
  </si>
  <si>
    <t>30981.62</t>
  </si>
  <si>
    <t>-13.61</t>
  </si>
  <si>
    <t>30995.23</t>
  </si>
  <si>
    <t>4:18 PM</t>
  </si>
  <si>
    <t>60.7</t>
  </si>
  <si>
    <t>31031.67</t>
  </si>
  <si>
    <t>-60.7</t>
  </si>
  <si>
    <t>28.16</t>
  </si>
  <si>
    <t>30953.46</t>
  </si>
  <si>
    <t>-28.16</t>
  </si>
  <si>
    <t>5:11 PM</t>
  </si>
  <si>
    <t>16200</t>
  </si>
  <si>
    <t>75113.61</t>
  </si>
  <si>
    <t>-16200</t>
  </si>
  <si>
    <t>23.22</t>
  </si>
  <si>
    <t>31092.37</t>
  </si>
  <si>
    <t>-23.22</t>
  </si>
  <si>
    <t>7:43 PM</t>
  </si>
  <si>
    <t>37.24</t>
  </si>
  <si>
    <t>30916.22</t>
  </si>
  <si>
    <t>-37.24</t>
  </si>
  <si>
    <t>13.53</t>
  </si>
  <si>
    <t>31018.14</t>
  </si>
  <si>
    <t>-13.53</t>
  </si>
  <si>
    <t>6/27/2026</t>
  </si>
  <si>
    <t>84.39</t>
  </si>
  <si>
    <t>30831.83</t>
  </si>
  <si>
    <t>-84.39</t>
  </si>
  <si>
    <t>13.7</t>
  </si>
  <si>
    <t>30528.51</t>
  </si>
  <si>
    <t>-13.7</t>
  </si>
  <si>
    <t>12:17 PM</t>
  </si>
  <si>
    <t>103.12</t>
  </si>
  <si>
    <t>30728.71</t>
  </si>
  <si>
    <t>-103.12</t>
  </si>
  <si>
    <t>2:09 PM</t>
  </si>
  <si>
    <t>47.34</t>
  </si>
  <si>
    <t>30681.37</t>
  </si>
  <si>
    <t>-47.34</t>
  </si>
  <si>
    <t>105.71</t>
  </si>
  <si>
    <t>30575.66</t>
  </si>
  <si>
    <t>-105.71</t>
  </si>
  <si>
    <t>30517.6</t>
  </si>
  <si>
    <t>6:15 PM</t>
  </si>
  <si>
    <t>22.97</t>
  </si>
  <si>
    <t>30542.21</t>
  </si>
  <si>
    <t>-22.97</t>
  </si>
  <si>
    <t>10.48</t>
  </si>
  <si>
    <t>30565.18</t>
  </si>
  <si>
    <t>-10.48</t>
  </si>
  <si>
    <t>8:53 PM</t>
  </si>
  <si>
    <t>159.02</t>
  </si>
  <si>
    <t>30358.58</t>
  </si>
  <si>
    <t>-159.02</t>
  </si>
  <si>
    <t>6/28/2026</t>
  </si>
  <si>
    <t>64.36</t>
  </si>
  <si>
    <t>30273.14</t>
  </si>
  <si>
    <t>-64.36</t>
  </si>
  <si>
    <t>12:24 PM</t>
  </si>
  <si>
    <t>3132.52</t>
  </si>
  <si>
    <t>38533.95</t>
  </si>
  <si>
    <t>12:49 PM</t>
  </si>
  <si>
    <t>21.08</t>
  </si>
  <si>
    <t>30337.5</t>
  </si>
  <si>
    <t>-21.08</t>
  </si>
  <si>
    <t>72.42</t>
  </si>
  <si>
    <t>30154.22</t>
  </si>
  <si>
    <t>-72.42</t>
  </si>
  <si>
    <t>9.6</t>
  </si>
  <si>
    <t>30140.54</t>
  </si>
  <si>
    <t>-9.6</t>
  </si>
  <si>
    <t>10.87</t>
  </si>
  <si>
    <t>30129.67</t>
  </si>
  <si>
    <t>-10.87</t>
  </si>
  <si>
    <t>8:45 PM</t>
  </si>
  <si>
    <t>4.08</t>
  </si>
  <si>
    <t>30150.14</t>
  </si>
  <si>
    <t>-4.08</t>
  </si>
  <si>
    <t>46.5</t>
  </si>
  <si>
    <t>30226.64</t>
  </si>
  <si>
    <t>-46.5</t>
  </si>
  <si>
    <t>6/29/2026</t>
  </si>
  <si>
    <t>8:22 AM</t>
  </si>
  <si>
    <t>18.06</t>
  </si>
  <si>
    <t>30100.59</t>
  </si>
  <si>
    <t>-18.06</t>
  </si>
  <si>
    <t>130.07</t>
  </si>
  <si>
    <t>29970.52</t>
  </si>
  <si>
    <t>-130.07</t>
  </si>
  <si>
    <t>182.68</t>
  </si>
  <si>
    <t>29574.12</t>
  </si>
  <si>
    <t>-182.68</t>
  </si>
  <si>
    <t>32.57</t>
  </si>
  <si>
    <t>29756.8</t>
  </si>
  <si>
    <t>-32.57</t>
  </si>
  <si>
    <t>11.02</t>
  </si>
  <si>
    <t>30118.65</t>
  </si>
  <si>
    <t>-11.02</t>
  </si>
  <si>
    <t>181.15</t>
  </si>
  <si>
    <t>29789.37</t>
  </si>
  <si>
    <t>-181.15</t>
  </si>
  <si>
    <t>6/30/2026</t>
  </si>
  <si>
    <t>20.86</t>
  </si>
  <si>
    <t>29553.26</t>
  </si>
  <si>
    <t>-20.86</t>
  </si>
  <si>
    <t>8:13 AM</t>
  </si>
  <si>
    <t>29383.35</t>
  </si>
  <si>
    <t>69.41</t>
  </si>
  <si>
    <t>29393.46</t>
  </si>
  <si>
    <t>-69.41</t>
  </si>
  <si>
    <t>12:20 PM</t>
  </si>
  <si>
    <t>55.65</t>
  </si>
  <si>
    <t>29462.87</t>
  </si>
  <si>
    <t>-55.65</t>
  </si>
  <si>
    <t>107.72</t>
  </si>
  <si>
    <t>29109.67</t>
  </si>
  <si>
    <t>-107.72</t>
  </si>
  <si>
    <t>165.96</t>
  </si>
  <si>
    <t>29217.39</t>
  </si>
  <si>
    <t>-165.96</t>
  </si>
  <si>
    <t>29518.52</t>
  </si>
  <si>
    <t>7/1/2026</t>
  </si>
  <si>
    <t>11.23</t>
  </si>
  <si>
    <t>28823.25</t>
  </si>
  <si>
    <t>-11.23</t>
  </si>
  <si>
    <t>107.01</t>
  </si>
  <si>
    <t>28667.5</t>
  </si>
  <si>
    <t>-107.01</t>
  </si>
  <si>
    <t>8:48 AM</t>
  </si>
  <si>
    <t>48.74</t>
  </si>
  <si>
    <t>28774.51</t>
  </si>
  <si>
    <t>-48.74</t>
  </si>
  <si>
    <t>2:35 PM</t>
  </si>
  <si>
    <t>24.71</t>
  </si>
  <si>
    <t>29008.64</t>
  </si>
  <si>
    <t>-24.71</t>
  </si>
  <si>
    <t>4:02 PM</t>
  </si>
  <si>
    <t>76.32</t>
  </si>
  <si>
    <t>29033.35</t>
  </si>
  <si>
    <t>-76.32</t>
  </si>
  <si>
    <t>174.16</t>
  </si>
  <si>
    <t>28834.48</t>
  </si>
  <si>
    <t>-174.16</t>
  </si>
  <si>
    <t>7/2/2026</t>
  </si>
  <si>
    <t>12.12</t>
  </si>
  <si>
    <t>28509.48</t>
  </si>
  <si>
    <t>-12.12</t>
  </si>
  <si>
    <t>13.21</t>
  </si>
  <si>
    <t>28496.27</t>
  </si>
  <si>
    <t>-13.21</t>
  </si>
  <si>
    <t>51.09</t>
  </si>
  <si>
    <t>28528.35</t>
  </si>
  <si>
    <t>78.2</t>
  </si>
  <si>
    <t>28553.22</t>
  </si>
  <si>
    <t>-78.2</t>
  </si>
  <si>
    <t>40562.3</t>
  </si>
  <si>
    <t>18.14</t>
  </si>
  <si>
    <t>28535.08</t>
  </si>
  <si>
    <t>-18.14</t>
  </si>
  <si>
    <t>5:00 PM</t>
  </si>
  <si>
    <t>13.48</t>
  </si>
  <si>
    <t>28521.6</t>
  </si>
  <si>
    <t>-13.48</t>
  </si>
  <si>
    <t>8:24 PM</t>
  </si>
  <si>
    <t>36.08</t>
  </si>
  <si>
    <t>28631.42</t>
  </si>
  <si>
    <t>-36.08</t>
  </si>
  <si>
    <t>10:09 PM</t>
  </si>
  <si>
    <t>19.01</t>
  </si>
  <si>
    <t>28477.26</t>
  </si>
  <si>
    <t>-19.01</t>
  </si>
  <si>
    <t>7/3/2026</t>
  </si>
  <si>
    <t>8:18 AM</t>
  </si>
  <si>
    <t>16.92</t>
  </si>
  <si>
    <t>28511.43</t>
  </si>
  <si>
    <t>-16.92</t>
  </si>
  <si>
    <t>8:57 AM</t>
  </si>
  <si>
    <t>29.81</t>
  </si>
  <si>
    <t>28432.09</t>
  </si>
  <si>
    <t>-29.81</t>
  </si>
  <si>
    <t>12:46 PM</t>
  </si>
  <si>
    <t>28476.9</t>
  </si>
  <si>
    <t>28228.13</t>
  </si>
  <si>
    <t>110.7</t>
  </si>
  <si>
    <t>28288.13</t>
  </si>
  <si>
    <t>-110.7</t>
  </si>
  <si>
    <t>33.26</t>
  </si>
  <si>
    <t>28398.83</t>
  </si>
  <si>
    <t>-33.26</t>
  </si>
  <si>
    <t>5:08 PM</t>
  </si>
  <si>
    <t>28461.9</t>
  </si>
  <si>
    <t>7/4/2026</t>
  </si>
  <si>
    <t>125.9</t>
  </si>
  <si>
    <t>27899.05</t>
  </si>
  <si>
    <t>-125.9</t>
  </si>
  <si>
    <t>58.86</t>
  </si>
  <si>
    <t>28024.95</t>
  </si>
  <si>
    <t>-58.86</t>
  </si>
  <si>
    <t>9:11 AM</t>
  </si>
  <si>
    <t>10.82</t>
  </si>
  <si>
    <t>28147.9</t>
  </si>
  <si>
    <t>-10.82</t>
  </si>
  <si>
    <t>10:43 AM</t>
  </si>
  <si>
    <t>15.76</t>
  </si>
  <si>
    <t>28212.37</t>
  </si>
  <si>
    <t>-15.76</t>
  </si>
  <si>
    <t>10:57 AM</t>
  </si>
  <si>
    <t>64.09</t>
  </si>
  <si>
    <t>28083.81</t>
  </si>
  <si>
    <t>-64.09</t>
  </si>
  <si>
    <t>27881.44</t>
  </si>
  <si>
    <t>143.54</t>
  </si>
  <si>
    <t>27723.99</t>
  </si>
  <si>
    <t>-143.54</t>
  </si>
  <si>
    <t>8:28 PM</t>
  </si>
  <si>
    <t>53.65</t>
  </si>
  <si>
    <t>28158.72</t>
  </si>
  <si>
    <t>-53.65</t>
  </si>
  <si>
    <t>13.91</t>
  </si>
  <si>
    <t>27867.53</t>
  </si>
  <si>
    <t>-13.91</t>
  </si>
  <si>
    <t>7/5/2026</t>
  </si>
  <si>
    <t>9.91</t>
  </si>
  <si>
    <t>27714.08</t>
  </si>
  <si>
    <t>-9.91</t>
  </si>
  <si>
    <t>27630.14</t>
  </si>
  <si>
    <t>38.29</t>
  </si>
  <si>
    <t>27675.79</t>
  </si>
  <si>
    <t>-38.29</t>
  </si>
  <si>
    <t>10:47 AM</t>
  </si>
  <si>
    <t>30.65</t>
  </si>
  <si>
    <t>27645.14</t>
  </si>
  <si>
    <t>-30.65</t>
  </si>
  <si>
    <t>2:23 PM</t>
  </si>
  <si>
    <t>27615.14</t>
  </si>
  <si>
    <t>111.27</t>
  </si>
  <si>
    <t>40451.03</t>
  </si>
  <si>
    <t>-111.27</t>
  </si>
  <si>
    <t>146.63</t>
  </si>
  <si>
    <t>27468.51</t>
  </si>
  <si>
    <t>-146.63</t>
  </si>
  <si>
    <t>7/6/2026</t>
  </si>
  <si>
    <t>6:32 AM</t>
  </si>
  <si>
    <t>146.83</t>
  </si>
  <si>
    <t>27116.13</t>
  </si>
  <si>
    <t>-146.83</t>
  </si>
  <si>
    <t>27284.44</t>
  </si>
  <si>
    <t>8:39 AM</t>
  </si>
  <si>
    <t>9480</t>
  </si>
  <si>
    <t>47563.61</t>
  </si>
  <si>
    <t>12.1</t>
  </si>
  <si>
    <t>27294.38</t>
  </si>
  <si>
    <t>-12.1</t>
  </si>
  <si>
    <t>27262.96</t>
  </si>
  <si>
    <t>19.5</t>
  </si>
  <si>
    <t>27306.48</t>
  </si>
  <si>
    <t>-19.5</t>
  </si>
  <si>
    <t>142.53</t>
  </si>
  <si>
    <t>27325.98</t>
  </si>
  <si>
    <t>-142.53</t>
  </si>
  <si>
    <t>7/7/2026</t>
  </si>
  <si>
    <t>3.43</t>
  </si>
  <si>
    <t>27039.28</t>
  </si>
  <si>
    <t>-3.43</t>
  </si>
  <si>
    <t>8200</t>
  </si>
  <si>
    <t>96963.61</t>
  </si>
  <si>
    <t>-8200</t>
  </si>
  <si>
    <t>18.41</t>
  </si>
  <si>
    <t>27057.71</t>
  </si>
  <si>
    <t>-18.41</t>
  </si>
  <si>
    <t>27076.12</t>
  </si>
  <si>
    <t>11:33 AM</t>
  </si>
  <si>
    <t>26945.89</t>
  </si>
  <si>
    <t>11:41 AM</t>
  </si>
  <si>
    <t>27042.71</t>
  </si>
  <si>
    <t>25.72</t>
  </si>
  <si>
    <t>27090.41</t>
  </si>
  <si>
    <t>-25.72</t>
  </si>
  <si>
    <t>13.39</t>
  </si>
  <si>
    <t>27025.89</t>
  </si>
  <si>
    <t>-13.39</t>
  </si>
  <si>
    <t>7/8/2026</t>
  </si>
  <si>
    <t>11:14 AM</t>
  </si>
  <si>
    <t>26913.63</t>
  </si>
  <si>
    <t>11:39 AM</t>
  </si>
  <si>
    <t>26899.21</t>
  </si>
  <si>
    <t>17.26</t>
  </si>
  <si>
    <t>26928.63</t>
  </si>
  <si>
    <t>-17.26</t>
  </si>
  <si>
    <t>4:47 PM</t>
  </si>
  <si>
    <t>9725</t>
  </si>
  <si>
    <t>57288.61</t>
  </si>
  <si>
    <t>4:59 PM</t>
  </si>
  <si>
    <t>13.97</t>
  </si>
  <si>
    <t>26885.24</t>
  </si>
  <si>
    <t>-13.97</t>
  </si>
  <si>
    <t>33.49</t>
  </si>
  <si>
    <t>26851.75</t>
  </si>
  <si>
    <t>-33.49</t>
  </si>
  <si>
    <t>100.7</t>
  </si>
  <si>
    <t>26952.45</t>
  </si>
  <si>
    <t>7/9/2026</t>
  </si>
  <si>
    <t>44.08</t>
  </si>
  <si>
    <t>26875.82</t>
  </si>
  <si>
    <t>-44.08</t>
  </si>
  <si>
    <t>9150</t>
  </si>
  <si>
    <t>66438.61</t>
  </si>
  <si>
    <t>7:56 AM</t>
  </si>
  <si>
    <t>26937.45</t>
  </si>
  <si>
    <t>9:05 AM</t>
  </si>
  <si>
    <t>26919.9</t>
  </si>
  <si>
    <t>9.66</t>
  </si>
  <si>
    <t>26836.81</t>
  </si>
  <si>
    <t>-9.66</t>
  </si>
  <si>
    <t>3:38 PM</t>
  </si>
  <si>
    <t>157.45</t>
  </si>
  <si>
    <t>26679.36</t>
  </si>
  <si>
    <t>-157.45</t>
  </si>
  <si>
    <t>12.92</t>
  </si>
  <si>
    <t>26862.9</t>
  </si>
  <si>
    <t>-12.92</t>
  </si>
  <si>
    <t>16.43</t>
  </si>
  <si>
    <t>26846.47</t>
  </si>
  <si>
    <t>-16.43</t>
  </si>
  <si>
    <t>7/10/2026</t>
  </si>
  <si>
    <t>12.97</t>
  </si>
  <si>
    <t>26666.39</t>
  </si>
  <si>
    <t>-12.97</t>
  </si>
  <si>
    <t>29.26</t>
  </si>
  <si>
    <t>26589.14</t>
  </si>
  <si>
    <t>-29.26</t>
  </si>
  <si>
    <t>42.09</t>
  </si>
  <si>
    <t>26489.69</t>
  </si>
  <si>
    <t>-42.09</t>
  </si>
  <si>
    <t>7600</t>
  </si>
  <si>
    <t>89363.61</t>
  </si>
  <si>
    <t>-7600</t>
  </si>
  <si>
    <t>2:19 PM</t>
  </si>
  <si>
    <t>26531.78</t>
  </si>
  <si>
    <t>47.99</t>
  </si>
  <si>
    <t>26618.4</t>
  </si>
  <si>
    <t>-47.99</t>
  </si>
  <si>
    <t>17.89</t>
  </si>
  <si>
    <t>26563.59</t>
  </si>
  <si>
    <t>-17.89</t>
  </si>
  <si>
    <t>7:36 PM</t>
  </si>
  <si>
    <t>7.66</t>
  </si>
  <si>
    <t>26581.48</t>
  </si>
  <si>
    <t>-7.66</t>
  </si>
  <si>
    <t>9:11 PM</t>
  </si>
  <si>
    <t>13.49</t>
  </si>
  <si>
    <t>26550.1</t>
  </si>
  <si>
    <t>-13.49</t>
  </si>
  <si>
    <t>7/11/2026</t>
  </si>
  <si>
    <t>7:10 AM</t>
  </si>
  <si>
    <t>19.21</t>
  </si>
  <si>
    <t>26437.76</t>
  </si>
  <si>
    <t>-19.21</t>
  </si>
  <si>
    <t>7:49 AM</t>
  </si>
  <si>
    <t>26246.19</t>
  </si>
  <si>
    <t>120.15</t>
  </si>
  <si>
    <t>26317.61</t>
  </si>
  <si>
    <t>-120.15</t>
  </si>
  <si>
    <t>4.67</t>
  </si>
  <si>
    <t>26312.94</t>
  </si>
  <si>
    <t>-4.67</t>
  </si>
  <si>
    <t>9890</t>
  </si>
  <si>
    <t>76328.61</t>
  </si>
  <si>
    <t>32.72</t>
  </si>
  <si>
    <t>26456.97</t>
  </si>
  <si>
    <t>-32.72</t>
  </si>
  <si>
    <t>6:59 PM</t>
  </si>
  <si>
    <t>52.45</t>
  </si>
  <si>
    <t>26260.49</t>
  </si>
  <si>
    <t>-52.45</t>
  </si>
  <si>
    <t>10:18 PM</t>
  </si>
  <si>
    <t>52.27</t>
  </si>
  <si>
    <t>26193.92</t>
  </si>
  <si>
    <t>-52.27</t>
  </si>
  <si>
    <t>120</t>
  </si>
  <si>
    <t>26073.92</t>
  </si>
  <si>
    <t>-120</t>
  </si>
  <si>
    <t>7/12/2026</t>
  </si>
  <si>
    <t>8:17 AM</t>
  </si>
  <si>
    <t>141.91</t>
  </si>
  <si>
    <t>25897.05</t>
  </si>
  <si>
    <t>-141.91</t>
  </si>
  <si>
    <t>104.16</t>
  </si>
  <si>
    <t>25783.18</t>
  </si>
  <si>
    <t>-104.16</t>
  </si>
  <si>
    <t>85.14</t>
  </si>
  <si>
    <t>25676.6</t>
  </si>
  <si>
    <t>-85.14</t>
  </si>
  <si>
    <t>7.17</t>
  </si>
  <si>
    <t>25761.74</t>
  </si>
  <si>
    <t>-7.17</t>
  </si>
  <si>
    <t>5:15 PM</t>
  </si>
  <si>
    <t>34.96</t>
  </si>
  <si>
    <t>26038.96</t>
  </si>
  <si>
    <t>-34.96</t>
  </si>
  <si>
    <t>5:22 PM</t>
  </si>
  <si>
    <t>14.27</t>
  </si>
  <si>
    <t>25768.91</t>
  </si>
  <si>
    <t>-14.27</t>
  </si>
  <si>
    <t>6:25 PM</t>
  </si>
  <si>
    <t>9.71</t>
  </si>
  <si>
    <t>25887.34</t>
  </si>
  <si>
    <t>-9.71</t>
  </si>
  <si>
    <t>7/13/2026</t>
  </si>
  <si>
    <t>6:29 AM</t>
  </si>
  <si>
    <t>85.03</t>
  </si>
  <si>
    <t>40366</t>
  </si>
  <si>
    <t>-85.03</t>
  </si>
  <si>
    <t>7.48</t>
  </si>
  <si>
    <t>25213.57</t>
  </si>
  <si>
    <t>-7.48</t>
  </si>
  <si>
    <t>9360</t>
  </si>
  <si>
    <t>85688.61</t>
  </si>
  <si>
    <t>132.49</t>
  </si>
  <si>
    <t>25242.2</t>
  </si>
  <si>
    <t>-132.49</t>
  </si>
  <si>
    <t>2:04 PM</t>
  </si>
  <si>
    <t>79.21</t>
  </si>
  <si>
    <t>25374.69</t>
  </si>
  <si>
    <t>-79.21</t>
  </si>
  <si>
    <t>62.15</t>
  </si>
  <si>
    <t>25614.45</t>
  </si>
  <si>
    <t>-62.15</t>
  </si>
  <si>
    <t>6:36 PM</t>
  </si>
  <si>
    <t>13.72</t>
  </si>
  <si>
    <t>25600.73</t>
  </si>
  <si>
    <t>-13.72</t>
  </si>
  <si>
    <t>25453.9</t>
  </si>
  <si>
    <t>10:34 PM</t>
  </si>
  <si>
    <t>21.15</t>
  </si>
  <si>
    <t>25221.05</t>
  </si>
  <si>
    <t>-21.15</t>
  </si>
  <si>
    <t>7/14/2026</t>
  </si>
  <si>
    <t>9:07 AM</t>
  </si>
  <si>
    <t>16.11</t>
  </si>
  <si>
    <t>25069.29</t>
  </si>
  <si>
    <t>-16.11</t>
  </si>
  <si>
    <t>12:31 PM</t>
  </si>
  <si>
    <t>6.56</t>
  </si>
  <si>
    <t>25192.01</t>
  </si>
  <si>
    <t>-6.56</t>
  </si>
  <si>
    <t>25198.57</t>
  </si>
  <si>
    <t>1:34 PM</t>
  </si>
  <si>
    <t>8800</t>
  </si>
  <si>
    <t>80563.61</t>
  </si>
  <si>
    <t>-8800</t>
  </si>
  <si>
    <t>25085.4</t>
  </si>
  <si>
    <t>25138.2</t>
  </si>
  <si>
    <t>9:39 PM</t>
  </si>
  <si>
    <t>55.79</t>
  </si>
  <si>
    <t>25013.5</t>
  </si>
  <si>
    <t>-55.79</t>
  </si>
  <si>
    <t>7/15/2026</t>
  </si>
  <si>
    <t>12.09</t>
  </si>
  <si>
    <t>24830.01</t>
  </si>
  <si>
    <t>-12.09</t>
  </si>
  <si>
    <t>145.53</t>
  </si>
  <si>
    <t>24842.1</t>
  </si>
  <si>
    <t>-145.53</t>
  </si>
  <si>
    <t>19.35</t>
  </si>
  <si>
    <t>24810.66</t>
  </si>
  <si>
    <t>-19.35</t>
  </si>
  <si>
    <t>4:31 PM</t>
  </si>
  <si>
    <t>24998.5</t>
  </si>
  <si>
    <t>9650</t>
  </si>
  <si>
    <t>95338.61</t>
  </si>
  <si>
    <t>3094.13</t>
  </si>
  <si>
    <t>41628.08</t>
  </si>
  <si>
    <t>10:17 PM</t>
  </si>
  <si>
    <t>24987.63</t>
  </si>
  <si>
    <t>7/16/2026</t>
  </si>
  <si>
    <t>129.76</t>
  </si>
  <si>
    <t>24758.15</t>
  </si>
  <si>
    <t>26.8</t>
  </si>
  <si>
    <t>24680.25</t>
  </si>
  <si>
    <t>-26.8</t>
  </si>
  <si>
    <t>6:17 PM</t>
  </si>
  <si>
    <t>26.98</t>
  </si>
  <si>
    <t>24628.39</t>
  </si>
  <si>
    <t>-26.98</t>
  </si>
  <si>
    <t>103.61</t>
  </si>
  <si>
    <t>24707.05</t>
  </si>
  <si>
    <t>-103.61</t>
  </si>
  <si>
    <t>7:13 PM</t>
  </si>
  <si>
    <t>17.56</t>
  </si>
  <si>
    <t>24655.37</t>
  </si>
  <si>
    <t>-17.56</t>
  </si>
  <si>
    <t>7.32</t>
  </si>
  <si>
    <t>24672.93</t>
  </si>
  <si>
    <t>-7.32</t>
  </si>
  <si>
    <t>7/17/2026</t>
  </si>
  <si>
    <t>7:25 AM</t>
  </si>
  <si>
    <t>7.51</t>
  </si>
  <si>
    <t>24685.47</t>
  </si>
  <si>
    <t>-7.51</t>
  </si>
  <si>
    <t>6.73</t>
  </si>
  <si>
    <t>24751.42</t>
  </si>
  <si>
    <t>-6.73</t>
  </si>
  <si>
    <t>12:36 PM</t>
  </si>
  <si>
    <t>5.3</t>
  </si>
  <si>
    <t>24588.14</t>
  </si>
  <si>
    <t>-5.3</t>
  </si>
  <si>
    <t>2:22 PM</t>
  </si>
  <si>
    <t>37.14</t>
  </si>
  <si>
    <t>24593.44</t>
  </si>
  <si>
    <t>-37.14</t>
  </si>
  <si>
    <t>24675.07</t>
  </si>
  <si>
    <t>4:16 PM</t>
  </si>
  <si>
    <t>44.49</t>
  </si>
  <si>
    <t>24630.58</t>
  </si>
  <si>
    <t>-44.49</t>
  </si>
  <si>
    <t>18.01</t>
  </si>
  <si>
    <t>24692.98</t>
  </si>
  <si>
    <t>-18.01</t>
  </si>
  <si>
    <t>5:23 PM</t>
  </si>
  <si>
    <t>9825</t>
  </si>
  <si>
    <t>105163.61</t>
  </si>
  <si>
    <t>40.43</t>
  </si>
  <si>
    <t>24710.99</t>
  </si>
  <si>
    <t>-40.43</t>
  </si>
  <si>
    <t>7/18/2026</t>
  </si>
  <si>
    <t>24533.24</t>
  </si>
  <si>
    <t>2:38 PM</t>
  </si>
  <si>
    <t>41.96</t>
  </si>
  <si>
    <t>24435.39</t>
  </si>
  <si>
    <t>-41.96</t>
  </si>
  <si>
    <t>25.96</t>
  </si>
  <si>
    <t>24477.35</t>
  </si>
  <si>
    <t>-25.96</t>
  </si>
  <si>
    <t>24548.24</t>
  </si>
  <si>
    <t>29.93</t>
  </si>
  <si>
    <t>24503.31</t>
  </si>
  <si>
    <t>-29.93</t>
  </si>
  <si>
    <t>8.15</t>
  </si>
  <si>
    <t>24427.24</t>
  </si>
  <si>
    <t>-8.15</t>
  </si>
  <si>
    <t>9:47 PM</t>
  </si>
  <si>
    <t>9200</t>
  </si>
  <si>
    <t>71363.61</t>
  </si>
  <si>
    <t>-9200</t>
  </si>
  <si>
    <t>24.9</t>
  </si>
  <si>
    <t>24563.24</t>
  </si>
  <si>
    <t>-24.9</t>
  </si>
  <si>
    <t>7/19/2026</t>
  </si>
  <si>
    <t>6:08 AM</t>
  </si>
  <si>
    <t>6.18</t>
  </si>
  <si>
    <t>24421.06</t>
  </si>
  <si>
    <t>-6.18</t>
  </si>
  <si>
    <t>6:49 AM</t>
  </si>
  <si>
    <t>24271.26</t>
  </si>
  <si>
    <t>21.47</t>
  </si>
  <si>
    <t>24249.79</t>
  </si>
  <si>
    <t>-21.47</t>
  </si>
  <si>
    <t>129.84</t>
  </si>
  <si>
    <t>24291.22</t>
  </si>
  <si>
    <t>-129.84</t>
  </si>
  <si>
    <t>4.96</t>
  </si>
  <si>
    <t>24286.26</t>
  </si>
  <si>
    <t>-4.96</t>
  </si>
  <si>
    <t>29.07</t>
  </si>
  <si>
    <t>24066.06</t>
  </si>
  <si>
    <t>-29.07</t>
  </si>
  <si>
    <t>40276.01</t>
  </si>
  <si>
    <t>24238.42</t>
  </si>
  <si>
    <t>8:40 PM</t>
  </si>
  <si>
    <t>143.29</t>
  </si>
  <si>
    <t>24095.13</t>
  </si>
  <si>
    <t>-143.29</t>
  </si>
  <si>
    <t>7/20/2026</t>
  </si>
  <si>
    <t>10:22 AM</t>
  </si>
  <si>
    <t>22.23</t>
  </si>
  <si>
    <t>23789.23</t>
  </si>
  <si>
    <t>-22.23</t>
  </si>
  <si>
    <t>46.78</t>
  </si>
  <si>
    <t>24004.28</t>
  </si>
  <si>
    <t>-46.78</t>
  </si>
  <si>
    <t>24051.06</t>
  </si>
  <si>
    <t>3:00 PM</t>
  </si>
  <si>
    <t>7.94</t>
  </si>
  <si>
    <t>23811.46</t>
  </si>
  <si>
    <t>-7.94</t>
  </si>
  <si>
    <t>14.64</t>
  </si>
  <si>
    <t>23974.64</t>
  </si>
  <si>
    <t>-14.64</t>
  </si>
  <si>
    <t>23989.28</t>
  </si>
  <si>
    <t>155.24</t>
  </si>
  <si>
    <t>23819.4</t>
  </si>
  <si>
    <t>-155.24</t>
  </si>
  <si>
    <t>9:19 PM</t>
  </si>
  <si>
    <t>23689.23</t>
  </si>
  <si>
    <t>7/21/2026</t>
  </si>
  <si>
    <t>6:35 AM</t>
  </si>
  <si>
    <t>12.36</t>
  </si>
  <si>
    <t>23676.87</t>
  </si>
  <si>
    <t>-12.36</t>
  </si>
  <si>
    <t>23474.7</t>
  </si>
  <si>
    <t>23406.45</t>
  </si>
  <si>
    <t>31.12</t>
  </si>
  <si>
    <t>23421.45</t>
  </si>
  <si>
    <t>-31.12</t>
  </si>
  <si>
    <t>6:53 PM</t>
  </si>
  <si>
    <t>36.6</t>
  </si>
  <si>
    <t>23554.98</t>
  </si>
  <si>
    <t>-36.6</t>
  </si>
  <si>
    <t>22.13</t>
  </si>
  <si>
    <t>23452.57</t>
  </si>
  <si>
    <t>-22.13</t>
  </si>
  <si>
    <t>85.29</t>
  </si>
  <si>
    <t>23591.58</t>
  </si>
  <si>
    <t>-85.29</t>
  </si>
  <si>
    <t>7:40 PM</t>
  </si>
  <si>
    <t>58.81</t>
  </si>
  <si>
    <t>23496.17</t>
  </si>
  <si>
    <t>-58.81</t>
  </si>
  <si>
    <t>7/22/2026</t>
  </si>
  <si>
    <t>141.15</t>
  </si>
  <si>
    <t>23265.3</t>
  </si>
  <si>
    <t>-141.15</t>
  </si>
  <si>
    <t>6:31 AM</t>
  </si>
  <si>
    <t>28.06</t>
  </si>
  <si>
    <t>23229.47</t>
  </si>
  <si>
    <t>-28.06</t>
  </si>
  <si>
    <t>59.94</t>
  </si>
  <si>
    <t>23139.68</t>
  </si>
  <si>
    <t>-59.94</t>
  </si>
  <si>
    <t>8:46 PM</t>
  </si>
  <si>
    <t>7.77</t>
  </si>
  <si>
    <t>23257.53</t>
  </si>
  <si>
    <t>-7.77</t>
  </si>
  <si>
    <t>4.36</t>
  </si>
  <si>
    <t>23135.32</t>
  </si>
  <si>
    <t>-4.36</t>
  </si>
  <si>
    <t>9:23 PM</t>
  </si>
  <si>
    <t>29.85</t>
  </si>
  <si>
    <t>23199.62</t>
  </si>
  <si>
    <t>-29.85</t>
  </si>
  <si>
    <t>7/23/2026</t>
  </si>
  <si>
    <t>23086.83</t>
  </si>
  <si>
    <t>11:40 AM</t>
  </si>
  <si>
    <t>17.11</t>
  </si>
  <si>
    <t>23021.66</t>
  </si>
  <si>
    <t>-17.11</t>
  </si>
  <si>
    <t>9.17</t>
  </si>
  <si>
    <t>22757.23</t>
  </si>
  <si>
    <t>-9.17</t>
  </si>
  <si>
    <t>12:07 PM</t>
  </si>
  <si>
    <t>127.68</t>
  </si>
  <si>
    <t>22766.4</t>
  </si>
  <si>
    <t>-127.68</t>
  </si>
  <si>
    <t>22894.08</t>
  </si>
  <si>
    <t>12:30 PM</t>
  </si>
  <si>
    <t>48.06</t>
  </si>
  <si>
    <t>23038.77</t>
  </si>
  <si>
    <t>-48.06</t>
  </si>
  <si>
    <t>1:24 PM</t>
  </si>
  <si>
    <t>23101.83</t>
  </si>
  <si>
    <t>112.58</t>
  </si>
  <si>
    <t>22909.08</t>
  </si>
  <si>
    <t>-112.58</t>
  </si>
  <si>
    <t>7/24/2026</t>
  </si>
  <si>
    <t>7:31 AM</t>
  </si>
  <si>
    <t>41.56</t>
  </si>
  <si>
    <t>22433</t>
  </si>
  <si>
    <t>-41.56</t>
  </si>
  <si>
    <t>22.86</t>
  </si>
  <si>
    <t>22593.33</t>
  </si>
  <si>
    <t>-22.86</t>
  </si>
  <si>
    <t>25.59</t>
  </si>
  <si>
    <t>22552.74</t>
  </si>
  <si>
    <t>-25.59</t>
  </si>
  <si>
    <t>1:20 PM</t>
  </si>
  <si>
    <t>28.29</t>
  </si>
  <si>
    <t>22524.45</t>
  </si>
  <si>
    <t>-28.29</t>
  </si>
  <si>
    <t>22578.33</t>
  </si>
  <si>
    <t>49.89</t>
  </si>
  <si>
    <t>22474.56</t>
  </si>
  <si>
    <t>-49.89</t>
  </si>
  <si>
    <t>9:44 PM</t>
  </si>
  <si>
    <t>141.04</t>
  </si>
  <si>
    <t>22616.19</t>
  </si>
  <si>
    <t>-141.04</t>
  </si>
  <si>
    <t>7/25/2026</t>
  </si>
  <si>
    <t>11:56 AM</t>
  </si>
  <si>
    <t>15.69</t>
  </si>
  <si>
    <t>22353.76</t>
  </si>
  <si>
    <t>-15.69</t>
  </si>
  <si>
    <t>20.46</t>
  </si>
  <si>
    <t>22412.54</t>
  </si>
  <si>
    <t>-20.46</t>
  </si>
  <si>
    <t>48.35</t>
  </si>
  <si>
    <t>22305.41</t>
  </si>
  <si>
    <t>-48.35</t>
  </si>
  <si>
    <t>15.47</t>
  </si>
  <si>
    <t>22369.45</t>
  </si>
  <si>
    <t>-15.47</t>
  </si>
  <si>
    <t>6:12 PM</t>
  </si>
  <si>
    <t>54.91</t>
  </si>
  <si>
    <t>22250.5</t>
  </si>
  <si>
    <t>-54.91</t>
  </si>
  <si>
    <t>15.21</t>
  </si>
  <si>
    <t>22397.33</t>
  </si>
  <si>
    <t>-15.21</t>
  </si>
  <si>
    <t>12.41</t>
  </si>
  <si>
    <t>22384.92</t>
  </si>
  <si>
    <t>-12.41</t>
  </si>
  <si>
    <t>7/26/2026</t>
  </si>
  <si>
    <t>19.88</t>
  </si>
  <si>
    <t>22222.1</t>
  </si>
  <si>
    <t>-19.88</t>
  </si>
  <si>
    <t>119.86</t>
  </si>
  <si>
    <t>22010.36</t>
  </si>
  <si>
    <t>-119.86</t>
  </si>
  <si>
    <t>12:06 PM</t>
  </si>
  <si>
    <t>42.94</t>
  </si>
  <si>
    <t>22179.16</t>
  </si>
  <si>
    <t>-42.94</t>
  </si>
  <si>
    <t>19.36</t>
  </si>
  <si>
    <t>22130.22</t>
  </si>
  <si>
    <t>-19.36</t>
  </si>
  <si>
    <t>8.52</t>
  </si>
  <si>
    <t>22241.98</t>
  </si>
  <si>
    <t>-8.52</t>
  </si>
  <si>
    <t>29.58</t>
  </si>
  <si>
    <t>22149.58</t>
  </si>
  <si>
    <t>-29.58</t>
  </si>
  <si>
    <t>7/27/2026</t>
  </si>
  <si>
    <t>7:23 AM</t>
  </si>
  <si>
    <t>21995.36</t>
  </si>
  <si>
    <t>7:52 AM</t>
  </si>
  <si>
    <t>18.62</t>
  </si>
  <si>
    <t>21976.74</t>
  </si>
  <si>
    <t>-18.62</t>
  </si>
  <si>
    <t>8:53 AM</t>
  </si>
  <si>
    <t>11.41</t>
  </si>
  <si>
    <t>21965.33</t>
  </si>
  <si>
    <t>-11.41</t>
  </si>
  <si>
    <t>106.64</t>
  </si>
  <si>
    <t>21789.46</t>
  </si>
  <si>
    <t>-106.64</t>
  </si>
  <si>
    <t>10:06 PM</t>
  </si>
  <si>
    <t>21896.1</t>
  </si>
  <si>
    <t>7/28/2026</t>
  </si>
  <si>
    <t>54.23</t>
  </si>
  <si>
    <t>21656.2</t>
  </si>
  <si>
    <t>21619.49</t>
  </si>
  <si>
    <t>6:32 PM</t>
  </si>
  <si>
    <t>39.7</t>
  </si>
  <si>
    <t>21685.45</t>
  </si>
  <si>
    <t>-39.7</t>
  </si>
  <si>
    <t>7:09 PM</t>
  </si>
  <si>
    <t>3060.87</t>
  </si>
  <si>
    <t>44688.95</t>
  </si>
  <si>
    <t>21.24</t>
  </si>
  <si>
    <t>21768.22</t>
  </si>
  <si>
    <t>-21.24</t>
  </si>
  <si>
    <t>17.52</t>
  </si>
  <si>
    <t>21601.97</t>
  </si>
  <si>
    <t>-17.52</t>
  </si>
  <si>
    <t>7:56 PM</t>
  </si>
  <si>
    <t>43.07</t>
  </si>
  <si>
    <t>21725.15</t>
  </si>
  <si>
    <t>-43.07</t>
  </si>
  <si>
    <t>8:59 PM</t>
  </si>
  <si>
    <t>29.36</t>
  </si>
  <si>
    <t>21656.09</t>
  </si>
  <si>
    <t>-29.36</t>
  </si>
  <si>
    <t>7/29/2026</t>
  </si>
  <si>
    <t>9:38 AM</t>
  </si>
  <si>
    <t>132.46</t>
  </si>
  <si>
    <t>21420.92</t>
  </si>
  <si>
    <t>18.6</t>
  </si>
  <si>
    <t>21436.45</t>
  </si>
  <si>
    <t>-18.6</t>
  </si>
  <si>
    <t>12.03</t>
  </si>
  <si>
    <t>21533.93</t>
  </si>
  <si>
    <t>-12.03</t>
  </si>
  <si>
    <t>110.24</t>
  </si>
  <si>
    <t>21545.96</t>
  </si>
  <si>
    <t>-110.24</t>
  </si>
  <si>
    <t>4:01 PM</t>
  </si>
  <si>
    <t>50.24</t>
  </si>
  <si>
    <t>21483.69</t>
  </si>
  <si>
    <t>-50.24</t>
  </si>
  <si>
    <t>142.7</t>
  </si>
  <si>
    <t>21288.46</t>
  </si>
  <si>
    <t>-142.7</t>
  </si>
  <si>
    <t>5.29</t>
  </si>
  <si>
    <t>21431.16</t>
  </si>
  <si>
    <t>-5.29</t>
  </si>
  <si>
    <t>8:22 PM</t>
  </si>
  <si>
    <t>21455.05</t>
  </si>
  <si>
    <t>21466.82</t>
  </si>
  <si>
    <t>7/30/2026</t>
  </si>
  <si>
    <t>6:40 AM</t>
  </si>
  <si>
    <t>145.09</t>
  </si>
  <si>
    <t>21203.91</t>
  </si>
  <si>
    <t>-145.09</t>
  </si>
  <si>
    <t>9:55 AM</t>
  </si>
  <si>
    <t>21349</t>
  </si>
  <si>
    <t>21024.98</t>
  </si>
  <si>
    <t>4:05 PM</t>
  </si>
  <si>
    <t>5.81</t>
  </si>
  <si>
    <t>21124.98</t>
  </si>
  <si>
    <t>-5.81</t>
  </si>
  <si>
    <t>61.01</t>
  </si>
  <si>
    <t>21359.91</t>
  </si>
  <si>
    <t>-61.01</t>
  </si>
  <si>
    <t>4:32 PM</t>
  </si>
  <si>
    <t>18.47</t>
  </si>
  <si>
    <t>21181.41</t>
  </si>
  <si>
    <t>-18.47</t>
  </si>
  <si>
    <t>39.27</t>
  </si>
  <si>
    <t>21142.14</t>
  </si>
  <si>
    <t>-39.27</t>
  </si>
  <si>
    <t>11.35</t>
  </si>
  <si>
    <t>21130.79</t>
  </si>
  <si>
    <t>-11.35</t>
  </si>
  <si>
    <t>4.03</t>
  </si>
  <si>
    <t>21199.88</t>
  </si>
  <si>
    <t>-4.03</t>
  </si>
  <si>
    <t>7/31/2026</t>
  </si>
  <si>
    <t>38.88</t>
  </si>
  <si>
    <t>20898.74</t>
  </si>
  <si>
    <t>-38.88</t>
  </si>
  <si>
    <t>33.73</t>
  </si>
  <si>
    <t>20869.96</t>
  </si>
  <si>
    <t>9.14</t>
  </si>
  <si>
    <t>20948.67</t>
  </si>
  <si>
    <t>-9.14</t>
  </si>
  <si>
    <t>13.69</t>
  </si>
  <si>
    <t>20957.81</t>
  </si>
  <si>
    <t>-13.69</t>
  </si>
  <si>
    <t>12:35 PM</t>
  </si>
  <si>
    <t>20971.5</t>
  </si>
  <si>
    <t>20836.23</t>
  </si>
  <si>
    <t>5:12 PM</t>
  </si>
  <si>
    <t>11.05</t>
  </si>
  <si>
    <t>20937.62</t>
  </si>
  <si>
    <t>-11.05</t>
  </si>
  <si>
    <t>47.51</t>
  </si>
  <si>
    <t>20851.23</t>
  </si>
  <si>
    <t>-47.51</t>
  </si>
  <si>
    <t>38.48</t>
  </si>
  <si>
    <t>20986.5</t>
  </si>
  <si>
    <t>-38.48</t>
  </si>
  <si>
    <t>8/1/2026</t>
  </si>
  <si>
    <t>6:04 AM</t>
  </si>
  <si>
    <t>4.74</t>
  </si>
  <si>
    <t>20646.86</t>
  </si>
  <si>
    <t>-4.74</t>
  </si>
  <si>
    <t>9:19 AM</t>
  </si>
  <si>
    <t>61.6</t>
  </si>
  <si>
    <t>20808.36</t>
  </si>
  <si>
    <t>-61.6</t>
  </si>
  <si>
    <t>17.25</t>
  </si>
  <si>
    <t>20727.83</t>
  </si>
  <si>
    <t>-17.25</t>
  </si>
  <si>
    <t>20793.36</t>
  </si>
  <si>
    <t>12:50 PM</t>
  </si>
  <si>
    <t>20651.6</t>
  </si>
  <si>
    <t>65.83</t>
  </si>
  <si>
    <t>20662</t>
  </si>
  <si>
    <t>-65.83</t>
  </si>
  <si>
    <t>10:48 PM</t>
  </si>
  <si>
    <t>48.28</t>
  </si>
  <si>
    <t>20745.08</t>
  </si>
  <si>
    <t>-48.28</t>
  </si>
  <si>
    <t>8/2/2026</t>
  </si>
  <si>
    <t>6:02 AM</t>
  </si>
  <si>
    <t>24.5</t>
  </si>
  <si>
    <t>20559.76</t>
  </si>
  <si>
    <t>-24.5</t>
  </si>
  <si>
    <t>162.46</t>
  </si>
  <si>
    <t>20691.61</t>
  </si>
  <si>
    <t>20584.26</t>
  </si>
  <si>
    <t>24.65</t>
  </si>
  <si>
    <t>20599.26</t>
  </si>
  <si>
    <t>-24.65</t>
  </si>
  <si>
    <t>8.73</t>
  </si>
  <si>
    <t>20536.46</t>
  </si>
  <si>
    <t>-8.73</t>
  </si>
  <si>
    <t>38426.01</t>
  </si>
  <si>
    <t>6:14 PM</t>
  </si>
  <si>
    <t>22.95</t>
  </si>
  <si>
    <t>20623.91</t>
  </si>
  <si>
    <t>-22.95</t>
  </si>
  <si>
    <t>14.57</t>
  </si>
  <si>
    <t>20545.19</t>
  </si>
  <si>
    <t>-14.57</t>
  </si>
  <si>
    <t>7.31</t>
  </si>
  <si>
    <t>20529.15</t>
  </si>
  <si>
    <t>-7.31</t>
  </si>
  <si>
    <t>8/3/2026</t>
  </si>
  <si>
    <t>450</t>
  </si>
  <si>
    <t>82713.61</t>
  </si>
  <si>
    <t>7:09 AM</t>
  </si>
  <si>
    <t>600</t>
  </si>
  <si>
    <t>88613.61</t>
  </si>
  <si>
    <t>8:05 AM</t>
  </si>
  <si>
    <t>750</t>
  </si>
  <si>
    <t>78413.61</t>
  </si>
  <si>
    <t>20676.13</t>
  </si>
  <si>
    <t>10:13 AM</t>
  </si>
  <si>
    <t>31.36</t>
  </si>
  <si>
    <t>20595.3</t>
  </si>
  <si>
    <t>-31.36</t>
  </si>
  <si>
    <t>21.92</t>
  </si>
  <si>
    <t>20528.5</t>
  </si>
  <si>
    <t>-21.92</t>
  </si>
  <si>
    <t>900</t>
  </si>
  <si>
    <t>72263.61</t>
  </si>
  <si>
    <t>12:55 PM</t>
  </si>
  <si>
    <t>31.24</t>
  </si>
  <si>
    <t>20564.06</t>
  </si>
  <si>
    <t>-31.24</t>
  </si>
  <si>
    <t>24.41</t>
  </si>
  <si>
    <t>20651.72</t>
  </si>
  <si>
    <t>-24.41</t>
  </si>
  <si>
    <t>25.06</t>
  </si>
  <si>
    <t>20626.66</t>
  </si>
  <si>
    <t>-25.06</t>
  </si>
  <si>
    <t>13.64</t>
  </si>
  <si>
    <t>20550.42</t>
  </si>
  <si>
    <t>-13.64</t>
  </si>
  <si>
    <t>8/4/2026</t>
  </si>
  <si>
    <t>20510.51</t>
  </si>
  <si>
    <t>31.01</t>
  </si>
  <si>
    <t>20433.66</t>
  </si>
  <si>
    <t>-31.01</t>
  </si>
  <si>
    <t>1200</t>
  </si>
  <si>
    <t>73463.61</t>
  </si>
  <si>
    <t>1:38 PM</t>
  </si>
  <si>
    <t>20421.18</t>
  </si>
  <si>
    <t>8.76</t>
  </si>
  <si>
    <t>20464.67</t>
  </si>
  <si>
    <t>-8.76</t>
  </si>
  <si>
    <t>500</t>
  </si>
  <si>
    <t>78913.61</t>
  </si>
  <si>
    <t>4:56 PM</t>
  </si>
  <si>
    <t>37.08</t>
  </si>
  <si>
    <t>20473.43</t>
  </si>
  <si>
    <t>-37.08</t>
  </si>
  <si>
    <t>130.1</t>
  </si>
  <si>
    <t>20291.08</t>
  </si>
  <si>
    <t>-130.1</t>
  </si>
  <si>
    <t>10:41 PM</t>
  </si>
  <si>
    <t>83213.61</t>
  </si>
  <si>
    <t>8/5/2026</t>
  </si>
  <si>
    <t>146.88</t>
  </si>
  <si>
    <t>19976.55</t>
  </si>
  <si>
    <t>-146.88</t>
  </si>
  <si>
    <t>8:24 AM</t>
  </si>
  <si>
    <t>178.83</t>
  </si>
  <si>
    <t>38247.18</t>
  </si>
  <si>
    <t>-178.83</t>
  </si>
  <si>
    <t>14.55</t>
  </si>
  <si>
    <t>20258.96</t>
  </si>
  <si>
    <t>-14.55</t>
  </si>
  <si>
    <t>2:07 PM</t>
  </si>
  <si>
    <t>79413.61</t>
  </si>
  <si>
    <t>83963.61</t>
  </si>
  <si>
    <t>6:31 PM</t>
  </si>
  <si>
    <t>17.57</t>
  </si>
  <si>
    <t>20273.51</t>
  </si>
  <si>
    <t>-17.57</t>
  </si>
  <si>
    <t>95.21</t>
  </si>
  <si>
    <t>19851.34</t>
  </si>
  <si>
    <t>-95.21</t>
  </si>
  <si>
    <t>135.53</t>
  </si>
  <si>
    <t>20123.43</t>
  </si>
  <si>
    <t>-135.53</t>
  </si>
  <si>
    <t>19946.55</t>
  </si>
  <si>
    <t>19796.72</t>
  </si>
  <si>
    <t>19961.55</t>
  </si>
  <si>
    <t>14.62</t>
  </si>
  <si>
    <t>19836.72</t>
  </si>
  <si>
    <t>-14.62</t>
  </si>
  <si>
    <t>10:43 PM</t>
  </si>
  <si>
    <t>74063.61</t>
  </si>
  <si>
    <t>8/6/2026</t>
  </si>
  <si>
    <t>74663.61</t>
  </si>
  <si>
    <t>15.81</t>
  </si>
  <si>
    <t>19676.58</t>
  </si>
  <si>
    <t>-15.81</t>
  </si>
  <si>
    <t>19425.5</t>
  </si>
  <si>
    <t>10:29 AM</t>
  </si>
  <si>
    <t>105.62</t>
  </si>
  <si>
    <t>19545.5</t>
  </si>
  <si>
    <t>-105.62</t>
  </si>
  <si>
    <t>4500</t>
  </si>
  <si>
    <t>84113.61</t>
  </si>
  <si>
    <t>-4500</t>
  </si>
  <si>
    <t>19661.58</t>
  </si>
  <si>
    <t>85163.61</t>
  </si>
  <si>
    <t>6:47 PM</t>
  </si>
  <si>
    <t>104.33</t>
  </si>
  <si>
    <t>19692.39</t>
  </si>
  <si>
    <t>-104.33</t>
  </si>
  <si>
    <t>10.46</t>
  </si>
  <si>
    <t>19651.12</t>
  </si>
  <si>
    <t>-10.46</t>
  </si>
  <si>
    <t>79913.61</t>
  </si>
  <si>
    <t>8/7/2026</t>
  </si>
  <si>
    <t>73.63</t>
  </si>
  <si>
    <t>19197.58</t>
  </si>
  <si>
    <t>-73.63</t>
  </si>
  <si>
    <t>19271.21</t>
  </si>
  <si>
    <t>34.5</t>
  </si>
  <si>
    <t>19365.14</t>
  </si>
  <si>
    <t>-34.5</t>
  </si>
  <si>
    <t>19399.64</t>
  </si>
  <si>
    <t>48.19</t>
  </si>
  <si>
    <t>19290.39</t>
  </si>
  <si>
    <t>-48.19</t>
  </si>
  <si>
    <t>8:01 PM</t>
  </si>
  <si>
    <t>10.86</t>
  </si>
  <si>
    <t>19414.64</t>
  </si>
  <si>
    <t>-10.86</t>
  </si>
  <si>
    <t>75263.61</t>
  </si>
  <si>
    <t>26.56</t>
  </si>
  <si>
    <t>19338.58</t>
  </si>
  <si>
    <t>-26.56</t>
  </si>
  <si>
    <t>10:40 PM</t>
  </si>
  <si>
    <t>80413.61</t>
  </si>
  <si>
    <t>1000</t>
  </si>
  <si>
    <t>86163.61</t>
  </si>
  <si>
    <t>8/8/2026</t>
  </si>
  <si>
    <t>76163.61</t>
  </si>
  <si>
    <t>10:12 AM</t>
  </si>
  <si>
    <t>12.7</t>
  </si>
  <si>
    <t>19176.03</t>
  </si>
  <si>
    <t>-12.7</t>
  </si>
  <si>
    <t>81013.61</t>
  </si>
  <si>
    <t>19134.75</t>
  </si>
  <si>
    <t>8:18 PM</t>
  </si>
  <si>
    <t>8.85</t>
  </si>
  <si>
    <t>19188.73</t>
  </si>
  <si>
    <t>-8.85</t>
  </si>
  <si>
    <t>86913.61</t>
  </si>
  <si>
    <t>9:15 PM</t>
  </si>
  <si>
    <t>19149.75</t>
  </si>
  <si>
    <t>4.17</t>
  </si>
  <si>
    <t>19171.86</t>
  </si>
  <si>
    <t>-4.17</t>
  </si>
  <si>
    <t>8/9/2026</t>
  </si>
  <si>
    <t>56.44</t>
  </si>
  <si>
    <t>18906.09</t>
  </si>
  <si>
    <t>-56.44</t>
  </si>
  <si>
    <t>12.56</t>
  </si>
  <si>
    <t>18962.53</t>
  </si>
  <si>
    <t>-12.56</t>
  </si>
  <si>
    <t>5200</t>
  </si>
  <si>
    <t>-5200</t>
  </si>
  <si>
    <t>12:03 PM</t>
  </si>
  <si>
    <t>22.3</t>
  </si>
  <si>
    <t>19112.45</t>
  </si>
  <si>
    <t>-22.3</t>
  </si>
  <si>
    <t>87413.61</t>
  </si>
  <si>
    <t>3:21 PM</t>
  </si>
  <si>
    <t>102.71</t>
  </si>
  <si>
    <t>18999.54</t>
  </si>
  <si>
    <t>-102.71</t>
  </si>
  <si>
    <t>77063.61</t>
  </si>
  <si>
    <t>5:02 PM</t>
  </si>
  <si>
    <t>19102.25</t>
  </si>
  <si>
    <t>27.17</t>
  </si>
  <si>
    <t>18878.92</t>
  </si>
  <si>
    <t>-27.17</t>
  </si>
  <si>
    <t>24.45</t>
  </si>
  <si>
    <t>18975.09</t>
  </si>
  <si>
    <t>-24.45</t>
  </si>
  <si>
    <t>81513.61</t>
  </si>
  <si>
    <t>8/10/2026</t>
  </si>
  <si>
    <t>82263.61</t>
  </si>
  <si>
    <t>8:12 AM</t>
  </si>
  <si>
    <t>77663.61</t>
  </si>
  <si>
    <t>9:36 AM</t>
  </si>
  <si>
    <t>120.95</t>
  </si>
  <si>
    <t>18738.77</t>
  </si>
  <si>
    <t>-120.95</t>
  </si>
  <si>
    <t>9:44 AM</t>
  </si>
  <si>
    <t>10.59</t>
  </si>
  <si>
    <t>18868.33</t>
  </si>
  <si>
    <t>-10.59</t>
  </si>
  <si>
    <t>88013.61</t>
  </si>
  <si>
    <t>9.98</t>
  </si>
  <si>
    <t>18703.98</t>
  </si>
  <si>
    <t>-9.98</t>
  </si>
  <si>
    <t>18859.72</t>
  </si>
  <si>
    <t>18713.96</t>
  </si>
  <si>
    <t>8/11/2026</t>
  </si>
  <si>
    <t>12.28</t>
  </si>
  <si>
    <t>18633.35</t>
  </si>
  <si>
    <t>-12.28</t>
  </si>
  <si>
    <t>12:44 PM</t>
  </si>
  <si>
    <t>18549.6</t>
  </si>
  <si>
    <t>58.87</t>
  </si>
  <si>
    <t>18574.48</t>
  </si>
  <si>
    <t>-58.87</t>
  </si>
  <si>
    <t>43.35</t>
  </si>
  <si>
    <t>18645.63</t>
  </si>
  <si>
    <t>-43.35</t>
  </si>
  <si>
    <t>18563.61</t>
  </si>
  <si>
    <t>4:49 PM</t>
  </si>
  <si>
    <t>101.07</t>
  </si>
  <si>
    <t>18448.53</t>
  </si>
  <si>
    <t>-101.07</t>
  </si>
  <si>
    <t>18688.98</t>
  </si>
  <si>
    <t>8/12/2026</t>
  </si>
  <si>
    <t>6:53 AM</t>
  </si>
  <si>
    <t>28.59</t>
  </si>
  <si>
    <t>18419.94</t>
  </si>
  <si>
    <t>-28.59</t>
  </si>
  <si>
    <t>18334.11</t>
  </si>
  <si>
    <t>20.63</t>
  </si>
  <si>
    <t>18275.04</t>
  </si>
  <si>
    <t>-20.63</t>
  </si>
  <si>
    <t>3:11 PM</t>
  </si>
  <si>
    <t>6100</t>
  </si>
  <si>
    <t>72813.61</t>
  </si>
  <si>
    <t>-6100</t>
  </si>
  <si>
    <t>3:27 PM</t>
  </si>
  <si>
    <t>73.58</t>
  </si>
  <si>
    <t>38173.6</t>
  </si>
  <si>
    <t>-73.58</t>
  </si>
  <si>
    <t>11.91</t>
  </si>
  <si>
    <t>18263.13</t>
  </si>
  <si>
    <t>-11.91</t>
  </si>
  <si>
    <t>70.83</t>
  </si>
  <si>
    <t>18349.11</t>
  </si>
  <si>
    <t>-70.83</t>
  </si>
  <si>
    <t>147.93</t>
  </si>
  <si>
    <t>18411.06</t>
  </si>
  <si>
    <t>8:50 PM</t>
  </si>
  <si>
    <t>23.44</t>
  </si>
  <si>
    <t>18295.67</t>
  </si>
  <si>
    <t>-23.44</t>
  </si>
  <si>
    <t>8:57 PM</t>
  </si>
  <si>
    <t>18319.11</t>
  </si>
  <si>
    <t>8/13/2026</t>
  </si>
  <si>
    <t>18345.35</t>
  </si>
  <si>
    <t>59.15</t>
  </si>
  <si>
    <t>18351.91</t>
  </si>
  <si>
    <t>-59.15</t>
  </si>
  <si>
    <t>25.98</t>
  </si>
  <si>
    <t>18264.21</t>
  </si>
  <si>
    <t>-25.98</t>
  </si>
  <si>
    <t>31.5</t>
  </si>
  <si>
    <t>18290.19</t>
  </si>
  <si>
    <t>-31.5</t>
  </si>
  <si>
    <t>18331.48</t>
  </si>
  <si>
    <t>9:56 PM</t>
  </si>
  <si>
    <t>9.79</t>
  </si>
  <si>
    <t>18321.69</t>
  </si>
  <si>
    <t>-9.79</t>
  </si>
  <si>
    <t>8/14/2026</t>
  </si>
  <si>
    <t>7:29 AM</t>
  </si>
  <si>
    <t>16.21</t>
  </si>
  <si>
    <t>18202.55</t>
  </si>
  <si>
    <t>-16.21</t>
  </si>
  <si>
    <t>9:52 AM</t>
  </si>
  <si>
    <t>18218.76</t>
  </si>
  <si>
    <t>18249.21</t>
  </si>
  <si>
    <t>11.74</t>
  </si>
  <si>
    <t>18190.81</t>
  </si>
  <si>
    <t>-11.74</t>
  </si>
  <si>
    <t>18234.21</t>
  </si>
  <si>
    <t>8/15/2026</t>
  </si>
  <si>
    <t>7:06 AM</t>
  </si>
  <si>
    <t>32.28</t>
  </si>
  <si>
    <t>18158.53</t>
  </si>
  <si>
    <t>-32.28</t>
  </si>
  <si>
    <t>12:18 PM</t>
  </si>
  <si>
    <t>69.12</t>
  </si>
  <si>
    <t>18085.1</t>
  </si>
  <si>
    <t>-69.12</t>
  </si>
  <si>
    <t>6.09</t>
  </si>
  <si>
    <t>18064.22</t>
  </si>
  <si>
    <t>-6.09</t>
  </si>
  <si>
    <t>4.31</t>
  </si>
  <si>
    <t>18154.22</t>
  </si>
  <si>
    <t>-4.31</t>
  </si>
  <si>
    <t>3235.58</t>
  </si>
  <si>
    <t>47924.53</t>
  </si>
  <si>
    <t>8:42 PM</t>
  </si>
  <si>
    <t>14.79</t>
  </si>
  <si>
    <t>18070.31</t>
  </si>
  <si>
    <t>-14.79</t>
  </si>
  <si>
    <t>8/16/2026</t>
  </si>
  <si>
    <t>17892.5</t>
  </si>
  <si>
    <t>36.11</t>
  </si>
  <si>
    <t>17907.5</t>
  </si>
  <si>
    <t>-36.11</t>
  </si>
  <si>
    <t>17943.61</t>
  </si>
  <si>
    <t>108.57</t>
  </si>
  <si>
    <t>17955.65</t>
  </si>
  <si>
    <t>-108.57</t>
  </si>
  <si>
    <t>28.94</t>
  </si>
  <si>
    <t>17863.56</t>
  </si>
  <si>
    <t>-28.94</t>
  </si>
  <si>
    <t>8/17/2026</t>
  </si>
  <si>
    <t>31.57</t>
  </si>
  <si>
    <t>17676.28</t>
  </si>
  <si>
    <t>-31.57</t>
  </si>
  <si>
    <t>9:25 AM</t>
  </si>
  <si>
    <t>17677.09</t>
  </si>
  <si>
    <t>24.25</t>
  </si>
  <si>
    <t>17839.31</t>
  </si>
  <si>
    <t>-24.25</t>
  </si>
  <si>
    <t>37.58</t>
  </si>
  <si>
    <t>17714.33</t>
  </si>
  <si>
    <t>-37.58</t>
  </si>
  <si>
    <t>6.48</t>
  </si>
  <si>
    <t>17707.85</t>
  </si>
  <si>
    <t>-6.48</t>
  </si>
  <si>
    <t>62.64</t>
  </si>
  <si>
    <t>17765.49</t>
  </si>
  <si>
    <t>-62.64</t>
  </si>
  <si>
    <t>8:30 PM</t>
  </si>
  <si>
    <t>13.58</t>
  </si>
  <si>
    <t>17751.91</t>
  </si>
  <si>
    <t>-13.58</t>
  </si>
  <si>
    <t>8:36 PM</t>
  </si>
  <si>
    <t>11.18</t>
  </si>
  <si>
    <t>17828.13</t>
  </si>
  <si>
    <t>-11.18</t>
  </si>
  <si>
    <t>8:54 PM</t>
  </si>
  <si>
    <t>39.57</t>
  </si>
  <si>
    <t>17636.71</t>
  </si>
  <si>
    <t>-39.57</t>
  </si>
  <si>
    <t>8/18/2026</t>
  </si>
  <si>
    <t>8:50 AM</t>
  </si>
  <si>
    <t>36.92</t>
  </si>
  <si>
    <t>17640.17</t>
  </si>
  <si>
    <t>-36.92</t>
  </si>
  <si>
    <t>1:11 PM</t>
  </si>
  <si>
    <t>36.32</t>
  </si>
  <si>
    <t>17458.58</t>
  </si>
  <si>
    <t>-36.32</t>
  </si>
  <si>
    <t>16.91</t>
  </si>
  <si>
    <t>17623.26</t>
  </si>
  <si>
    <t>-16.91</t>
  </si>
  <si>
    <t>18.83</t>
  </si>
  <si>
    <t>17494.9</t>
  </si>
  <si>
    <t>-18.83</t>
  </si>
  <si>
    <t>9:24 PM</t>
  </si>
  <si>
    <t>109.53</t>
  </si>
  <si>
    <t>17513.73</t>
  </si>
  <si>
    <t>-109.53</t>
  </si>
  <si>
    <t>8/19/2026</t>
  </si>
  <si>
    <t>114.15</t>
  </si>
  <si>
    <t>17148.31</t>
  </si>
  <si>
    <t>-114.15</t>
  </si>
  <si>
    <t>10:56 AM</t>
  </si>
  <si>
    <t>29.5</t>
  </si>
  <si>
    <t>17262.46</t>
  </si>
  <si>
    <t>-29.5</t>
  </si>
  <si>
    <t>11:19 AM</t>
  </si>
  <si>
    <t>63.1</t>
  </si>
  <si>
    <t>17343.87</t>
  </si>
  <si>
    <t>-63.1</t>
  </si>
  <si>
    <t>3:03 PM</t>
  </si>
  <si>
    <t>40.41</t>
  </si>
  <si>
    <t>17058.21</t>
  </si>
  <si>
    <t>-40.41</t>
  </si>
  <si>
    <t>23.59</t>
  </si>
  <si>
    <t>17115.26</t>
  </si>
  <si>
    <t>-23.59</t>
  </si>
  <si>
    <t>16.64</t>
  </si>
  <si>
    <t>17098.62</t>
  </si>
  <si>
    <t>-16.64</t>
  </si>
  <si>
    <t>6:20 PM</t>
  </si>
  <si>
    <t>51.91</t>
  </si>
  <si>
    <t>17291.96</t>
  </si>
  <si>
    <t>-51.91</t>
  </si>
  <si>
    <t>8:12 PM</t>
  </si>
  <si>
    <t>9.46</t>
  </si>
  <si>
    <t>17138.85</t>
  </si>
  <si>
    <t>-9.46</t>
  </si>
  <si>
    <t>51.61</t>
  </si>
  <si>
    <t>17406.97</t>
  </si>
  <si>
    <t>-51.61</t>
  </si>
  <si>
    <t>8/20/2026</t>
  </si>
  <si>
    <t>41.48</t>
  </si>
  <si>
    <t>16837.13</t>
  </si>
  <si>
    <t>13.36</t>
  </si>
  <si>
    <t>16906.52</t>
  </si>
  <si>
    <t>-13.36</t>
  </si>
  <si>
    <t>38083.61</t>
  </si>
  <si>
    <t>1:27 PM</t>
  </si>
  <si>
    <t>16.12</t>
  </si>
  <si>
    <t>16934.76</t>
  </si>
  <si>
    <t>-16.12</t>
  </si>
  <si>
    <t>107.33</t>
  </si>
  <si>
    <t>16950.88</t>
  </si>
  <si>
    <t>-107.33</t>
  </si>
  <si>
    <t>5:53 PM</t>
  </si>
  <si>
    <t>110.87</t>
  </si>
  <si>
    <t>16795.65</t>
  </si>
  <si>
    <t>-110.87</t>
  </si>
  <si>
    <t>14.88</t>
  </si>
  <si>
    <t>16919.88</t>
  </si>
  <si>
    <t>-14.88</t>
  </si>
  <si>
    <t>8/21/2026</t>
  </si>
  <si>
    <t>16736.2</t>
  </si>
  <si>
    <t>18.65</t>
  </si>
  <si>
    <t>16578.79</t>
  </si>
  <si>
    <t>-18.65</t>
  </si>
  <si>
    <t>9:37 AM</t>
  </si>
  <si>
    <t>16563.79</t>
  </si>
  <si>
    <t>10:05 AM</t>
  </si>
  <si>
    <t>21.52</t>
  </si>
  <si>
    <t>16815.61</t>
  </si>
  <si>
    <t>-21.52</t>
  </si>
  <si>
    <t>2:26 PM</t>
  </si>
  <si>
    <t>138.76</t>
  </si>
  <si>
    <t>16597.44</t>
  </si>
  <si>
    <t>-138.76</t>
  </si>
  <si>
    <t>19.34</t>
  </si>
  <si>
    <t>16796.27</t>
  </si>
  <si>
    <t>-19.34</t>
  </si>
  <si>
    <t>16781.27</t>
  </si>
  <si>
    <t>10:54 PM</t>
  </si>
  <si>
    <t>16534.69</t>
  </si>
  <si>
    <t>8/22/2026</t>
  </si>
  <si>
    <t>35.82</t>
  </si>
  <si>
    <t>16419.32</t>
  </si>
  <si>
    <t>-35.82</t>
  </si>
  <si>
    <t>7:44 AM</t>
  </si>
  <si>
    <t>8.05</t>
  </si>
  <si>
    <t>16387.68</t>
  </si>
  <si>
    <t>-8.05</t>
  </si>
  <si>
    <t>23.35</t>
  </si>
  <si>
    <t>16511.34</t>
  </si>
  <si>
    <t>-23.35</t>
  </si>
  <si>
    <t>56.2</t>
  </si>
  <si>
    <t>16455.14</t>
  </si>
  <si>
    <t>-56.2</t>
  </si>
  <si>
    <t>4:26 PM</t>
  </si>
  <si>
    <t>16395.73</t>
  </si>
  <si>
    <t>8/23/2026</t>
  </si>
  <si>
    <t>15.32</t>
  </si>
  <si>
    <t>16274.44</t>
  </si>
  <si>
    <t>-15.32</t>
  </si>
  <si>
    <t>8:54 AM</t>
  </si>
  <si>
    <t>28.34</t>
  </si>
  <si>
    <t>16246.1</t>
  </si>
  <si>
    <t>-28.34</t>
  </si>
  <si>
    <t>4.2</t>
  </si>
  <si>
    <t>16234.37</t>
  </si>
  <si>
    <t>-4.2</t>
  </si>
  <si>
    <t>97.92</t>
  </si>
  <si>
    <t>16289.76</t>
  </si>
  <si>
    <t>-97.92</t>
  </si>
  <si>
    <t>14.96</t>
  </si>
  <si>
    <t>16185.04</t>
  </si>
  <si>
    <t>-14.96</t>
  </si>
  <si>
    <t>2:17 PM</t>
  </si>
  <si>
    <t>7.53</t>
  </si>
  <si>
    <t>16238.57</t>
  </si>
  <si>
    <t>-7.53</t>
  </si>
  <si>
    <t>34.37</t>
  </si>
  <si>
    <t>-34.37</t>
  </si>
  <si>
    <t>8/24/2026</t>
  </si>
  <si>
    <t>14.58</t>
  </si>
  <si>
    <t>16066.02</t>
  </si>
  <si>
    <t>-14.58</t>
  </si>
  <si>
    <t>10:53 AM</t>
  </si>
  <si>
    <t>70.37</t>
  </si>
  <si>
    <t>16114.67</t>
  </si>
  <si>
    <t>-70.37</t>
  </si>
  <si>
    <t>1:42 PM</t>
  </si>
  <si>
    <t>17.64</t>
  </si>
  <si>
    <t>16097.03</t>
  </si>
  <si>
    <t>-17.64</t>
  </si>
  <si>
    <t>16051.02</t>
  </si>
  <si>
    <t>16080.6</t>
  </si>
  <si>
    <t>13.5</t>
  </si>
  <si>
    <t>16037.52</t>
  </si>
  <si>
    <t>-13.5</t>
  </si>
  <si>
    <t>29.22</t>
  </si>
  <si>
    <t>16008.3</t>
  </si>
  <si>
    <t>-29.22</t>
  </si>
  <si>
    <t>8/25/2026</t>
  </si>
  <si>
    <t>20.53</t>
  </si>
  <si>
    <t>15783.41</t>
  </si>
  <si>
    <t>-20.53</t>
  </si>
  <si>
    <t>20.24</t>
  </si>
  <si>
    <t>15988.06</t>
  </si>
  <si>
    <t>-20.24</t>
  </si>
  <si>
    <t>15760.81</t>
  </si>
  <si>
    <t>12:33 PM</t>
  </si>
  <si>
    <t>142.71</t>
  </si>
  <si>
    <t>15803.94</t>
  </si>
  <si>
    <t>-142.71</t>
  </si>
  <si>
    <t>2:51 PM</t>
  </si>
  <si>
    <t>8.69</t>
  </si>
  <si>
    <t>15959.81</t>
  </si>
  <si>
    <t>-8.69</t>
  </si>
  <si>
    <t>13.16</t>
  </si>
  <si>
    <t>15946.65</t>
  </si>
  <si>
    <t>-13.16</t>
  </si>
  <si>
    <t>19.56</t>
  </si>
  <si>
    <t>15968.5</t>
  </si>
  <si>
    <t>-19.56</t>
  </si>
  <si>
    <t>8/26/2026</t>
  </si>
  <si>
    <t>6.7</t>
  </si>
  <si>
    <t>15754.11</t>
  </si>
  <si>
    <t>-6.7</t>
  </si>
  <si>
    <t>15443.03</t>
  </si>
  <si>
    <t>57.4</t>
  </si>
  <si>
    <t>15559.52</t>
  </si>
  <si>
    <t>-57.4</t>
  </si>
  <si>
    <t>11:57 AM</t>
  </si>
  <si>
    <t>23.04</t>
  </si>
  <si>
    <t>15536.48</t>
  </si>
  <si>
    <t>-23.04</t>
  </si>
  <si>
    <t>12:38 PM</t>
  </si>
  <si>
    <t>137.19</t>
  </si>
  <si>
    <t>15616.92</t>
  </si>
  <si>
    <t>-137.19</t>
  </si>
  <si>
    <t>29.61</t>
  </si>
  <si>
    <t>15413.42</t>
  </si>
  <si>
    <t>-29.61</t>
  </si>
  <si>
    <t>53.94</t>
  </si>
  <si>
    <t>15464.41</t>
  </si>
  <si>
    <t>-53.94</t>
  </si>
  <si>
    <t>15353.42</t>
  </si>
  <si>
    <t>18.13</t>
  </si>
  <si>
    <t>15518.35</t>
  </si>
  <si>
    <t>-18.13</t>
  </si>
  <si>
    <t>8/27/2026</t>
  </si>
  <si>
    <t>49.01</t>
  </si>
  <si>
    <t>14843.69</t>
  </si>
  <si>
    <t>-49.01</t>
  </si>
  <si>
    <t>55.04</t>
  </si>
  <si>
    <t>14907.7</t>
  </si>
  <si>
    <t>-55.04</t>
  </si>
  <si>
    <t>131.86</t>
  </si>
  <si>
    <t>15099.22</t>
  </si>
  <si>
    <t>-131.86</t>
  </si>
  <si>
    <t>2:06 PM</t>
  </si>
  <si>
    <t>67.63</t>
  </si>
  <si>
    <t>15256.6</t>
  </si>
  <si>
    <t>-67.63</t>
  </si>
  <si>
    <t>25.52</t>
  </si>
  <si>
    <t>15231.08</t>
  </si>
  <si>
    <t>-25.52</t>
  </si>
  <si>
    <t>136.48</t>
  </si>
  <si>
    <t>14962.74</t>
  </si>
  <si>
    <t>-136.48</t>
  </si>
  <si>
    <t>14892.7</t>
  </si>
  <si>
    <t>29.19</t>
  </si>
  <si>
    <t>15324.23</t>
  </si>
  <si>
    <t>-29.19</t>
  </si>
  <si>
    <t>8/28/2026</t>
  </si>
  <si>
    <t>9.43</t>
  </si>
  <si>
    <t>14658.31</t>
  </si>
  <si>
    <t>-9.43</t>
  </si>
  <si>
    <t>9:40 AM</t>
  </si>
  <si>
    <t>14701.04</t>
  </si>
  <si>
    <t>3:31 PM</t>
  </si>
  <si>
    <t>106.49</t>
  </si>
  <si>
    <t>14551.82</t>
  </si>
  <si>
    <t>-106.49</t>
  </si>
  <si>
    <t>14744.96</t>
  </si>
  <si>
    <t>40.27</t>
  </si>
  <si>
    <t>14759.96</t>
  </si>
  <si>
    <t>-40.27</t>
  </si>
  <si>
    <t>43.46</t>
  </si>
  <si>
    <t>14800.23</t>
  </si>
  <si>
    <t>-43.46</t>
  </si>
  <si>
    <t>30.18</t>
  </si>
  <si>
    <t>14714.78</t>
  </si>
  <si>
    <t>-30.18</t>
  </si>
  <si>
    <t>3124.7</t>
  </si>
  <si>
    <t>51049.23</t>
  </si>
  <si>
    <t>8:47 PM</t>
  </si>
  <si>
    <t>33.3</t>
  </si>
  <si>
    <t>14667.74</t>
  </si>
  <si>
    <t>-33.3</t>
  </si>
  <si>
    <t>8/29/2026</t>
  </si>
  <si>
    <t>7:21 AM</t>
  </si>
  <si>
    <t>22.7</t>
  </si>
  <si>
    <t>14529.12</t>
  </si>
  <si>
    <t>-22.7</t>
  </si>
  <si>
    <t>7:47 AM</t>
  </si>
  <si>
    <t>176.62</t>
  </si>
  <si>
    <t>14266.12</t>
  </si>
  <si>
    <t>-176.62</t>
  </si>
  <si>
    <t>8:51 AM</t>
  </si>
  <si>
    <t>118.5</t>
  </si>
  <si>
    <t>14146.5</t>
  </si>
  <si>
    <t>8:52 AM</t>
  </si>
  <si>
    <t>41.41</t>
  </si>
  <si>
    <t>14028</t>
  </si>
  <si>
    <t>-41.41</t>
  </si>
  <si>
    <t>132.89</t>
  </si>
  <si>
    <t>14069.41</t>
  </si>
  <si>
    <t>-132.89</t>
  </si>
  <si>
    <t>48.82</t>
  </si>
  <si>
    <t>14202.3</t>
  </si>
  <si>
    <t>-48.82</t>
  </si>
  <si>
    <t>16.88</t>
  </si>
  <si>
    <t>14442.74</t>
  </si>
  <si>
    <t>-16.88</t>
  </si>
  <si>
    <t>69.5</t>
  </si>
  <si>
    <t>14459.62</t>
  </si>
  <si>
    <t>-69.5</t>
  </si>
  <si>
    <t>9:58 PM</t>
  </si>
  <si>
    <t>14251.12</t>
  </si>
  <si>
    <t>8/30/2026</t>
  </si>
  <si>
    <t>170.09</t>
  </si>
  <si>
    <t>13516.93</t>
  </si>
  <si>
    <t>-170.09</t>
  </si>
  <si>
    <t>129.71</t>
  </si>
  <si>
    <t>13747.07</t>
  </si>
  <si>
    <t>-129.71</t>
  </si>
  <si>
    <t>10:20 AM</t>
  </si>
  <si>
    <t>14.28</t>
  </si>
  <si>
    <t>14132.22</t>
  </si>
  <si>
    <t>-14.28</t>
  </si>
  <si>
    <t>148.03</t>
  </si>
  <si>
    <t>13984.19</t>
  </si>
  <si>
    <t>-148.03</t>
  </si>
  <si>
    <t>12:09 PM</t>
  </si>
  <si>
    <t>13687.02</t>
  </si>
  <si>
    <t>3:26 PM</t>
  </si>
  <si>
    <t>45.05</t>
  </si>
  <si>
    <t>13702.02</t>
  </si>
  <si>
    <t>-45.05</t>
  </si>
  <si>
    <t>34.94</t>
  </si>
  <si>
    <t>13876.78</t>
  </si>
  <si>
    <t>-34.94</t>
  </si>
  <si>
    <t>35.69</t>
  </si>
  <si>
    <t>13948.5</t>
  </si>
  <si>
    <t>-35.69</t>
  </si>
  <si>
    <t>36.78</t>
  </si>
  <si>
    <t>13911.72</t>
  </si>
  <si>
    <t>-36.78</t>
  </si>
  <si>
    <t>8/31/2026</t>
  </si>
  <si>
    <t>8.87</t>
  </si>
  <si>
    <t>13508.06</t>
  </si>
  <si>
    <t>-8.87</t>
  </si>
  <si>
    <t>61.2</t>
  </si>
  <si>
    <t>13361.08</t>
  </si>
  <si>
    <t>-61.2</t>
  </si>
  <si>
    <t>78.27</t>
  </si>
  <si>
    <t>13247.4</t>
  </si>
  <si>
    <t>-78.27</t>
  </si>
  <si>
    <t>35.41</t>
  </si>
  <si>
    <t>13325.67</t>
  </si>
  <si>
    <t>-35.41</t>
  </si>
  <si>
    <t>32.92</t>
  </si>
  <si>
    <t>13475.14</t>
  </si>
  <si>
    <t>-32.92</t>
  </si>
  <si>
    <t>52.86</t>
  </si>
  <si>
    <t>13422.28</t>
  </si>
  <si>
    <t>-52.86</t>
  </si>
  <si>
    <t>Pattern Flag</t>
  </si>
  <si>
    <t>Cash Deposit → Wire</t>
  </si>
  <si>
    <t>KYC Comparison</t>
  </si>
  <si>
    <t>KYC Expectation</t>
  </si>
  <si>
    <t>Observed Activity</t>
  </si>
  <si>
    <t>Cash activity typically under $1,000/month</t>
  </si>
  <si>
    <t>$67,080 in cash deposits over ~12 days</t>
  </si>
  <si>
    <t>Risk Assessment</t>
  </si>
  <si>
    <t>$67,080 cash deposited in ~12 days</t>
  </si>
  <si>
    <t>High – materially exceeds expected cash activity</t>
  </si>
  <si>
    <t>No international activity disclosed</t>
  </si>
  <si>
    <t>$26,200 in outgoing wires to UAE</t>
  </si>
  <si>
    <t>High – activity inconsistent with stated profile</t>
  </si>
  <si>
    <t>Customer Overview</t>
  </si>
  <si>
    <t>Field</t>
  </si>
  <si>
    <t>Value</t>
  </si>
  <si>
    <t>Customer ID</t>
  </si>
  <si>
    <t>Customer Name</t>
  </si>
  <si>
    <t>Annual Income</t>
  </si>
  <si>
    <t>Residence</t>
  </si>
  <si>
    <t>Virginia</t>
  </si>
  <si>
    <t>Customer Since</t>
  </si>
  <si>
    <t>Risk Rating</t>
  </si>
  <si>
    <t>Account Type</t>
  </si>
  <si>
    <t>Expected Customer Activity</t>
  </si>
  <si>
    <t>Expected Activity</t>
  </si>
  <si>
    <t>Expected Monthly Credits</t>
  </si>
  <si>
    <t>$6,000–$10,000</t>
  </si>
  <si>
    <t>Expected Monthly Debits</t>
  </si>
  <si>
    <t>$4,000–$9,000</t>
  </si>
  <si>
    <t>Expected Cash Activity</t>
  </si>
  <si>
    <t>Occasional; typically under $1,000/month</t>
  </si>
  <si>
    <t>Expected International Activity</t>
  </si>
  <si>
    <t>Primary Transaction Channels</t>
  </si>
  <si>
    <t>Activity Reviewed</t>
  </si>
  <si>
    <t>Reviewed Activity</t>
  </si>
  <si>
    <t>Review Period</t>
  </si>
  <si>
    <t>March 1, 2026 – August 31, 2026</t>
  </si>
  <si>
    <t>Account Reviewed</t>
  </si>
  <si>
    <t>Total Transactions Reviewed</t>
  </si>
  <si>
    <t>Near-$10K Transactions</t>
  </si>
  <si>
    <t>Total Near-$10K Amount</t>
  </si>
  <si>
    <t>Near-$10K Cash Deposits</t>
  </si>
  <si>
    <t>Total Cash Deposit Amount</t>
  </si>
  <si>
    <t>Near-$10K Wire Transfers</t>
  </si>
  <si>
    <t>Total Wire Amount</t>
  </si>
  <si>
    <t>Key Findings</t>
  </si>
  <si>
    <t>Finding</t>
  </si>
  <si>
    <t>Details</t>
  </si>
  <si>
    <t>Repeated Near-$10K Cash Deposits</t>
  </si>
  <si>
    <r>
      <t xml:space="preserve">7 cash deposits totaling </t>
    </r>
    <r>
      <rPr>
        <b/>
        <sz val="11"/>
        <rFont val="Carlito"/>
      </rPr>
      <t>$67,080</t>
    </r>
    <r>
      <rPr>
        <sz val="11"/>
        <rFont val="Carlito"/>
      </rPr>
      <t>, with several deposits just below $10,000</t>
    </r>
  </si>
  <si>
    <t>International Wire Activity</t>
  </si>
  <si>
    <r>
      <t xml:space="preserve">3 international wires totaling </t>
    </r>
    <r>
      <rPr>
        <b/>
        <sz val="11"/>
        <rFont val="Carlito"/>
      </rPr>
      <t>$26,200</t>
    </r>
  </si>
  <si>
    <t>Rapid Movement of Funds</t>
  </si>
  <si>
    <t>Multiple cash deposits were followed shortly afterward by outbound international wires</t>
  </si>
  <si>
    <t>Cash-to-Wire Pattern</t>
  </si>
  <si>
    <r>
      <t xml:space="preserve">Repeated </t>
    </r>
    <r>
      <rPr>
        <b/>
        <sz val="11"/>
        <rFont val="Carlito"/>
      </rPr>
      <t>Cash Deposit → International Wire</t>
    </r>
    <r>
      <rPr>
        <sz val="11"/>
        <rFont val="Carlito"/>
      </rPr>
      <t xml:space="preserve"> sequences were identified</t>
    </r>
  </si>
  <si>
    <t>Activity Inconsistent With Profile</t>
  </si>
  <si>
    <r>
      <t xml:space="preserve">Customer expected cash activity is typically </t>
    </r>
    <r>
      <rPr>
        <b/>
        <sz val="11"/>
        <rFont val="Carlito"/>
      </rPr>
      <t>under $1,000/month</t>
    </r>
    <r>
      <rPr>
        <sz val="11"/>
        <rFont val="Carlito"/>
      </rPr>
      <t xml:space="preserve">, but reviewed cash deposits totaled </t>
    </r>
    <r>
      <rPr>
        <b/>
        <sz val="11"/>
        <rFont val="Carlito"/>
      </rPr>
      <t>$67,080</t>
    </r>
  </si>
  <si>
    <t>Undisclosed International Activity</t>
  </si>
  <si>
    <r>
      <t xml:space="preserve">Customer profile indicated </t>
    </r>
    <r>
      <rPr>
        <b/>
        <sz val="11"/>
        <rFont val="Carlito"/>
      </rPr>
      <t>no expected international activity</t>
    </r>
    <r>
      <rPr>
        <sz val="11"/>
        <rFont val="Carlito"/>
      </rPr>
      <t>, yet international wires occurred</t>
    </r>
  </si>
  <si>
    <t>Multiple Branch Usage</t>
  </si>
  <si>
    <t>Cash deposits were made across multiple branch locations during the review period</t>
  </si>
  <si>
    <t>Risk Indicators/ Red Flags</t>
  </si>
  <si>
    <t>Risk Indicator</t>
  </si>
  <si>
    <t>Why It Matters</t>
  </si>
  <si>
    <t>Near-threshold cash deposits</t>
  </si>
  <si>
    <t>Multiple deposits were made just below $10,000, which can be a structuring indicator</t>
  </si>
  <si>
    <t>Repeated cash deposits</t>
  </si>
  <si>
    <t>Large cash activity is inconsistent with the customer’s stated expected activity</t>
  </si>
  <si>
    <t>Cash followed by outbound wires</t>
  </si>
  <si>
    <t>Rapid movement of deposited funds can indicate layering or movement of potentially illicit proceeds</t>
  </si>
  <si>
    <t>International wires</t>
  </si>
  <si>
    <t>Customer disclosed no expected international activity</t>
  </si>
  <si>
    <t>Multiple branch locations</t>
  </si>
  <si>
    <t>Repeated use of different branches can be relevant when combined with near-threshold cash activity</t>
  </si>
  <si>
    <t>Activity inconsistent with income/profile</t>
  </si>
  <si>
    <t>Volume and nature of activity appear inconsistent with stated occupation, income, and expected account use</t>
  </si>
  <si>
    <t>Repeated pattern over time</t>
  </si>
  <si>
    <t>The behavior occurred more than once, making it less likely to be an isolated transaction</t>
  </si>
  <si>
    <t>Final Investigation Summary</t>
  </si>
  <si>
    <t>Section</t>
  </si>
  <si>
    <t>Summary</t>
  </si>
  <si>
    <t>Profile Comparison</t>
  </si>
  <si>
    <t>Activity was inconsistent with the customer’s expected cash activity and disclosed international activity.</t>
  </si>
  <si>
    <t>Key Concern</t>
  </si>
  <si>
    <t>Repeated near-$10K cash deposits were followed by outbound international wires.</t>
  </si>
  <si>
    <t>The pattern raises concerns for possible structuring and rapid movement of funds.</t>
  </si>
  <si>
    <t>Disposition</t>
  </si>
  <si>
    <t>Escalate for SAR consideration.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</si>
</sst>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mm/dd/yyyy"/>
    <numFmt numFmtId="165" formatCode="\$#,##0"/>
    <numFmt numFmtId="166" formatCode="\$#,##0.00"/>
    <numFmt numFmtId="167" formatCode="[$-F400]h:mm:ss\ AM/PM"/>
    <numFmt numFmtId="168" formatCode="0.0%"/>
    <numFmt numFmtId="169" formatCode="#,##0.0"/>
    <numFmt numFmtId="170" formatCode="&quot;$&quot;#,##0"/>
  </numFmts>
  <fonts count="1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name val="Arial"/>
      <family val="2"/>
    </font>
    <font>
      <sz val="11"/>
      <color rgb="FF0070C0"/>
      <name val="Carlito"/>
    </font>
    <font>
      <sz val="11"/>
      <color rgb="FF0070C0"/>
      <name val="Arial"/>
      <family val="2"/>
    </font>
    <font>
      <b/>
      <sz val="12"/>
      <name val="Arial"/>
      <family val="2"/>
    </font>
    <font>
      <b/>
      <sz val="12"/>
      <name val="Carlito"/>
    </font>
    <font>
      <b/>
      <sz val="11"/>
      <color theme="1"/>
      <name val="Carlito"/>
    </font>
    <font>
      <sz val="11"/>
      <color theme="4"/>
      <name val="Carlito"/>
    </font>
    <font>
      <b/>
      <sz val="11"/>
      <color theme="4"/>
      <name val="Carlito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6" fontId="0" fillId="0" borderId="0" xfId="0" applyNumberFormat="1"/>
    <xf numFmtId="2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3" fontId="0" fillId="0" borderId="0" xfId="0" applyNumberFormat="1"/>
    <xf numFmtId="0" fontId="5" fillId="4" borderId="0" xfId="0" applyFont="1" applyFill="1"/>
    <xf numFmtId="0" fontId="6" fillId="0" borderId="0" xfId="0" applyFont="1"/>
    <xf numFmtId="170" fontId="7" fillId="4" borderId="0" xfId="0" applyNumberFormat="1" applyFont="1" applyFill="1" applyAlignment="1">
      <alignment horizontal="right"/>
    </xf>
    <xf numFmtId="169" fontId="7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0" fillId="4" borderId="0" xfId="0" applyFill="1"/>
    <xf numFmtId="0" fontId="6" fillId="4" borderId="0" xfId="0" applyFont="1" applyFill="1"/>
    <xf numFmtId="3" fontId="6" fillId="4" borderId="0" xfId="0" applyNumberFormat="1" applyFont="1" applyFill="1"/>
    <xf numFmtId="10" fontId="7" fillId="4" borderId="0" xfId="0" applyNumberFormat="1" applyFont="1" applyFill="1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wrapText="1"/>
    </xf>
    <xf numFmtId="166" fontId="0" fillId="0" borderId="0" xfId="0" applyNumberFormat="1" applyAlignment="1">
      <alignment horizontal="right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0" fillId="4" borderId="0" xfId="0" applyFill="1" applyAlignment="1"/>
    <xf numFmtId="0" fontId="0" fillId="4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/>
    <xf numFmtId="0" fontId="0" fillId="4" borderId="0" xfId="0" applyFill="1" applyAlignment="1">
      <alignment horizontal="right" vertical="center"/>
    </xf>
    <xf numFmtId="6" fontId="0" fillId="4" borderId="0" xfId="0" applyNumberFormat="1" applyFill="1" applyAlignment="1">
      <alignment horizontal="right" vertical="center"/>
    </xf>
    <xf numFmtId="15" fontId="0" fillId="4" borderId="0" xfId="0" applyNumberFormat="1" applyFill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/>
    <xf numFmtId="3" fontId="0" fillId="4" borderId="0" xfId="0" applyNumberForma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/>
    <xf numFmtId="0" fontId="2" fillId="4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27">
    <dxf>
      <numFmt numFmtId="168" formatCode="0.0%"/>
    </dxf>
    <dxf>
      <numFmt numFmtId="168" formatCode="0.0%"/>
    </dxf>
    <dxf>
      <numFmt numFmtId="169" formatCode="#,##0.0"/>
    </dxf>
    <dxf>
      <numFmt numFmtId="169" formatCode="#,##0.0"/>
    </dxf>
    <dxf>
      <numFmt numFmtId="169" formatCode="#,##0.0"/>
    </dxf>
    <dxf>
      <numFmt numFmtId="169" formatCode="#,##0.0"/>
    </dxf>
    <dxf>
      <numFmt numFmtId="3" formatCode="#,##0"/>
    </dxf>
    <dxf>
      <numFmt numFmtId="3" formatCode="#,##0"/>
    </dxf>
    <dxf>
      <numFmt numFmtId="169" formatCode="#,##0.0"/>
    </dxf>
    <dxf>
      <numFmt numFmtId="169" formatCode="#,##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-F400]h:mm:ss\ AM/P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AML Summary</a:t>
            </a:r>
            <a:r>
              <a:rPr lang="en-US" baseline="0"/>
              <a:t> Flagged Count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839026684164479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AML Summary.Flagged_Count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9"/>
                <c:pt idx="0">
                  <c:v>Cash Deposit</c:v>
                </c:pt>
                <c:pt idx="1">
                  <c:v>Card Purchase</c:v>
                </c:pt>
                <c:pt idx="2">
                  <c:v>P2P Transfer</c:v>
                </c:pt>
                <c:pt idx="3">
                  <c:v>ATM Withdrawal</c:v>
                </c:pt>
                <c:pt idx="4">
                  <c:v>ACH Debit</c:v>
                </c:pt>
                <c:pt idx="5">
                  <c:v>Payroll ACH</c:v>
                </c:pt>
                <c:pt idx="6">
                  <c:v>ACH Credit</c:v>
                </c:pt>
                <c:pt idx="7">
                  <c:v>Wire Transfer</c:v>
                </c:pt>
                <c:pt idx="8">
                  <c:v>Cashier's Check</c:v>
                </c:pt>
              </c:strCache>
            </c:strRef>
          </c:cat>
          <c:val>
            <c:numRef>
              <c:f>Analysis!$D$2:$D$10</c:f>
              <c:numCache>
                <c:formatCode>#,##0.0</c:formatCode>
                <c:ptCount val="9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6-4158-B0A6-2A109C921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035487"/>
        <c:axId val="876132623"/>
      </c:barChart>
      <c:catAx>
        <c:axId val="203003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32623"/>
        <c:crosses val="autoZero"/>
        <c:auto val="1"/>
        <c:lblAlgn val="ctr"/>
        <c:lblOffset val="100"/>
        <c:noMultiLvlLbl val="0"/>
      </c:catAx>
      <c:valAx>
        <c:axId val="876132623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354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vs Flagged Transaction Amount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9"/>
                <c:pt idx="0">
                  <c:v>Cash Deposit</c:v>
                </c:pt>
                <c:pt idx="1">
                  <c:v>Card Purchase</c:v>
                </c:pt>
                <c:pt idx="2">
                  <c:v>P2P Transfer</c:v>
                </c:pt>
                <c:pt idx="3">
                  <c:v>ATM Withdrawal</c:v>
                </c:pt>
                <c:pt idx="4">
                  <c:v>ACH Debit</c:v>
                </c:pt>
                <c:pt idx="5">
                  <c:v>Payroll ACH</c:v>
                </c:pt>
                <c:pt idx="6">
                  <c:v>ACH Credit</c:v>
                </c:pt>
                <c:pt idx="7">
                  <c:v>Wire Transfer</c:v>
                </c:pt>
                <c:pt idx="8">
                  <c:v>Cashier's Check</c:v>
                </c:pt>
              </c:strCache>
            </c:strRef>
          </c:cat>
          <c:val>
            <c:numRef>
              <c:f>Analysis!$C$2:$C$10</c:f>
              <c:numCache>
                <c:formatCode>#,##0</c:formatCode>
                <c:ptCount val="9"/>
                <c:pt idx="0">
                  <c:v>67080</c:v>
                </c:pt>
                <c:pt idx="1">
                  <c:v>39300.170000000035</c:v>
                </c:pt>
                <c:pt idx="2">
                  <c:v>25497.730000000003</c:v>
                </c:pt>
                <c:pt idx="3">
                  <c:v>2160</c:v>
                </c:pt>
                <c:pt idx="4">
                  <c:v>17714.300000000003</c:v>
                </c:pt>
                <c:pt idx="5">
                  <c:v>37801.83</c:v>
                </c:pt>
                <c:pt idx="6">
                  <c:v>18500</c:v>
                </c:pt>
                <c:pt idx="7">
                  <c:v>50000</c:v>
                </c:pt>
                <c:pt idx="8">
                  <c:v>15800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A-4D25-A33F-1EAC6CB47012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AML Summary Flagged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9"/>
                <c:pt idx="0">
                  <c:v>Cash Deposit</c:v>
                </c:pt>
                <c:pt idx="1">
                  <c:v>Card Purchase</c:v>
                </c:pt>
                <c:pt idx="2">
                  <c:v>P2P Transfer</c:v>
                </c:pt>
                <c:pt idx="3">
                  <c:v>ATM Withdrawal</c:v>
                </c:pt>
                <c:pt idx="4">
                  <c:v>ACH Debit</c:v>
                </c:pt>
                <c:pt idx="5">
                  <c:v>Payroll ACH</c:v>
                </c:pt>
                <c:pt idx="6">
                  <c:v>ACH Credit</c:v>
                </c:pt>
                <c:pt idx="7">
                  <c:v>Wire Transfer</c:v>
                </c:pt>
                <c:pt idx="8">
                  <c:v>Cashier's Check</c:v>
                </c:pt>
              </c:strCache>
            </c:strRef>
          </c:cat>
          <c:val>
            <c:numRef>
              <c:f>Analysis!$E$2:$E$10</c:f>
              <c:numCache>
                <c:formatCode>#,##0.0</c:formatCode>
                <c:ptCount val="9"/>
                <c:pt idx="0">
                  <c:v>67080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A-4D25-A33F-1EAC6CB47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831887"/>
        <c:axId val="1246944047"/>
      </c:barChart>
      <c:catAx>
        <c:axId val="105683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44047"/>
        <c:crosses val="autoZero"/>
        <c:auto val="1"/>
        <c:lblAlgn val="ctr"/>
        <c:lblOffset val="100"/>
        <c:noMultiLvlLbl val="0"/>
      </c:catAx>
      <c:valAx>
        <c:axId val="124694404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3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58193350831146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Flagged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9"/>
                <c:pt idx="0">
                  <c:v>Cash Deposit</c:v>
                </c:pt>
                <c:pt idx="1">
                  <c:v>Card Purchase</c:v>
                </c:pt>
                <c:pt idx="2">
                  <c:v>P2P Transfer</c:v>
                </c:pt>
                <c:pt idx="3">
                  <c:v>ATM Withdrawal</c:v>
                </c:pt>
                <c:pt idx="4">
                  <c:v>ACH Debit</c:v>
                </c:pt>
                <c:pt idx="5">
                  <c:v>Payroll ACH</c:v>
                </c:pt>
                <c:pt idx="6">
                  <c:v>ACH Credit</c:v>
                </c:pt>
                <c:pt idx="7">
                  <c:v>Wire Transfer</c:v>
                </c:pt>
                <c:pt idx="8">
                  <c:v>Cashier's Check</c:v>
                </c:pt>
              </c:strCache>
            </c:strRef>
          </c:cat>
          <c:val>
            <c:numRef>
              <c:f>Analysis!$F$2:$F$10</c:f>
              <c:numCache>
                <c:formatCode>0.0%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A-4234-B2C6-717FA9C63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932479"/>
        <c:axId val="1246956527"/>
      </c:barChart>
      <c:catAx>
        <c:axId val="114793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56527"/>
        <c:crosses val="autoZero"/>
        <c:auto val="1"/>
        <c:lblAlgn val="ctr"/>
        <c:lblOffset val="100"/>
        <c:noMultiLvlLbl val="0"/>
      </c:catAx>
      <c:valAx>
        <c:axId val="124695652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3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12</xdr:row>
      <xdr:rowOff>11430</xdr:rowOff>
    </xdr:from>
    <xdr:to>
      <xdr:col>3</xdr:col>
      <xdr:colOff>533400</xdr:colOff>
      <xdr:row>27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E760B7-ADA5-FB3E-718A-65888DD9B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2209800</xdr:colOff>
      <xdr:row>11</xdr:row>
      <xdr:rowOff>171450</xdr:rowOff>
    </xdr:from>
    <xdr:to>
      <xdr:col>6</xdr:col>
      <xdr:colOff>3810</xdr:colOff>
      <xdr:row>27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F459C0-3858-6706-9318-B176A40AE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171450</xdr:rowOff>
    </xdr:from>
    <xdr:to>
      <xdr:col>3</xdr:col>
      <xdr:colOff>510540</xdr:colOff>
      <xdr:row>45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BA0661-7710-D6EF-45A3-402F9ECF9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50800</xdr:colOff>
      <xdr:row>38</xdr:row>
      <xdr:rowOff>143933</xdr:rowOff>
    </xdr:from>
    <xdr:to>
      <xdr:col>6</xdr:col>
      <xdr:colOff>50800</xdr:colOff>
      <xdr:row>43</xdr:row>
      <xdr:rowOff>169333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603EC41-5637-3A62-83E3-396CCB3C2146}"/>
            </a:ext>
          </a:extLst>
        </xdr:cNvPr>
        <xdr:cNvSpPr/>
      </xdr:nvSpPr>
      <xdr:spPr>
        <a:xfrm>
          <a:off x="6392333" y="6900333"/>
          <a:ext cx="4021667" cy="9144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16932</xdr:colOff>
      <xdr:row>37</xdr:row>
      <xdr:rowOff>169332</xdr:rowOff>
    </xdr:from>
    <xdr:to>
      <xdr:col>6</xdr:col>
      <xdr:colOff>25400</xdr:colOff>
      <xdr:row>43</xdr:row>
      <xdr:rowOff>169333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9CCE0120-F87B-9B20-6F0C-0642206E6AB3}"/>
            </a:ext>
          </a:extLst>
        </xdr:cNvPr>
        <xdr:cNvSpPr txBox="1">
          <a:spLocks noChangeArrowheads="1"/>
        </xdr:cNvSpPr>
      </xdr:nvSpPr>
      <xdr:spPr bwMode="auto">
        <a:xfrm>
          <a:off x="6358465" y="6747932"/>
          <a:ext cx="4030135" cy="1066801"/>
        </a:xfrm>
        <a:prstGeom prst="rect">
          <a:avLst/>
        </a:prstGeom>
        <a:solidFill>
          <a:schemeClr val="bg1">
            <a:lumMod val="9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Cash deposits were the primary source of flagged activity. All 7 cash deposits were flagged, totaling $67,080.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1380</xdr:row>
      <xdr:rowOff>22860</xdr:rowOff>
    </xdr:from>
    <xdr:to>
      <xdr:col>6</xdr:col>
      <xdr:colOff>1371600</xdr:colOff>
      <xdr:row>1399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BA61A6-2BBF-22BD-54A0-E4C7AEC8AAB2}"/>
            </a:ext>
          </a:extLst>
        </xdr:cNvPr>
        <xdr:cNvSpPr/>
      </xdr:nvSpPr>
      <xdr:spPr>
        <a:xfrm>
          <a:off x="38100" y="3878580"/>
          <a:ext cx="8206740" cy="3314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>
              <a:solidFill>
                <a:schemeClr val="accent1"/>
              </a:solidFill>
            </a:rPr>
            <a:t>Transaction Review:</a:t>
          </a:r>
          <a:br>
            <a:rPr lang="en-US" sz="1400">
              <a:solidFill>
                <a:schemeClr val="accent1"/>
              </a:solidFill>
            </a:rPr>
          </a:br>
          <a:r>
            <a:rPr lang="en-US" sz="1400">
              <a:solidFill>
                <a:schemeClr val="accent1"/>
              </a:solidFill>
            </a:rPr>
            <a:t>Review identified 10 transactions occurring between July 6 and July 18, 2026, totaling </a:t>
          </a:r>
          <a:r>
            <a:rPr lang="en-US" sz="1400" b="1">
              <a:solidFill>
                <a:schemeClr val="accent1"/>
              </a:solidFill>
            </a:rPr>
            <a:t>$93,280</a:t>
          </a:r>
          <a:r>
            <a:rPr lang="en-US" sz="1400">
              <a:solidFill>
                <a:schemeClr val="accent1"/>
              </a:solidFill>
            </a:rPr>
            <a:t>, that were clustered near the $10,000 threshold. The activity consisted of </a:t>
          </a:r>
          <a:r>
            <a:rPr lang="en-US" sz="1400" b="1">
              <a:solidFill>
                <a:schemeClr val="accent1"/>
              </a:solidFill>
            </a:rPr>
            <a:t>7 cash deposits totaling $67,080</a:t>
          </a:r>
          <a:r>
            <a:rPr lang="en-US" sz="1400">
              <a:solidFill>
                <a:schemeClr val="accent1"/>
              </a:solidFill>
            </a:rPr>
            <a:t> and </a:t>
          </a:r>
          <a:r>
            <a:rPr lang="en-US" sz="1400" b="1">
              <a:solidFill>
                <a:schemeClr val="accent1"/>
              </a:solidFill>
            </a:rPr>
            <a:t>3 outgoing wire transfers totaling $26,200</a:t>
          </a:r>
          <a:r>
            <a:rPr lang="en-US" sz="1400">
              <a:solidFill>
                <a:schemeClr val="accent1"/>
              </a:solidFill>
            </a:rPr>
            <a:t>. The cash deposits ranged from approximately $9,150 to $9,890 and occurred across multiple Northern Virginia branch locations.</a:t>
          </a:r>
        </a:p>
        <a:p>
          <a:r>
            <a:rPr lang="en-US" sz="1400">
              <a:solidFill>
                <a:schemeClr val="accent1"/>
              </a:solidFill>
            </a:rPr>
            <a:t>The three outgoing wires—$8,200, $8,800, and $9,200—were sent to </a:t>
          </a:r>
          <a:r>
            <a:rPr lang="en-US" sz="1400" b="1">
              <a:solidFill>
                <a:schemeClr val="accent1"/>
              </a:solidFill>
            </a:rPr>
            <a:t>Orion Trading LLC in the United Arab Emirates</a:t>
          </a:r>
          <a:r>
            <a:rPr lang="en-US" sz="1400">
              <a:solidFill>
                <a:schemeClr val="accent1"/>
              </a:solidFill>
            </a:rPr>
            <a:t>. Within the filtered near-$10K activity sequence, each wire followed a cash deposit, and the transactions occurred at intervals of only </a:t>
          </a:r>
          <a:r>
            <a:rPr lang="en-US" sz="1400" b="1">
              <a:solidFill>
                <a:schemeClr val="accent1"/>
              </a:solidFill>
            </a:rPr>
            <a:t>1–2 days</a:t>
          </a:r>
          <a:r>
            <a:rPr lang="en-US" sz="1400">
              <a:solidFill>
                <a:schemeClr val="accent1"/>
              </a:solidFill>
            </a:rPr>
            <a:t> throughout the review period.</a:t>
          </a:r>
        </a:p>
        <a:p>
          <a:r>
            <a:rPr lang="en-US" sz="1400" b="1">
              <a:solidFill>
                <a:schemeClr val="accent1"/>
              </a:solidFill>
            </a:rPr>
            <a:t>Assessment:</a:t>
          </a:r>
          <a:br>
            <a:rPr lang="en-US" sz="1400">
              <a:solidFill>
                <a:schemeClr val="accent1"/>
              </a:solidFill>
            </a:rPr>
          </a:br>
          <a:r>
            <a:rPr lang="en-US" sz="1400">
              <a:solidFill>
                <a:schemeClr val="accent1"/>
              </a:solidFill>
            </a:rPr>
            <a:t>The frequency, dollar amounts, concentration of cash deposits below $10,000, use of multiple branch locations, and subsequent international wire activity present indicators consistent with </a:t>
          </a:r>
          <a:r>
            <a:rPr lang="en-US" sz="1400" b="1">
              <a:solidFill>
                <a:schemeClr val="accent1"/>
              </a:solidFill>
            </a:rPr>
            <a:t>potential structuring and rapid movement of funds</a:t>
          </a:r>
          <a:r>
            <a:rPr lang="en-US" sz="1400">
              <a:solidFill>
                <a:schemeClr val="accent1"/>
              </a:solidFill>
            </a:rPr>
            <a:t>. The activity warrants further review to determine whether the transactions are consistent with the customer's expected account activity and source of funds.</a:t>
          </a:r>
        </a:p>
        <a:p>
          <a:r>
            <a:rPr lang="en-US" sz="1400" b="1">
              <a:solidFill>
                <a:schemeClr val="accent1"/>
              </a:solidFill>
            </a:rPr>
            <a:t>Recommendation:</a:t>
          </a:r>
          <a:br>
            <a:rPr lang="en-US" sz="1400">
              <a:solidFill>
                <a:schemeClr val="accent1"/>
              </a:solidFill>
            </a:rPr>
          </a:br>
          <a:r>
            <a:rPr lang="en-US" sz="1400" b="1">
              <a:solidFill>
                <a:schemeClr val="accent1"/>
              </a:solidFill>
            </a:rPr>
            <a:t>Escalate for enhanced review / SAR consideration in accordance with institutional procedures.</a:t>
          </a:r>
          <a:endParaRPr lang="en-US" sz="1400">
            <a:solidFill>
              <a:schemeClr val="accent1"/>
            </a:solidFill>
          </a:endParaRPr>
        </a:p>
        <a:p>
          <a:pPr algn="l"/>
          <a:endParaRPr lang="en-US" sz="1100">
            <a:solidFill>
              <a:schemeClr val="accent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B521C7A-7496-4D08-ABF3-37959F511C96}" autoFormatId="16" applyNumberFormats="0" applyBorderFormats="0" applyFontFormats="0" applyPatternFormats="0" applyAlignmentFormats="0" applyWidthHeightFormats="0">
  <queryTableRefresh nextId="52">
    <queryTableFields count="21">
      <queryTableField id="26" name="Transaction_ID" tableColumnId="5"/>
      <queryTableField id="27" name="Transaction_Date" tableColumnId="6"/>
      <queryTableField id="28" name="Transaction_Time" tableColumnId="7"/>
      <queryTableField id="29" name="Account_ID" tableColumnId="8"/>
      <queryTableField id="30" name="Customer_ID" tableColumnId="9"/>
      <queryTableField id="31" name="Direction" tableColumnId="10"/>
      <queryTableField id="24" name="Transaction_Type" tableColumnId="4"/>
      <queryTableField id="32" name="Amount" tableColumnId="11"/>
      <queryTableField id="33" name="Currency" tableColumnId="12"/>
      <queryTableField id="34" name="Counterparty_Name" tableColumnId="13"/>
      <queryTableField id="35" name="Counterparty_Country" tableColumnId="14"/>
      <queryTableField id="36" name="Channel" tableColumnId="15"/>
      <queryTableField id="37" name="Branch_City" tableColumnId="16"/>
      <queryTableField id="38" name="Branch_State" tableColumnId="17"/>
      <queryTableField id="39" name="Merchant_Category" tableColumnId="18"/>
      <queryTableField id="40" name="Description" tableColumnId="19"/>
      <queryTableField id="41" name="Balance_After" tableColumnId="20"/>
      <queryTableField id="42" name="signed_amount" tableColumnId="21"/>
      <queryTableField id="43" name="Large_Transaction_Flag" tableColumnId="22"/>
      <queryTableField id="44" name="Cash_Flag" tableColumnId="23"/>
      <queryTableField id="45" name="Near_10k_Flag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82D0F2A-BFD8-4A12-AE7A-256086BE752B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Type" tableColumnId="1"/>
      <queryTableField id="2" name="Transaction_Count" tableColumnId="2"/>
      <queryTableField id="3" name="Total_Amount" tableColumnId="3"/>
      <queryTableField id="4" name="AML Summary.Flagged_Count" tableColumnId="4"/>
      <queryTableField id="5" name="AML Summary.Flagged_Amount" tableColumnId="5"/>
      <queryTableField id="6" name="Flagged_Percentage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Q1375" totalsRowShown="0">
  <tableColumns count="17">
    <tableColumn id="1" xr3:uid="{00000000-0010-0000-0000-000001000000}" name="Transaction_ID"/>
    <tableColumn id="2" xr3:uid="{00000000-0010-0000-0000-000002000000}" name="Transaction_Date"/>
    <tableColumn id="3" xr3:uid="{00000000-0010-0000-0000-000003000000}" name="Transaction_Time"/>
    <tableColumn id="4" xr3:uid="{00000000-0010-0000-0000-000004000000}" name="Account_ID"/>
    <tableColumn id="5" xr3:uid="{00000000-0010-0000-0000-000005000000}" name="Customer_ID"/>
    <tableColumn id="6" xr3:uid="{00000000-0010-0000-0000-000006000000}" name="Direction"/>
    <tableColumn id="7" xr3:uid="{00000000-0010-0000-0000-000007000000}" name="Transaction_Type"/>
    <tableColumn id="8" xr3:uid="{00000000-0010-0000-0000-000008000000}" name="Amount"/>
    <tableColumn id="9" xr3:uid="{00000000-0010-0000-0000-000009000000}" name="Currency"/>
    <tableColumn id="10" xr3:uid="{00000000-0010-0000-0000-00000A000000}" name="Counterparty_Name"/>
    <tableColumn id="11" xr3:uid="{00000000-0010-0000-0000-00000B000000}" name="Counterparty_Country"/>
    <tableColumn id="12" xr3:uid="{00000000-0010-0000-0000-00000C000000}" name="Channel"/>
    <tableColumn id="13" xr3:uid="{00000000-0010-0000-0000-00000D000000}" name="Branch_City"/>
    <tableColumn id="14" xr3:uid="{00000000-0010-0000-0000-00000E000000}" name="Branch_State"/>
    <tableColumn id="15" xr3:uid="{00000000-0010-0000-0000-00000F000000}" name="Merchant_Category"/>
    <tableColumn id="16" xr3:uid="{00000000-0010-0000-0000-000010000000}" name="Description"/>
    <tableColumn id="17" xr3:uid="{00000000-0010-0000-0000-000011000000}" name="Balance_Af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A6166-B76B-491A-81DD-3861C8D8B0D6}" name="TransactionsTable_1" displayName="TransactionsTable_1" ref="A1:U1375" tableType="queryTable" totalsRowShown="0">
  <autoFilter ref="A1:U1375" xr:uid="{E08A6166-B76B-491A-81DD-3861C8D8B0D6}"/>
  <tableColumns count="21">
    <tableColumn id="5" xr3:uid="{1F77BA47-E62F-4B1B-A9A2-A623E7C66D76}" uniqueName="5" name="Transaction_ID" queryTableFieldId="26" dataDxfId="26"/>
    <tableColumn id="6" xr3:uid="{5C70B299-B966-4741-BEE1-8B19535653B1}" uniqueName="6" name="Transaction_Date" queryTableFieldId="27" dataDxfId="25"/>
    <tableColumn id="7" xr3:uid="{290ADD98-2662-4C62-9278-B57CD88E254E}" uniqueName="7" name="Transaction_Time" queryTableFieldId="28" dataDxfId="24"/>
    <tableColumn id="8" xr3:uid="{B7DCB27A-A1E7-48CA-BF88-CA3953B1AFF1}" uniqueName="8" name="Account_ID" queryTableFieldId="29" dataDxfId="23"/>
    <tableColumn id="9" xr3:uid="{DB60B54A-29EE-4E04-ACA6-096D63B50434}" uniqueName="9" name="Customer_ID" queryTableFieldId="30" dataDxfId="22"/>
    <tableColumn id="10" xr3:uid="{3262FA32-EFFE-4079-AC79-AF7AC17F738A}" uniqueName="10" name="Direction" queryTableFieldId="31" dataDxfId="21"/>
    <tableColumn id="4" xr3:uid="{13068AC4-1920-476E-B5CA-F49CF9748F56}" uniqueName="4" name="Transaction_Type" queryTableFieldId="24" dataDxfId="20"/>
    <tableColumn id="11" xr3:uid="{0C2B73D1-95C0-4F3D-9662-3D63771F17AB}" uniqueName="11" name="Amount" queryTableFieldId="32"/>
    <tableColumn id="12" xr3:uid="{B77B26AF-EAF2-408B-AD44-EFE952A8CC28}" uniqueName="12" name="Currency" queryTableFieldId="33" dataDxfId="19"/>
    <tableColumn id="13" xr3:uid="{ABE313A3-EFBC-446F-A68C-12150BA9B3DE}" uniqueName="13" name="Counterparty_Name" queryTableFieldId="34" dataDxfId="18"/>
    <tableColumn id="14" xr3:uid="{3094E283-72F7-4E8B-84B0-0AC0E79E799E}" uniqueName="14" name="Counterparty_Country" queryTableFieldId="35" dataDxfId="17"/>
    <tableColumn id="15" xr3:uid="{CC6BBC88-7E45-4AF1-9204-054F95D62760}" uniqueName="15" name="Channel" queryTableFieldId="36" dataDxfId="16"/>
    <tableColumn id="16" xr3:uid="{6F06421D-FD47-4047-A1DF-6DAF5F7E4EFF}" uniqueName="16" name="Branch_City" queryTableFieldId="37" dataDxfId="15"/>
    <tableColumn id="17" xr3:uid="{ED5D6356-BB3F-4DB4-B5CD-4FCD3BB20141}" uniqueName="17" name="Branch_State" queryTableFieldId="38" dataDxfId="14"/>
    <tableColumn id="18" xr3:uid="{19195BF3-E17C-41DB-BD51-143948885053}" uniqueName="18" name="Merchant_Category" queryTableFieldId="39" dataDxfId="13"/>
    <tableColumn id="19" xr3:uid="{6D906279-BA16-4CCA-AB58-9D801F72C9B5}" uniqueName="19" name="Description" queryTableFieldId="40" dataDxfId="12"/>
    <tableColumn id="20" xr3:uid="{5B0AC9DD-ABA9-4C2E-B9B2-8CE389F6E550}" uniqueName="20" name="Balance_After" queryTableFieldId="41"/>
    <tableColumn id="21" xr3:uid="{869DB2FC-1A20-4A4D-B68D-74C7DFF2359B}" uniqueName="21" name="signed_amount" queryTableFieldId="42"/>
    <tableColumn id="22" xr3:uid="{48105C8D-B22F-48BA-90AA-ADD60D053027}" uniqueName="22" name="Large_Transaction_Flag" queryTableFieldId="43"/>
    <tableColumn id="23" xr3:uid="{3B2273B8-0A46-458D-805C-1C8E27D5A929}" uniqueName="23" name="Cash_Flag" queryTableFieldId="44"/>
    <tableColumn id="24" xr3:uid="{1C8CC469-C7A4-4F3A-9A8B-92FE7901A865}" uniqueName="24" name="Near_10k_Flag" queryTableField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81C456-B0CF-4DA0-8F42-08A63C384A97}" name="Merge1" displayName="Merge1" ref="A1:F11" tableType="queryTable" totalsRowCount="1">
  <autoFilter ref="A1:F10" xr:uid="{3D81C456-B0CF-4DA0-8F42-08A63C384A97}"/>
  <tableColumns count="6">
    <tableColumn id="1" xr3:uid="{F779614F-951A-48B2-9EB3-86C25D66BB3B}" uniqueName="1" name="Transaction_Type" queryTableFieldId="1" dataDxfId="11" totalsRowDxfId="10"/>
    <tableColumn id="2" xr3:uid="{1CF6A37D-D35B-4DB0-A8A7-3670D28D424F}" uniqueName="2" name="Transaction_Count" queryTableFieldId="2" dataDxfId="9" totalsRowDxfId="8"/>
    <tableColumn id="3" xr3:uid="{4F7EC533-591B-45A3-B9AA-28283B54C923}" uniqueName="3" name="Total Amount" queryTableFieldId="3" dataDxfId="7" totalsRowDxfId="6"/>
    <tableColumn id="4" xr3:uid="{0291A25F-9DE7-4912-81BB-FE95175F19EC}" uniqueName="4" name="AML Summary.Flagged_Count" queryTableFieldId="4" dataDxfId="5" totalsRowDxfId="4"/>
    <tableColumn id="5" xr3:uid="{8CC4EAB9-DA5E-4A66-963E-23BB67B3D9B7}" uniqueName="5" name="AML Summary Flagged Amount" queryTableFieldId="5" dataDxfId="3" totalsRowDxfId="2"/>
    <tableColumn id="6" xr3:uid="{99A83DB7-5266-48BA-B546-CDFE4FF765BD}" uniqueName="6" name="Flagged Percentage" queryTableFieldId="6" dataDxfId="1" totalsRowDxfId="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9901A3-68BE-42EC-BE13-95BB2DFC29FA}" name="Table7" displayName="Table7" ref="A1:X1375" totalsRowShown="0">
  <autoFilter ref="A1:X1375" xr:uid="{6C9901A3-68BE-42EC-BE13-95BB2DFC29FA}">
    <filterColumn colId="20">
      <filters>
        <filter val="Near 10k"/>
      </filters>
    </filterColumn>
  </autoFilter>
  <tableColumns count="24">
    <tableColumn id="1" xr3:uid="{9EC2AA44-E63F-4EDD-B341-FFBCFBF09117}" name="Transaction_ID"/>
    <tableColumn id="2" xr3:uid="{0877B036-28F3-423B-8CD3-F99F0DB0E751}" name="Transaction_Date.1"/>
    <tableColumn id="3" xr3:uid="{EEC7950B-D169-45D8-9080-23EE46E84121}" name="Transaction_Time"/>
    <tableColumn id="4" xr3:uid="{4957070C-D1C7-457C-854A-35F0283D7D67}" name="Account_ID"/>
    <tableColumn id="5" xr3:uid="{6737C842-73F7-4CCC-A08F-7D18518610F9}" name="Customer_ID"/>
    <tableColumn id="6" xr3:uid="{B77A7D98-1534-4A7A-B9A7-F0DD7F62F6E0}" name="Direction"/>
    <tableColumn id="7" xr3:uid="{25874F05-748B-4EB8-A842-4994E434EE40}" name="Transaction_Type"/>
    <tableColumn id="8" xr3:uid="{9A324503-69FC-437D-83DD-2F73F0770C91}" name="Amount"/>
    <tableColumn id="9" xr3:uid="{40DB0F84-C310-4069-BAC3-B75D6EE43242}" name="Currency"/>
    <tableColumn id="10" xr3:uid="{227EED96-7454-4A11-BF9E-FA39FFAC637D}" name="Counterparty_Name"/>
    <tableColumn id="11" xr3:uid="{C68CBEC4-49F2-44AF-B311-B970ADC3B885}" name="Counterparty_Country"/>
    <tableColumn id="12" xr3:uid="{A027B600-BC63-43D5-A5FA-1543ED32D333}" name="Channel"/>
    <tableColumn id="13" xr3:uid="{8B47B470-C92D-41B8-9F95-A21AE3AD05C2}" name="Branch_City"/>
    <tableColumn id="14" xr3:uid="{FEED6E88-31E4-4D5B-967F-41ABDED562D4}" name="Branch_State"/>
    <tableColumn id="15" xr3:uid="{EAD78800-67CC-465C-8C44-57EFA0C6E6AF}" name="Merchant_Category"/>
    <tableColumn id="16" xr3:uid="{A4EE5DCA-604E-4E17-B051-517F204B4B19}" name="Description"/>
    <tableColumn id="17" xr3:uid="{5BBE8CC4-DB91-457D-A0AD-2A8B121B9241}" name="Balance_After"/>
    <tableColumn id="18" xr3:uid="{D6012CA0-EEF7-41C6-878E-EF14E61AC594}" name="signed_amount"/>
    <tableColumn id="19" xr3:uid="{E163B6A3-EE7C-43A2-AFA4-92C7C67C370E}" name="Large_Transaction_Flag"/>
    <tableColumn id="20" xr3:uid="{232EE8B0-530D-40BC-A9D5-C89233E0615F}" name="Cash_Flag"/>
    <tableColumn id="21" xr3:uid="{9D1A70BC-252A-40C4-967D-1736AD27D23D}" name="Near_10k_Flag"/>
    <tableColumn id="22" xr3:uid="{476EE7A1-B359-40D9-954E-22D716EE4ABD}" name="Days_Since_Previous"/>
    <tableColumn id="23" xr3:uid="{0CDC10C9-2F64-4851-97CE-A07E610B1DC1}" name="Previous_Transaction_Type"/>
    <tableColumn id="24" xr3:uid="{A6EFA6A5-BBA5-4F48-BEB1-810946DAC704}" name="Pattern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26" sqref="B26"/>
    </sheetView>
  </sheetViews>
  <sheetFormatPr defaultRowHeight="13.8"/>
  <cols>
    <col min="1" max="1" width="28" customWidth="1"/>
    <col min="2" max="2" width="52" customWidth="1"/>
  </cols>
  <sheetData>
    <row r="1" spans="1:2" ht="17.399999999999999">
      <c r="A1" s="37" t="s">
        <v>0</v>
      </c>
      <c r="B1" s="37"/>
    </row>
    <row r="2" spans="1:2">
      <c r="A2" s="2" t="s">
        <v>1</v>
      </c>
      <c r="B2" s="21" t="s">
        <v>2</v>
      </c>
    </row>
    <row r="3" spans="1:2">
      <c r="A3" s="2" t="s">
        <v>3</v>
      </c>
      <c r="B3" s="21" t="s">
        <v>4</v>
      </c>
    </row>
    <row r="4" spans="1:2">
      <c r="A4" s="2" t="s">
        <v>5</v>
      </c>
      <c r="B4" s="22">
        <v>33346</v>
      </c>
    </row>
    <row r="5" spans="1:2">
      <c r="A5" s="2" t="s">
        <v>6</v>
      </c>
      <c r="B5" s="21" t="s">
        <v>7</v>
      </c>
    </row>
    <row r="6" spans="1:2">
      <c r="A6" s="2" t="s">
        <v>8</v>
      </c>
      <c r="B6" s="21" t="s">
        <v>9</v>
      </c>
    </row>
    <row r="7" spans="1:2">
      <c r="A7" s="2" t="s">
        <v>10</v>
      </c>
      <c r="B7" s="23">
        <v>92000</v>
      </c>
    </row>
    <row r="8" spans="1:2">
      <c r="A8" s="2" t="s">
        <v>11</v>
      </c>
      <c r="B8" s="21" t="s">
        <v>12</v>
      </c>
    </row>
    <row r="9" spans="1:2">
      <c r="A9" s="2" t="s">
        <v>13</v>
      </c>
      <c r="B9" s="22">
        <v>44453</v>
      </c>
    </row>
    <row r="10" spans="1:2">
      <c r="A10" s="2" t="s">
        <v>14</v>
      </c>
      <c r="B10" s="21" t="s">
        <v>15</v>
      </c>
    </row>
    <row r="11" spans="1:2">
      <c r="A11" s="2" t="s">
        <v>16</v>
      </c>
      <c r="B11" s="21" t="s">
        <v>17</v>
      </c>
    </row>
    <row r="12" spans="1:2">
      <c r="A12" s="2" t="s">
        <v>18</v>
      </c>
      <c r="B12" s="21" t="s">
        <v>19</v>
      </c>
    </row>
    <row r="13" spans="1:2">
      <c r="A13" s="2" t="s">
        <v>20</v>
      </c>
      <c r="B13" s="21" t="s">
        <v>21</v>
      </c>
    </row>
    <row r="14" spans="1:2">
      <c r="A14" s="2" t="s">
        <v>22</v>
      </c>
      <c r="B14" s="21" t="s">
        <v>23</v>
      </c>
    </row>
    <row r="15" spans="1:2">
      <c r="A15" s="2" t="s">
        <v>24</v>
      </c>
      <c r="B15" s="21" t="s">
        <v>25</v>
      </c>
    </row>
    <row r="16" spans="1:2" ht="27.6">
      <c r="A16" s="2" t="s">
        <v>26</v>
      </c>
      <c r="B16" s="21" t="s">
        <v>27</v>
      </c>
    </row>
    <row r="17" spans="1:2">
      <c r="A17" s="2" t="s">
        <v>28</v>
      </c>
      <c r="B17" s="21" t="s">
        <v>29</v>
      </c>
    </row>
    <row r="18" spans="1:2" ht="41.4">
      <c r="A18" s="2" t="s">
        <v>30</v>
      </c>
      <c r="B18" s="21" t="s">
        <v>31</v>
      </c>
    </row>
    <row r="19" spans="1:2">
      <c r="A19" s="1" t="s">
        <v>32</v>
      </c>
      <c r="B19" s="24">
        <v>60000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75"/>
  <sheetViews>
    <sheetView topLeftCell="D1332" zoomScale="90" zoomScaleNormal="90" workbookViewId="0">
      <selection activeCell="E14" sqref="E14"/>
    </sheetView>
  </sheetViews>
  <sheetFormatPr defaultRowHeight="13.8"/>
  <cols>
    <col min="1" max="1" width="14" bestFit="1" customWidth="1"/>
    <col min="2" max="2" width="16.19921875" bestFit="1" customWidth="1"/>
    <col min="3" max="3" width="16.59765625" bestFit="1" customWidth="1"/>
    <col min="4" max="4" width="11.296875" bestFit="1" customWidth="1"/>
    <col min="5" max="5" width="12.296875" bestFit="1" customWidth="1"/>
    <col min="6" max="6" width="8.796875" bestFit="1" customWidth="1"/>
    <col min="7" max="7" width="16.59765625" bestFit="1" customWidth="1"/>
    <col min="8" max="8" width="9.8984375" bestFit="1" customWidth="1"/>
    <col min="9" max="9" width="9" bestFit="1" customWidth="1"/>
    <col min="10" max="10" width="22.796875" bestFit="1" customWidth="1"/>
    <col min="11" max="11" width="20.59765625" bestFit="1" customWidth="1"/>
    <col min="12" max="12" width="9.5" bestFit="1" customWidth="1"/>
    <col min="13" max="13" width="11.59765625" bestFit="1" customWidth="1"/>
    <col min="14" max="14" width="12.59765625" bestFit="1" customWidth="1"/>
    <col min="15" max="15" width="18.19921875" bestFit="1" customWidth="1"/>
    <col min="16" max="16" width="22.59765625" bestFit="1" customWidth="1"/>
    <col min="17" max="17" width="13.296875" bestFit="1" customWidth="1"/>
  </cols>
  <sheetData>
    <row r="1" spans="1:17">
      <c r="A1" s="4" t="s">
        <v>33</v>
      </c>
      <c r="B1" s="4" t="s">
        <v>34</v>
      </c>
      <c r="C1" s="4" t="s">
        <v>35</v>
      </c>
      <c r="D1" s="4" t="s">
        <v>16</v>
      </c>
      <c r="E1" s="4" t="s">
        <v>1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</row>
    <row r="2" spans="1:17">
      <c r="A2" t="s">
        <v>48</v>
      </c>
      <c r="B2" s="5">
        <v>46082</v>
      </c>
      <c r="C2" t="s">
        <v>49</v>
      </c>
      <c r="D2" t="s">
        <v>17</v>
      </c>
      <c r="E2" t="s">
        <v>2</v>
      </c>
      <c r="F2" t="s">
        <v>50</v>
      </c>
      <c r="G2" t="s">
        <v>51</v>
      </c>
      <c r="H2" s="6">
        <v>15.33</v>
      </c>
      <c r="I2" t="s">
        <v>52</v>
      </c>
      <c r="J2" t="s">
        <v>53</v>
      </c>
      <c r="K2" t="s">
        <v>54</v>
      </c>
      <c r="L2" t="s">
        <v>55</v>
      </c>
      <c r="O2" t="s">
        <v>56</v>
      </c>
      <c r="P2" t="s">
        <v>57</v>
      </c>
      <c r="Q2" s="6">
        <v>59705.599999999999</v>
      </c>
    </row>
    <row r="3" spans="1:17">
      <c r="A3" t="s">
        <v>58</v>
      </c>
      <c r="B3" s="5">
        <v>46082</v>
      </c>
      <c r="C3" t="s">
        <v>59</v>
      </c>
      <c r="D3" t="s">
        <v>17</v>
      </c>
      <c r="E3" t="s">
        <v>2</v>
      </c>
      <c r="F3" t="s">
        <v>50</v>
      </c>
      <c r="G3" t="s">
        <v>51</v>
      </c>
      <c r="H3" s="6">
        <v>55.83</v>
      </c>
      <c r="I3" t="s">
        <v>52</v>
      </c>
      <c r="J3" t="s">
        <v>60</v>
      </c>
      <c r="K3" t="s">
        <v>54</v>
      </c>
      <c r="L3" t="s">
        <v>55</v>
      </c>
      <c r="O3" t="s">
        <v>61</v>
      </c>
      <c r="P3" t="s">
        <v>62</v>
      </c>
      <c r="Q3" s="6">
        <v>59831.99</v>
      </c>
    </row>
    <row r="4" spans="1:17">
      <c r="A4" t="s">
        <v>63</v>
      </c>
      <c r="B4" s="5">
        <v>46082</v>
      </c>
      <c r="C4" t="s">
        <v>64</v>
      </c>
      <c r="D4" t="s">
        <v>17</v>
      </c>
      <c r="E4" t="s">
        <v>2</v>
      </c>
      <c r="F4" t="s">
        <v>50</v>
      </c>
      <c r="G4" t="s">
        <v>51</v>
      </c>
      <c r="H4" s="6">
        <v>21.78</v>
      </c>
      <c r="I4" t="s">
        <v>52</v>
      </c>
      <c r="J4" t="s">
        <v>65</v>
      </c>
      <c r="K4" t="s">
        <v>54</v>
      </c>
      <c r="L4" t="s">
        <v>55</v>
      </c>
      <c r="O4" t="s">
        <v>66</v>
      </c>
      <c r="P4" t="s">
        <v>67</v>
      </c>
      <c r="Q4" s="6">
        <v>59810.21</v>
      </c>
    </row>
    <row r="5" spans="1:17">
      <c r="A5" t="s">
        <v>68</v>
      </c>
      <c r="B5" s="5">
        <v>46082</v>
      </c>
      <c r="C5" t="s">
        <v>69</v>
      </c>
      <c r="D5" t="s">
        <v>17</v>
      </c>
      <c r="E5" t="s">
        <v>2</v>
      </c>
      <c r="F5" t="s">
        <v>50</v>
      </c>
      <c r="G5" t="s">
        <v>51</v>
      </c>
      <c r="H5" s="6">
        <v>112.18</v>
      </c>
      <c r="I5" t="s">
        <v>52</v>
      </c>
      <c r="J5" t="s">
        <v>65</v>
      </c>
      <c r="K5" t="s">
        <v>54</v>
      </c>
      <c r="L5" t="s">
        <v>55</v>
      </c>
      <c r="O5" t="s">
        <v>66</v>
      </c>
      <c r="P5" t="s">
        <v>67</v>
      </c>
      <c r="Q5" s="6">
        <v>59887.82</v>
      </c>
    </row>
    <row r="6" spans="1:17">
      <c r="A6" t="s">
        <v>70</v>
      </c>
      <c r="B6" s="5">
        <v>46082</v>
      </c>
      <c r="C6" t="s">
        <v>71</v>
      </c>
      <c r="D6" t="s">
        <v>17</v>
      </c>
      <c r="E6" t="s">
        <v>2</v>
      </c>
      <c r="F6" t="s">
        <v>50</v>
      </c>
      <c r="G6" t="s">
        <v>72</v>
      </c>
      <c r="H6" s="6">
        <v>44.88</v>
      </c>
      <c r="I6" t="s">
        <v>52</v>
      </c>
      <c r="J6" t="s">
        <v>73</v>
      </c>
      <c r="K6" t="s">
        <v>54</v>
      </c>
      <c r="L6" t="s">
        <v>74</v>
      </c>
      <c r="O6" t="s">
        <v>75</v>
      </c>
      <c r="P6" t="s">
        <v>76</v>
      </c>
      <c r="Q6" s="6">
        <v>59660.72</v>
      </c>
    </row>
    <row r="7" spans="1:17">
      <c r="A7" t="s">
        <v>77</v>
      </c>
      <c r="B7" s="5">
        <v>46082</v>
      </c>
      <c r="C7" t="s">
        <v>78</v>
      </c>
      <c r="D7" t="s">
        <v>17</v>
      </c>
      <c r="E7" t="s">
        <v>2</v>
      </c>
      <c r="F7" t="s">
        <v>50</v>
      </c>
      <c r="G7" t="s">
        <v>51</v>
      </c>
      <c r="H7" s="6">
        <v>89.28</v>
      </c>
      <c r="I7" t="s">
        <v>52</v>
      </c>
      <c r="J7" t="s">
        <v>65</v>
      </c>
      <c r="K7" t="s">
        <v>54</v>
      </c>
      <c r="L7" t="s">
        <v>55</v>
      </c>
      <c r="O7" t="s">
        <v>66</v>
      </c>
      <c r="P7" t="s">
        <v>67</v>
      </c>
      <c r="Q7" s="6">
        <v>59720.93</v>
      </c>
    </row>
    <row r="8" spans="1:17">
      <c r="A8" t="s">
        <v>79</v>
      </c>
      <c r="B8" s="5">
        <v>46083</v>
      </c>
      <c r="C8" t="s">
        <v>80</v>
      </c>
      <c r="D8" t="s">
        <v>17</v>
      </c>
      <c r="E8" t="s">
        <v>2</v>
      </c>
      <c r="F8" t="s">
        <v>50</v>
      </c>
      <c r="G8" t="s">
        <v>51</v>
      </c>
      <c r="H8" s="6">
        <v>39.39</v>
      </c>
      <c r="I8" t="s">
        <v>52</v>
      </c>
      <c r="J8" t="s">
        <v>81</v>
      </c>
      <c r="K8" t="s">
        <v>54</v>
      </c>
      <c r="L8" t="s">
        <v>55</v>
      </c>
      <c r="O8" t="s">
        <v>82</v>
      </c>
      <c r="P8" t="s">
        <v>83</v>
      </c>
      <c r="Q8" s="6">
        <v>59621.33</v>
      </c>
    </row>
    <row r="9" spans="1:17">
      <c r="A9" t="s">
        <v>84</v>
      </c>
      <c r="B9" s="5">
        <v>46083</v>
      </c>
      <c r="C9" t="s">
        <v>85</v>
      </c>
      <c r="D9" t="s">
        <v>17</v>
      </c>
      <c r="E9" t="s">
        <v>2</v>
      </c>
      <c r="F9" t="s">
        <v>50</v>
      </c>
      <c r="G9" t="s">
        <v>51</v>
      </c>
      <c r="H9" s="6">
        <v>64.77</v>
      </c>
      <c r="I9" t="s">
        <v>52</v>
      </c>
      <c r="J9" t="s">
        <v>60</v>
      </c>
      <c r="K9" t="s">
        <v>54</v>
      </c>
      <c r="L9" t="s">
        <v>55</v>
      </c>
      <c r="O9" t="s">
        <v>61</v>
      </c>
      <c r="P9" t="s">
        <v>62</v>
      </c>
      <c r="Q9" s="6">
        <v>59504.79</v>
      </c>
    </row>
    <row r="10" spans="1:17">
      <c r="A10" t="s">
        <v>86</v>
      </c>
      <c r="B10" s="5">
        <v>46083</v>
      </c>
      <c r="C10" t="s">
        <v>87</v>
      </c>
      <c r="D10" t="s">
        <v>17</v>
      </c>
      <c r="E10" t="s">
        <v>2</v>
      </c>
      <c r="F10" t="s">
        <v>50</v>
      </c>
      <c r="G10" t="s">
        <v>88</v>
      </c>
      <c r="H10" s="6">
        <v>160</v>
      </c>
      <c r="I10" t="s">
        <v>52</v>
      </c>
      <c r="J10" t="s">
        <v>89</v>
      </c>
      <c r="K10" t="s">
        <v>54</v>
      </c>
      <c r="L10" t="s">
        <v>90</v>
      </c>
      <c r="M10" t="s">
        <v>91</v>
      </c>
      <c r="N10" t="s">
        <v>12</v>
      </c>
      <c r="O10" t="s">
        <v>92</v>
      </c>
      <c r="P10" t="s">
        <v>93</v>
      </c>
      <c r="Q10" s="6">
        <v>59310.9</v>
      </c>
    </row>
    <row r="11" spans="1:17">
      <c r="A11" t="s">
        <v>94</v>
      </c>
      <c r="B11" s="5">
        <v>46083</v>
      </c>
      <c r="C11" t="s">
        <v>95</v>
      </c>
      <c r="D11" t="s">
        <v>17</v>
      </c>
      <c r="E11" t="s">
        <v>2</v>
      </c>
      <c r="F11" t="s">
        <v>50</v>
      </c>
      <c r="G11" t="s">
        <v>51</v>
      </c>
      <c r="H11" s="6">
        <v>24.29</v>
      </c>
      <c r="I11" t="s">
        <v>52</v>
      </c>
      <c r="J11" t="s">
        <v>60</v>
      </c>
      <c r="K11" t="s">
        <v>54</v>
      </c>
      <c r="L11" t="s">
        <v>55</v>
      </c>
      <c r="O11" t="s">
        <v>61</v>
      </c>
      <c r="P11" t="s">
        <v>62</v>
      </c>
      <c r="Q11" s="6">
        <v>59569.56</v>
      </c>
    </row>
    <row r="12" spans="1:17">
      <c r="A12" t="s">
        <v>96</v>
      </c>
      <c r="B12" s="5">
        <v>46083</v>
      </c>
      <c r="C12" t="s">
        <v>97</v>
      </c>
      <c r="D12" t="s">
        <v>17</v>
      </c>
      <c r="E12" t="s">
        <v>2</v>
      </c>
      <c r="F12" t="s">
        <v>50</v>
      </c>
      <c r="G12" t="s">
        <v>51</v>
      </c>
      <c r="H12" s="6">
        <v>18.89</v>
      </c>
      <c r="I12" t="s">
        <v>52</v>
      </c>
      <c r="J12" t="s">
        <v>81</v>
      </c>
      <c r="K12" t="s">
        <v>54</v>
      </c>
      <c r="L12" t="s">
        <v>55</v>
      </c>
      <c r="O12" t="s">
        <v>82</v>
      </c>
      <c r="P12" t="s">
        <v>83</v>
      </c>
      <c r="Q12" s="6">
        <v>59470.9</v>
      </c>
    </row>
    <row r="13" spans="1:17">
      <c r="A13" t="s">
        <v>98</v>
      </c>
      <c r="B13" s="5">
        <v>46083</v>
      </c>
      <c r="C13" t="s">
        <v>99</v>
      </c>
      <c r="D13" t="s">
        <v>17</v>
      </c>
      <c r="E13" t="s">
        <v>2</v>
      </c>
      <c r="F13" t="s">
        <v>50</v>
      </c>
      <c r="G13" t="s">
        <v>100</v>
      </c>
      <c r="H13" s="6">
        <v>15</v>
      </c>
      <c r="I13" t="s">
        <v>52</v>
      </c>
      <c r="J13" t="s">
        <v>101</v>
      </c>
      <c r="K13" t="s">
        <v>54</v>
      </c>
      <c r="L13" t="s">
        <v>102</v>
      </c>
      <c r="O13" t="s">
        <v>103</v>
      </c>
      <c r="P13" t="s">
        <v>104</v>
      </c>
      <c r="Q13" s="6">
        <v>59489.79</v>
      </c>
    </row>
    <row r="14" spans="1:17">
      <c r="A14" t="s">
        <v>105</v>
      </c>
      <c r="B14" s="5">
        <v>46083</v>
      </c>
      <c r="C14" t="s">
        <v>106</v>
      </c>
      <c r="D14" t="s">
        <v>17</v>
      </c>
      <c r="E14" t="s">
        <v>2</v>
      </c>
      <c r="F14" t="s">
        <v>50</v>
      </c>
      <c r="G14" t="s">
        <v>100</v>
      </c>
      <c r="H14" s="6">
        <v>1850</v>
      </c>
      <c r="I14" t="s">
        <v>52</v>
      </c>
      <c r="J14" t="s">
        <v>107</v>
      </c>
      <c r="K14" t="s">
        <v>54</v>
      </c>
      <c r="L14" t="s">
        <v>102</v>
      </c>
      <c r="O14" t="s">
        <v>108</v>
      </c>
      <c r="P14" t="s">
        <v>109</v>
      </c>
      <c r="Q14" s="6">
        <v>49199.23</v>
      </c>
    </row>
    <row r="15" spans="1:17">
      <c r="A15" t="s">
        <v>110</v>
      </c>
      <c r="B15" s="5">
        <v>46083</v>
      </c>
      <c r="C15" t="s">
        <v>111</v>
      </c>
      <c r="D15" t="s">
        <v>17</v>
      </c>
      <c r="E15" t="s">
        <v>2</v>
      </c>
      <c r="F15" t="s">
        <v>50</v>
      </c>
      <c r="G15" t="s">
        <v>51</v>
      </c>
      <c r="H15" s="6">
        <v>15.61</v>
      </c>
      <c r="I15" t="s">
        <v>52</v>
      </c>
      <c r="J15" t="s">
        <v>53</v>
      </c>
      <c r="K15" t="s">
        <v>54</v>
      </c>
      <c r="L15" t="s">
        <v>55</v>
      </c>
      <c r="O15" t="s">
        <v>56</v>
      </c>
      <c r="P15" t="s">
        <v>57</v>
      </c>
      <c r="Q15" s="6">
        <v>59593.85</v>
      </c>
    </row>
    <row r="16" spans="1:17">
      <c r="A16" t="s">
        <v>112</v>
      </c>
      <c r="B16" s="5">
        <v>46083</v>
      </c>
      <c r="C16" t="s">
        <v>113</v>
      </c>
      <c r="D16" t="s">
        <v>17</v>
      </c>
      <c r="E16" t="s">
        <v>2</v>
      </c>
      <c r="F16" t="s">
        <v>50</v>
      </c>
      <c r="G16" t="s">
        <v>100</v>
      </c>
      <c r="H16" s="6">
        <v>11.87</v>
      </c>
      <c r="I16" t="s">
        <v>52</v>
      </c>
      <c r="J16" t="s">
        <v>114</v>
      </c>
      <c r="K16" t="s">
        <v>54</v>
      </c>
      <c r="L16" t="s">
        <v>102</v>
      </c>
      <c r="O16" t="s">
        <v>103</v>
      </c>
      <c r="P16" t="s">
        <v>104</v>
      </c>
      <c r="Q16" s="6">
        <v>59609.46</v>
      </c>
    </row>
    <row r="17" spans="1:17">
      <c r="A17" t="s">
        <v>115</v>
      </c>
      <c r="B17" s="5">
        <v>46084</v>
      </c>
      <c r="C17" t="s">
        <v>116</v>
      </c>
      <c r="D17" t="s">
        <v>17</v>
      </c>
      <c r="E17" t="s">
        <v>2</v>
      </c>
      <c r="F17" t="s">
        <v>50</v>
      </c>
      <c r="G17" t="s">
        <v>51</v>
      </c>
      <c r="H17" s="6">
        <v>47.09</v>
      </c>
      <c r="I17" t="s">
        <v>52</v>
      </c>
      <c r="J17" t="s">
        <v>65</v>
      </c>
      <c r="K17" t="s">
        <v>54</v>
      </c>
      <c r="L17" t="s">
        <v>55</v>
      </c>
      <c r="O17" t="s">
        <v>66</v>
      </c>
      <c r="P17" t="s">
        <v>67</v>
      </c>
      <c r="Q17" s="6">
        <v>59224.03</v>
      </c>
    </row>
    <row r="18" spans="1:17">
      <c r="A18" t="s">
        <v>117</v>
      </c>
      <c r="B18" s="5">
        <v>46084</v>
      </c>
      <c r="C18" t="s">
        <v>118</v>
      </c>
      <c r="D18" t="s">
        <v>17</v>
      </c>
      <c r="E18" t="s">
        <v>2</v>
      </c>
      <c r="F18" t="s">
        <v>50</v>
      </c>
      <c r="G18" t="s">
        <v>100</v>
      </c>
      <c r="H18" s="6">
        <v>15</v>
      </c>
      <c r="I18" t="s">
        <v>52</v>
      </c>
      <c r="J18" t="s">
        <v>101</v>
      </c>
      <c r="K18" t="s">
        <v>54</v>
      </c>
      <c r="L18" t="s">
        <v>102</v>
      </c>
      <c r="O18" t="s">
        <v>103</v>
      </c>
      <c r="P18" t="s">
        <v>104</v>
      </c>
      <c r="Q18" s="6">
        <v>59181.88</v>
      </c>
    </row>
    <row r="19" spans="1:17">
      <c r="A19" t="s">
        <v>119</v>
      </c>
      <c r="B19" s="5">
        <v>46084</v>
      </c>
      <c r="C19" t="s">
        <v>120</v>
      </c>
      <c r="D19" t="s">
        <v>17</v>
      </c>
      <c r="E19" t="s">
        <v>2</v>
      </c>
      <c r="F19" t="s">
        <v>50</v>
      </c>
      <c r="G19" t="s">
        <v>51</v>
      </c>
      <c r="H19" s="6">
        <v>8.09</v>
      </c>
      <c r="I19" t="s">
        <v>52</v>
      </c>
      <c r="J19" t="s">
        <v>121</v>
      </c>
      <c r="K19" t="s">
        <v>54</v>
      </c>
      <c r="L19" t="s">
        <v>55</v>
      </c>
      <c r="O19" t="s">
        <v>122</v>
      </c>
      <c r="P19" t="s">
        <v>123</v>
      </c>
      <c r="Q19" s="6">
        <v>59215.94</v>
      </c>
    </row>
    <row r="20" spans="1:17">
      <c r="A20" t="s">
        <v>124</v>
      </c>
      <c r="B20" s="5">
        <v>46084</v>
      </c>
      <c r="C20" t="s">
        <v>125</v>
      </c>
      <c r="D20" t="s">
        <v>17</v>
      </c>
      <c r="E20" t="s">
        <v>2</v>
      </c>
      <c r="F20" t="s">
        <v>50</v>
      </c>
      <c r="G20" t="s">
        <v>51</v>
      </c>
      <c r="H20" s="6">
        <v>26.49</v>
      </c>
      <c r="I20" t="s">
        <v>52</v>
      </c>
      <c r="J20" t="s">
        <v>126</v>
      </c>
      <c r="K20" t="s">
        <v>54</v>
      </c>
      <c r="L20" t="s">
        <v>55</v>
      </c>
      <c r="O20" t="s">
        <v>56</v>
      </c>
      <c r="P20" t="s">
        <v>57</v>
      </c>
      <c r="Q20" s="6">
        <v>59284.41</v>
      </c>
    </row>
    <row r="21" spans="1:17">
      <c r="A21" t="s">
        <v>127</v>
      </c>
      <c r="B21" s="5">
        <v>46084</v>
      </c>
      <c r="C21" t="s">
        <v>128</v>
      </c>
      <c r="D21" t="s">
        <v>17</v>
      </c>
      <c r="E21" t="s">
        <v>2</v>
      </c>
      <c r="F21" t="s">
        <v>50</v>
      </c>
      <c r="G21" t="s">
        <v>100</v>
      </c>
      <c r="H21" s="6">
        <v>13.29</v>
      </c>
      <c r="I21" t="s">
        <v>52</v>
      </c>
      <c r="J21" t="s">
        <v>114</v>
      </c>
      <c r="K21" t="s">
        <v>54</v>
      </c>
      <c r="L21" t="s">
        <v>102</v>
      </c>
      <c r="O21" t="s">
        <v>103</v>
      </c>
      <c r="P21" t="s">
        <v>104</v>
      </c>
      <c r="Q21" s="6">
        <v>59271.12</v>
      </c>
    </row>
    <row r="22" spans="1:17">
      <c r="A22" t="s">
        <v>129</v>
      </c>
      <c r="B22" s="5">
        <v>46084</v>
      </c>
      <c r="C22" t="s">
        <v>130</v>
      </c>
      <c r="D22" t="s">
        <v>17</v>
      </c>
      <c r="E22" t="s">
        <v>2</v>
      </c>
      <c r="F22" t="s">
        <v>50</v>
      </c>
      <c r="G22" t="s">
        <v>51</v>
      </c>
      <c r="H22" s="6">
        <v>19.059999999999999</v>
      </c>
      <c r="I22" t="s">
        <v>52</v>
      </c>
      <c r="J22" t="s">
        <v>81</v>
      </c>
      <c r="K22" t="s">
        <v>54</v>
      </c>
      <c r="L22" t="s">
        <v>55</v>
      </c>
      <c r="O22" t="s">
        <v>82</v>
      </c>
      <c r="P22" t="s">
        <v>83</v>
      </c>
      <c r="Q22" s="6">
        <v>59196.88</v>
      </c>
    </row>
    <row r="23" spans="1:17">
      <c r="A23" t="s">
        <v>131</v>
      </c>
      <c r="B23" s="5">
        <v>46085</v>
      </c>
      <c r="C23" t="s">
        <v>132</v>
      </c>
      <c r="D23" t="s">
        <v>17</v>
      </c>
      <c r="E23" t="s">
        <v>2</v>
      </c>
      <c r="F23" t="s">
        <v>50</v>
      </c>
      <c r="G23" t="s">
        <v>100</v>
      </c>
      <c r="H23" s="6">
        <v>22.91</v>
      </c>
      <c r="I23" t="s">
        <v>52</v>
      </c>
      <c r="J23" t="s">
        <v>114</v>
      </c>
      <c r="K23" t="s">
        <v>54</v>
      </c>
      <c r="L23" t="s">
        <v>102</v>
      </c>
      <c r="O23" t="s">
        <v>103</v>
      </c>
      <c r="P23" t="s">
        <v>104</v>
      </c>
      <c r="Q23" s="6">
        <v>59039.37</v>
      </c>
    </row>
    <row r="24" spans="1:17">
      <c r="A24" t="s">
        <v>133</v>
      </c>
      <c r="B24" s="5">
        <v>46085</v>
      </c>
      <c r="C24" t="s">
        <v>134</v>
      </c>
      <c r="D24" t="s">
        <v>17</v>
      </c>
      <c r="E24" t="s">
        <v>2</v>
      </c>
      <c r="F24" t="s">
        <v>50</v>
      </c>
      <c r="G24" t="s">
        <v>51</v>
      </c>
      <c r="H24" s="6">
        <v>59.79</v>
      </c>
      <c r="I24" t="s">
        <v>52</v>
      </c>
      <c r="J24" t="s">
        <v>60</v>
      </c>
      <c r="K24" t="s">
        <v>54</v>
      </c>
      <c r="L24" t="s">
        <v>55</v>
      </c>
      <c r="O24" t="s">
        <v>61</v>
      </c>
      <c r="P24" t="s">
        <v>62</v>
      </c>
      <c r="Q24" s="6">
        <v>59112.21</v>
      </c>
    </row>
    <row r="25" spans="1:17">
      <c r="A25" t="s">
        <v>135</v>
      </c>
      <c r="B25" s="5">
        <v>46085</v>
      </c>
      <c r="C25" t="s">
        <v>136</v>
      </c>
      <c r="D25" t="s">
        <v>17</v>
      </c>
      <c r="E25" t="s">
        <v>2</v>
      </c>
      <c r="F25" t="s">
        <v>50</v>
      </c>
      <c r="G25" t="s">
        <v>51</v>
      </c>
      <c r="H25" s="6">
        <v>9.8800000000000008</v>
      </c>
      <c r="I25" t="s">
        <v>52</v>
      </c>
      <c r="J25" t="s">
        <v>121</v>
      </c>
      <c r="K25" t="s">
        <v>54</v>
      </c>
      <c r="L25" t="s">
        <v>55</v>
      </c>
      <c r="O25" t="s">
        <v>122</v>
      </c>
      <c r="P25" t="s">
        <v>123</v>
      </c>
      <c r="Q25" s="6">
        <v>59172</v>
      </c>
    </row>
    <row r="26" spans="1:17">
      <c r="A26" t="s">
        <v>137</v>
      </c>
      <c r="B26" s="5">
        <v>46085</v>
      </c>
      <c r="C26" t="s">
        <v>138</v>
      </c>
      <c r="D26" t="s">
        <v>17</v>
      </c>
      <c r="E26" t="s">
        <v>2</v>
      </c>
      <c r="F26" t="s">
        <v>50</v>
      </c>
      <c r="G26" t="s">
        <v>51</v>
      </c>
      <c r="H26" s="6">
        <v>139.13</v>
      </c>
      <c r="I26" t="s">
        <v>52</v>
      </c>
      <c r="J26" t="s">
        <v>65</v>
      </c>
      <c r="K26" t="s">
        <v>54</v>
      </c>
      <c r="L26" t="s">
        <v>55</v>
      </c>
      <c r="O26" t="s">
        <v>66</v>
      </c>
      <c r="P26" t="s">
        <v>67</v>
      </c>
      <c r="Q26" s="6">
        <v>58830.35</v>
      </c>
    </row>
    <row r="27" spans="1:17">
      <c r="A27" t="s">
        <v>139</v>
      </c>
      <c r="B27" s="5">
        <v>46085</v>
      </c>
      <c r="C27" t="s">
        <v>140</v>
      </c>
      <c r="D27" t="s">
        <v>17</v>
      </c>
      <c r="E27" t="s">
        <v>2</v>
      </c>
      <c r="F27" t="s">
        <v>50</v>
      </c>
      <c r="G27" t="s">
        <v>51</v>
      </c>
      <c r="H27" s="6">
        <v>56.09</v>
      </c>
      <c r="I27" t="s">
        <v>52</v>
      </c>
      <c r="J27" t="s">
        <v>60</v>
      </c>
      <c r="K27" t="s">
        <v>54</v>
      </c>
      <c r="L27" t="s">
        <v>55</v>
      </c>
      <c r="O27" t="s">
        <v>61</v>
      </c>
      <c r="P27" t="s">
        <v>62</v>
      </c>
      <c r="Q27" s="6">
        <v>58983.28</v>
      </c>
    </row>
    <row r="28" spans="1:17">
      <c r="A28" t="s">
        <v>141</v>
      </c>
      <c r="B28" s="5">
        <v>46085</v>
      </c>
      <c r="C28" t="s">
        <v>142</v>
      </c>
      <c r="D28" t="s">
        <v>17</v>
      </c>
      <c r="E28" t="s">
        <v>2</v>
      </c>
      <c r="F28" t="s">
        <v>50</v>
      </c>
      <c r="G28" t="s">
        <v>51</v>
      </c>
      <c r="H28" s="6">
        <v>13.8</v>
      </c>
      <c r="I28" t="s">
        <v>52</v>
      </c>
      <c r="J28" t="s">
        <v>81</v>
      </c>
      <c r="K28" t="s">
        <v>54</v>
      </c>
      <c r="L28" t="s">
        <v>55</v>
      </c>
      <c r="O28" t="s">
        <v>82</v>
      </c>
      <c r="P28" t="s">
        <v>83</v>
      </c>
      <c r="Q28" s="6">
        <v>58969.48</v>
      </c>
    </row>
    <row r="29" spans="1:17">
      <c r="A29" t="s">
        <v>143</v>
      </c>
      <c r="B29" s="5">
        <v>46085</v>
      </c>
      <c r="C29" t="s">
        <v>144</v>
      </c>
      <c r="D29" t="s">
        <v>17</v>
      </c>
      <c r="E29" t="s">
        <v>2</v>
      </c>
      <c r="F29" t="s">
        <v>50</v>
      </c>
      <c r="G29" t="s">
        <v>51</v>
      </c>
      <c r="H29" s="6">
        <v>39.68</v>
      </c>
      <c r="I29" t="s">
        <v>52</v>
      </c>
      <c r="J29" t="s">
        <v>126</v>
      </c>
      <c r="K29" t="s">
        <v>54</v>
      </c>
      <c r="L29" t="s">
        <v>55</v>
      </c>
      <c r="O29" t="s">
        <v>56</v>
      </c>
      <c r="P29" t="s">
        <v>57</v>
      </c>
      <c r="Q29" s="6">
        <v>59072.53</v>
      </c>
    </row>
    <row r="30" spans="1:17">
      <c r="A30" t="s">
        <v>145</v>
      </c>
      <c r="B30" s="5">
        <v>46085</v>
      </c>
      <c r="C30" t="s">
        <v>146</v>
      </c>
      <c r="D30" t="s">
        <v>17</v>
      </c>
      <c r="E30" t="s">
        <v>2</v>
      </c>
      <c r="F30" t="s">
        <v>50</v>
      </c>
      <c r="G30" t="s">
        <v>51</v>
      </c>
      <c r="H30" s="6">
        <v>10.25</v>
      </c>
      <c r="I30" t="s">
        <v>52</v>
      </c>
      <c r="J30" t="s">
        <v>121</v>
      </c>
      <c r="K30" t="s">
        <v>54</v>
      </c>
      <c r="L30" t="s">
        <v>55</v>
      </c>
      <c r="O30" t="s">
        <v>122</v>
      </c>
      <c r="P30" t="s">
        <v>123</v>
      </c>
      <c r="Q30" s="6">
        <v>59062.28</v>
      </c>
    </row>
    <row r="31" spans="1:17">
      <c r="A31" t="s">
        <v>147</v>
      </c>
      <c r="B31" s="5">
        <v>46085</v>
      </c>
      <c r="C31" t="s">
        <v>148</v>
      </c>
      <c r="D31" t="s">
        <v>17</v>
      </c>
      <c r="E31" t="s">
        <v>2</v>
      </c>
      <c r="F31" t="s">
        <v>149</v>
      </c>
      <c r="G31" t="s">
        <v>72</v>
      </c>
      <c r="H31" s="6">
        <v>67.75</v>
      </c>
      <c r="I31" t="s">
        <v>52</v>
      </c>
      <c r="J31" t="s">
        <v>150</v>
      </c>
      <c r="K31" t="s">
        <v>54</v>
      </c>
      <c r="L31" t="s">
        <v>74</v>
      </c>
      <c r="O31" t="s">
        <v>75</v>
      </c>
      <c r="P31" t="s">
        <v>76</v>
      </c>
      <c r="Q31" s="6">
        <v>58898.1</v>
      </c>
    </row>
    <row r="32" spans="1:17">
      <c r="A32" t="s">
        <v>151</v>
      </c>
      <c r="B32" s="5">
        <v>46086</v>
      </c>
      <c r="C32" t="s">
        <v>152</v>
      </c>
      <c r="D32" t="s">
        <v>17</v>
      </c>
      <c r="E32" t="s">
        <v>2</v>
      </c>
      <c r="F32" t="s">
        <v>50</v>
      </c>
      <c r="G32" t="s">
        <v>51</v>
      </c>
      <c r="H32" s="6">
        <v>33.409999999999997</v>
      </c>
      <c r="I32" t="s">
        <v>52</v>
      </c>
      <c r="J32" t="s">
        <v>81</v>
      </c>
      <c r="K32" t="s">
        <v>54</v>
      </c>
      <c r="L32" t="s">
        <v>55</v>
      </c>
      <c r="O32" t="s">
        <v>82</v>
      </c>
      <c r="P32" t="s">
        <v>83</v>
      </c>
      <c r="Q32" s="6">
        <v>58840.39</v>
      </c>
    </row>
    <row r="33" spans="1:17">
      <c r="A33" t="s">
        <v>153</v>
      </c>
      <c r="B33" s="5">
        <v>46086</v>
      </c>
      <c r="C33" t="s">
        <v>154</v>
      </c>
      <c r="D33" t="s">
        <v>17</v>
      </c>
      <c r="E33" t="s">
        <v>2</v>
      </c>
      <c r="F33" t="s">
        <v>50</v>
      </c>
      <c r="G33" t="s">
        <v>100</v>
      </c>
      <c r="H33" s="6">
        <v>21.49</v>
      </c>
      <c r="I33" t="s">
        <v>52</v>
      </c>
      <c r="J33" t="s">
        <v>114</v>
      </c>
      <c r="K33" t="s">
        <v>54</v>
      </c>
      <c r="L33" t="s">
        <v>102</v>
      </c>
      <c r="O33" t="s">
        <v>103</v>
      </c>
      <c r="P33" t="s">
        <v>104</v>
      </c>
      <c r="Q33" s="6">
        <v>58785.27</v>
      </c>
    </row>
    <row r="34" spans="1:17">
      <c r="A34" t="s">
        <v>155</v>
      </c>
      <c r="B34" s="5">
        <v>46086</v>
      </c>
      <c r="C34" t="s">
        <v>156</v>
      </c>
      <c r="D34" t="s">
        <v>17</v>
      </c>
      <c r="E34" t="s">
        <v>2</v>
      </c>
      <c r="F34" t="s">
        <v>50</v>
      </c>
      <c r="G34" t="s">
        <v>51</v>
      </c>
      <c r="H34" s="6">
        <v>7.35</v>
      </c>
      <c r="I34" t="s">
        <v>52</v>
      </c>
      <c r="J34" t="s">
        <v>53</v>
      </c>
      <c r="K34" t="s">
        <v>54</v>
      </c>
      <c r="L34" t="s">
        <v>55</v>
      </c>
      <c r="O34" t="s">
        <v>56</v>
      </c>
      <c r="P34" t="s">
        <v>57</v>
      </c>
      <c r="Q34" s="6">
        <v>58833.04</v>
      </c>
    </row>
    <row r="35" spans="1:17">
      <c r="A35" t="s">
        <v>157</v>
      </c>
      <c r="B35" s="5">
        <v>46086</v>
      </c>
      <c r="C35" t="s">
        <v>158</v>
      </c>
      <c r="D35" t="s">
        <v>17</v>
      </c>
      <c r="E35" t="s">
        <v>2</v>
      </c>
      <c r="F35" t="s">
        <v>50</v>
      </c>
      <c r="G35" t="s">
        <v>51</v>
      </c>
      <c r="H35" s="6">
        <v>26.28</v>
      </c>
      <c r="I35" t="s">
        <v>52</v>
      </c>
      <c r="J35" t="s">
        <v>60</v>
      </c>
      <c r="K35" t="s">
        <v>54</v>
      </c>
      <c r="L35" t="s">
        <v>55</v>
      </c>
      <c r="O35" t="s">
        <v>61</v>
      </c>
      <c r="P35" t="s">
        <v>62</v>
      </c>
      <c r="Q35" s="6">
        <v>58806.76</v>
      </c>
    </row>
    <row r="36" spans="1:17">
      <c r="A36" t="s">
        <v>159</v>
      </c>
      <c r="B36" s="5">
        <v>46086</v>
      </c>
      <c r="C36" t="s">
        <v>160</v>
      </c>
      <c r="D36" t="s">
        <v>17</v>
      </c>
      <c r="E36" t="s">
        <v>2</v>
      </c>
      <c r="F36" t="s">
        <v>50</v>
      </c>
      <c r="G36" t="s">
        <v>100</v>
      </c>
      <c r="H36" s="6">
        <v>12.48</v>
      </c>
      <c r="I36" t="s">
        <v>52</v>
      </c>
      <c r="J36" t="s">
        <v>114</v>
      </c>
      <c r="K36" t="s">
        <v>54</v>
      </c>
      <c r="L36" t="s">
        <v>102</v>
      </c>
      <c r="O36" t="s">
        <v>103</v>
      </c>
      <c r="P36" t="s">
        <v>104</v>
      </c>
      <c r="Q36" s="6">
        <v>58772.79</v>
      </c>
    </row>
    <row r="37" spans="1:17">
      <c r="A37" t="s">
        <v>161</v>
      </c>
      <c r="B37" s="5">
        <v>46086</v>
      </c>
      <c r="C37" t="s">
        <v>162</v>
      </c>
      <c r="D37" t="s">
        <v>17</v>
      </c>
      <c r="E37" t="s">
        <v>2</v>
      </c>
      <c r="F37" t="s">
        <v>50</v>
      </c>
      <c r="G37" t="s">
        <v>100</v>
      </c>
      <c r="H37" s="6">
        <v>24.3</v>
      </c>
      <c r="I37" t="s">
        <v>52</v>
      </c>
      <c r="J37" t="s">
        <v>114</v>
      </c>
      <c r="K37" t="s">
        <v>54</v>
      </c>
      <c r="L37" t="s">
        <v>102</v>
      </c>
      <c r="O37" t="s">
        <v>103</v>
      </c>
      <c r="P37" t="s">
        <v>104</v>
      </c>
      <c r="Q37" s="6">
        <v>58873.8</v>
      </c>
    </row>
    <row r="38" spans="1:17">
      <c r="A38" t="s">
        <v>163</v>
      </c>
      <c r="B38" s="5">
        <v>46087</v>
      </c>
      <c r="C38" t="s">
        <v>164</v>
      </c>
      <c r="D38" t="s">
        <v>17</v>
      </c>
      <c r="E38" t="s">
        <v>2</v>
      </c>
      <c r="F38" t="s">
        <v>50</v>
      </c>
      <c r="G38" t="s">
        <v>51</v>
      </c>
      <c r="H38" s="6">
        <v>27.02</v>
      </c>
      <c r="I38" t="s">
        <v>52</v>
      </c>
      <c r="J38" t="s">
        <v>65</v>
      </c>
      <c r="K38" t="s">
        <v>54</v>
      </c>
      <c r="L38" t="s">
        <v>55</v>
      </c>
      <c r="O38" t="s">
        <v>66</v>
      </c>
      <c r="P38" t="s">
        <v>67</v>
      </c>
      <c r="Q38" s="6">
        <v>58710.32</v>
      </c>
    </row>
    <row r="39" spans="1:17">
      <c r="A39" t="s">
        <v>165</v>
      </c>
      <c r="B39" s="5">
        <v>46087</v>
      </c>
      <c r="C39" t="s">
        <v>166</v>
      </c>
      <c r="D39" t="s">
        <v>17</v>
      </c>
      <c r="E39" t="s">
        <v>2</v>
      </c>
      <c r="F39" t="s">
        <v>50</v>
      </c>
      <c r="G39" t="s">
        <v>51</v>
      </c>
      <c r="H39" s="6">
        <v>127.17</v>
      </c>
      <c r="I39" t="s">
        <v>52</v>
      </c>
      <c r="J39" t="s">
        <v>65</v>
      </c>
      <c r="K39" t="s">
        <v>54</v>
      </c>
      <c r="L39" t="s">
        <v>55</v>
      </c>
      <c r="O39" t="s">
        <v>66</v>
      </c>
      <c r="P39" t="s">
        <v>67</v>
      </c>
      <c r="Q39" s="6">
        <v>58583.15</v>
      </c>
    </row>
    <row r="40" spans="1:17">
      <c r="A40" t="s">
        <v>167</v>
      </c>
      <c r="B40" s="5">
        <v>46087</v>
      </c>
      <c r="C40" t="s">
        <v>168</v>
      </c>
      <c r="D40" t="s">
        <v>17</v>
      </c>
      <c r="E40" t="s">
        <v>2</v>
      </c>
      <c r="F40" t="s">
        <v>50</v>
      </c>
      <c r="G40" t="s">
        <v>51</v>
      </c>
      <c r="H40" s="6">
        <v>13.37</v>
      </c>
      <c r="I40" t="s">
        <v>52</v>
      </c>
      <c r="J40" t="s">
        <v>53</v>
      </c>
      <c r="K40" t="s">
        <v>54</v>
      </c>
      <c r="L40" t="s">
        <v>55</v>
      </c>
      <c r="O40" t="s">
        <v>56</v>
      </c>
      <c r="P40" t="s">
        <v>57</v>
      </c>
      <c r="Q40" s="6">
        <v>58569.78</v>
      </c>
    </row>
    <row r="41" spans="1:17">
      <c r="A41" t="s">
        <v>169</v>
      </c>
      <c r="B41" s="5">
        <v>46087</v>
      </c>
      <c r="C41" t="s">
        <v>170</v>
      </c>
      <c r="D41" t="s">
        <v>17</v>
      </c>
      <c r="E41" t="s">
        <v>2</v>
      </c>
      <c r="F41" t="s">
        <v>50</v>
      </c>
      <c r="G41" t="s">
        <v>100</v>
      </c>
      <c r="H41" s="6">
        <v>16.77</v>
      </c>
      <c r="I41" t="s">
        <v>52</v>
      </c>
      <c r="J41" t="s">
        <v>114</v>
      </c>
      <c r="K41" t="s">
        <v>54</v>
      </c>
      <c r="L41" t="s">
        <v>102</v>
      </c>
      <c r="O41" t="s">
        <v>103</v>
      </c>
      <c r="P41" t="s">
        <v>104</v>
      </c>
      <c r="Q41" s="6">
        <v>58746.43</v>
      </c>
    </row>
    <row r="42" spans="1:17">
      <c r="A42" t="s">
        <v>171</v>
      </c>
      <c r="B42" s="5">
        <v>46087</v>
      </c>
      <c r="C42" t="s">
        <v>172</v>
      </c>
      <c r="D42" t="s">
        <v>17</v>
      </c>
      <c r="E42" t="s">
        <v>2</v>
      </c>
      <c r="F42" t="s">
        <v>50</v>
      </c>
      <c r="G42" t="s">
        <v>51</v>
      </c>
      <c r="H42" s="6">
        <v>9.09</v>
      </c>
      <c r="I42" t="s">
        <v>52</v>
      </c>
      <c r="J42" t="s">
        <v>81</v>
      </c>
      <c r="K42" t="s">
        <v>54</v>
      </c>
      <c r="L42" t="s">
        <v>55</v>
      </c>
      <c r="O42" t="s">
        <v>82</v>
      </c>
      <c r="P42" t="s">
        <v>83</v>
      </c>
      <c r="Q42" s="6">
        <v>58737.34</v>
      </c>
    </row>
    <row r="43" spans="1:17">
      <c r="A43" t="s">
        <v>173</v>
      </c>
      <c r="B43" s="5">
        <v>46087</v>
      </c>
      <c r="C43" t="s">
        <v>174</v>
      </c>
      <c r="D43" t="s">
        <v>17</v>
      </c>
      <c r="E43" t="s">
        <v>2</v>
      </c>
      <c r="F43" t="s">
        <v>50</v>
      </c>
      <c r="G43" t="s">
        <v>51</v>
      </c>
      <c r="H43" s="6">
        <v>9.59</v>
      </c>
      <c r="I43" t="s">
        <v>52</v>
      </c>
      <c r="J43" t="s">
        <v>53</v>
      </c>
      <c r="K43" t="s">
        <v>54</v>
      </c>
      <c r="L43" t="s">
        <v>55</v>
      </c>
      <c r="O43" t="s">
        <v>56</v>
      </c>
      <c r="P43" t="s">
        <v>57</v>
      </c>
      <c r="Q43" s="6">
        <v>58763.199999999997</v>
      </c>
    </row>
    <row r="44" spans="1:17">
      <c r="A44" t="s">
        <v>175</v>
      </c>
      <c r="B44" s="5">
        <v>46088</v>
      </c>
      <c r="C44" t="s">
        <v>176</v>
      </c>
      <c r="D44" t="s">
        <v>17</v>
      </c>
      <c r="E44" t="s">
        <v>2</v>
      </c>
      <c r="F44" t="s">
        <v>50</v>
      </c>
      <c r="G44" t="s">
        <v>100</v>
      </c>
      <c r="H44" s="6">
        <v>120.18</v>
      </c>
      <c r="I44" t="s">
        <v>52</v>
      </c>
      <c r="J44" t="s">
        <v>177</v>
      </c>
      <c r="K44" t="s">
        <v>54</v>
      </c>
      <c r="L44" t="s">
        <v>102</v>
      </c>
      <c r="O44" t="s">
        <v>178</v>
      </c>
      <c r="P44" t="s">
        <v>179</v>
      </c>
      <c r="Q44" s="6">
        <v>49079.05</v>
      </c>
    </row>
    <row r="45" spans="1:17">
      <c r="A45" t="s">
        <v>180</v>
      </c>
      <c r="B45" s="5">
        <v>46088</v>
      </c>
      <c r="C45" t="s">
        <v>181</v>
      </c>
      <c r="D45" t="s">
        <v>17</v>
      </c>
      <c r="E45" t="s">
        <v>2</v>
      </c>
      <c r="F45" t="s">
        <v>50</v>
      </c>
      <c r="G45" t="s">
        <v>100</v>
      </c>
      <c r="H45" s="6">
        <v>15</v>
      </c>
      <c r="I45" t="s">
        <v>52</v>
      </c>
      <c r="J45" t="s">
        <v>101</v>
      </c>
      <c r="K45" t="s">
        <v>54</v>
      </c>
      <c r="L45" t="s">
        <v>102</v>
      </c>
      <c r="O45" t="s">
        <v>103</v>
      </c>
      <c r="P45" t="s">
        <v>104</v>
      </c>
      <c r="Q45" s="6">
        <v>58348.17</v>
      </c>
    </row>
    <row r="46" spans="1:17">
      <c r="A46" t="s">
        <v>182</v>
      </c>
      <c r="B46" s="5">
        <v>46088</v>
      </c>
      <c r="C46" t="s">
        <v>183</v>
      </c>
      <c r="D46" t="s">
        <v>17</v>
      </c>
      <c r="E46" t="s">
        <v>2</v>
      </c>
      <c r="F46" t="s">
        <v>50</v>
      </c>
      <c r="G46" t="s">
        <v>100</v>
      </c>
      <c r="H46" s="6">
        <v>22.54</v>
      </c>
      <c r="I46" t="s">
        <v>52</v>
      </c>
      <c r="J46" t="s">
        <v>114</v>
      </c>
      <c r="K46" t="s">
        <v>54</v>
      </c>
      <c r="L46" t="s">
        <v>102</v>
      </c>
      <c r="O46" t="s">
        <v>103</v>
      </c>
      <c r="P46" t="s">
        <v>104</v>
      </c>
      <c r="Q46" s="6">
        <v>58197.13</v>
      </c>
    </row>
    <row r="47" spans="1:17">
      <c r="A47" t="s">
        <v>184</v>
      </c>
      <c r="B47" s="5">
        <v>46088</v>
      </c>
      <c r="C47" t="s">
        <v>185</v>
      </c>
      <c r="D47" t="s">
        <v>17</v>
      </c>
      <c r="E47" t="s">
        <v>2</v>
      </c>
      <c r="F47" t="s">
        <v>50</v>
      </c>
      <c r="G47" t="s">
        <v>51</v>
      </c>
      <c r="H47" s="6">
        <v>44.16</v>
      </c>
      <c r="I47" t="s">
        <v>52</v>
      </c>
      <c r="J47" t="s">
        <v>60</v>
      </c>
      <c r="K47" t="s">
        <v>54</v>
      </c>
      <c r="L47" t="s">
        <v>55</v>
      </c>
      <c r="O47" t="s">
        <v>61</v>
      </c>
      <c r="P47" t="s">
        <v>62</v>
      </c>
      <c r="Q47" s="6">
        <v>58219.67</v>
      </c>
    </row>
    <row r="48" spans="1:17">
      <c r="A48" t="s">
        <v>186</v>
      </c>
      <c r="B48" s="5">
        <v>46088</v>
      </c>
      <c r="C48" t="s">
        <v>187</v>
      </c>
      <c r="D48" t="s">
        <v>17</v>
      </c>
      <c r="E48" t="s">
        <v>2</v>
      </c>
      <c r="F48" t="s">
        <v>50</v>
      </c>
      <c r="G48" t="s">
        <v>51</v>
      </c>
      <c r="H48" s="6">
        <v>34.43</v>
      </c>
      <c r="I48" t="s">
        <v>52</v>
      </c>
      <c r="J48" t="s">
        <v>60</v>
      </c>
      <c r="K48" t="s">
        <v>54</v>
      </c>
      <c r="L48" t="s">
        <v>55</v>
      </c>
      <c r="O48" t="s">
        <v>61</v>
      </c>
      <c r="P48" t="s">
        <v>62</v>
      </c>
      <c r="Q48" s="6">
        <v>58288.71</v>
      </c>
    </row>
    <row r="49" spans="1:17">
      <c r="A49" t="s">
        <v>188</v>
      </c>
      <c r="B49" s="5">
        <v>46088</v>
      </c>
      <c r="C49" t="s">
        <v>189</v>
      </c>
      <c r="D49" t="s">
        <v>17</v>
      </c>
      <c r="E49" t="s">
        <v>2</v>
      </c>
      <c r="F49" t="s">
        <v>50</v>
      </c>
      <c r="G49" t="s">
        <v>51</v>
      </c>
      <c r="H49" s="6">
        <v>24.88</v>
      </c>
      <c r="I49" t="s">
        <v>52</v>
      </c>
      <c r="J49" t="s">
        <v>126</v>
      </c>
      <c r="K49" t="s">
        <v>54</v>
      </c>
      <c r="L49" t="s">
        <v>55</v>
      </c>
      <c r="O49" t="s">
        <v>56</v>
      </c>
      <c r="P49" t="s">
        <v>57</v>
      </c>
      <c r="Q49" s="6">
        <v>58263.83</v>
      </c>
    </row>
    <row r="50" spans="1:17">
      <c r="A50" t="s">
        <v>190</v>
      </c>
      <c r="B50" s="5">
        <v>46088</v>
      </c>
      <c r="C50" t="s">
        <v>191</v>
      </c>
      <c r="D50" t="s">
        <v>17</v>
      </c>
      <c r="E50" t="s">
        <v>2</v>
      </c>
      <c r="F50" t="s">
        <v>50</v>
      </c>
      <c r="G50" t="s">
        <v>51</v>
      </c>
      <c r="H50" s="6">
        <v>25.03</v>
      </c>
      <c r="I50" t="s">
        <v>52</v>
      </c>
      <c r="J50" t="s">
        <v>60</v>
      </c>
      <c r="K50" t="s">
        <v>54</v>
      </c>
      <c r="L50" t="s">
        <v>55</v>
      </c>
      <c r="O50" t="s">
        <v>61</v>
      </c>
      <c r="P50" t="s">
        <v>62</v>
      </c>
      <c r="Q50" s="6">
        <v>58323.14</v>
      </c>
    </row>
    <row r="51" spans="1:17">
      <c r="A51" t="s">
        <v>192</v>
      </c>
      <c r="B51" s="5">
        <v>46088</v>
      </c>
      <c r="C51" t="s">
        <v>193</v>
      </c>
      <c r="D51" t="s">
        <v>17</v>
      </c>
      <c r="E51" t="s">
        <v>2</v>
      </c>
      <c r="F51" t="s">
        <v>50</v>
      </c>
      <c r="G51" t="s">
        <v>51</v>
      </c>
      <c r="H51" s="6">
        <v>54.95</v>
      </c>
      <c r="I51" t="s">
        <v>52</v>
      </c>
      <c r="J51" t="s">
        <v>60</v>
      </c>
      <c r="K51" t="s">
        <v>54</v>
      </c>
      <c r="L51" t="s">
        <v>55</v>
      </c>
      <c r="O51" t="s">
        <v>61</v>
      </c>
      <c r="P51" t="s">
        <v>62</v>
      </c>
      <c r="Q51" s="6">
        <v>58363.17</v>
      </c>
    </row>
    <row r="52" spans="1:17">
      <c r="A52" t="s">
        <v>194</v>
      </c>
      <c r="B52" s="5">
        <v>46088</v>
      </c>
      <c r="C52" t="s">
        <v>195</v>
      </c>
      <c r="D52" t="s">
        <v>17</v>
      </c>
      <c r="E52" t="s">
        <v>2</v>
      </c>
      <c r="F52" t="s">
        <v>50</v>
      </c>
      <c r="G52" t="s">
        <v>51</v>
      </c>
      <c r="H52" s="6">
        <v>151.66</v>
      </c>
      <c r="I52" t="s">
        <v>52</v>
      </c>
      <c r="J52" t="s">
        <v>196</v>
      </c>
      <c r="K52" t="s">
        <v>54</v>
      </c>
      <c r="L52" t="s">
        <v>55</v>
      </c>
      <c r="O52" t="s">
        <v>197</v>
      </c>
      <c r="P52" t="s">
        <v>198</v>
      </c>
      <c r="Q52" s="6">
        <v>58418.12</v>
      </c>
    </row>
    <row r="53" spans="1:17">
      <c r="A53" t="s">
        <v>199</v>
      </c>
      <c r="B53" s="5">
        <v>46089</v>
      </c>
      <c r="C53" t="s">
        <v>200</v>
      </c>
      <c r="D53" t="s">
        <v>17</v>
      </c>
      <c r="E53" t="s">
        <v>2</v>
      </c>
      <c r="F53" t="s">
        <v>50</v>
      </c>
      <c r="G53" t="s">
        <v>51</v>
      </c>
      <c r="H53" s="6">
        <v>7.05</v>
      </c>
      <c r="I53" t="s">
        <v>52</v>
      </c>
      <c r="J53" t="s">
        <v>53</v>
      </c>
      <c r="K53" t="s">
        <v>54</v>
      </c>
      <c r="L53" t="s">
        <v>55</v>
      </c>
      <c r="O53" t="s">
        <v>56</v>
      </c>
      <c r="P53" t="s">
        <v>57</v>
      </c>
      <c r="Q53" s="6">
        <v>58136.92</v>
      </c>
    </row>
    <row r="54" spans="1:17">
      <c r="A54" t="s">
        <v>201</v>
      </c>
      <c r="B54" s="5">
        <v>46089</v>
      </c>
      <c r="C54" t="s">
        <v>202</v>
      </c>
      <c r="D54" t="s">
        <v>17</v>
      </c>
      <c r="E54" t="s">
        <v>2</v>
      </c>
      <c r="F54" t="s">
        <v>50</v>
      </c>
      <c r="G54" t="s">
        <v>100</v>
      </c>
      <c r="H54" s="6">
        <v>11.2</v>
      </c>
      <c r="I54" t="s">
        <v>52</v>
      </c>
      <c r="J54" t="s">
        <v>114</v>
      </c>
      <c r="K54" t="s">
        <v>54</v>
      </c>
      <c r="L54" t="s">
        <v>102</v>
      </c>
      <c r="O54" t="s">
        <v>103</v>
      </c>
      <c r="P54" t="s">
        <v>104</v>
      </c>
      <c r="Q54" s="6">
        <v>58099.81</v>
      </c>
    </row>
    <row r="55" spans="1:17">
      <c r="A55" t="s">
        <v>203</v>
      </c>
      <c r="B55" s="5">
        <v>46089</v>
      </c>
      <c r="C55" t="s">
        <v>204</v>
      </c>
      <c r="D55" t="s">
        <v>17</v>
      </c>
      <c r="E55" t="s">
        <v>2</v>
      </c>
      <c r="F55" t="s">
        <v>50</v>
      </c>
      <c r="G55" t="s">
        <v>51</v>
      </c>
      <c r="H55" s="6">
        <v>55.76</v>
      </c>
      <c r="I55" t="s">
        <v>52</v>
      </c>
      <c r="J55" t="s">
        <v>60</v>
      </c>
      <c r="K55" t="s">
        <v>54</v>
      </c>
      <c r="L55" t="s">
        <v>55</v>
      </c>
      <c r="O55" t="s">
        <v>61</v>
      </c>
      <c r="P55" t="s">
        <v>62</v>
      </c>
      <c r="Q55" s="6">
        <v>58044.05</v>
      </c>
    </row>
    <row r="56" spans="1:17">
      <c r="A56" t="s">
        <v>205</v>
      </c>
      <c r="B56" s="5">
        <v>46089</v>
      </c>
      <c r="C56" t="s">
        <v>206</v>
      </c>
      <c r="D56" t="s">
        <v>17</v>
      </c>
      <c r="E56" t="s">
        <v>2</v>
      </c>
      <c r="F56" t="s">
        <v>50</v>
      </c>
      <c r="G56" t="s">
        <v>100</v>
      </c>
      <c r="H56" s="6">
        <v>10.91</v>
      </c>
      <c r="I56" t="s">
        <v>52</v>
      </c>
      <c r="J56" t="s">
        <v>114</v>
      </c>
      <c r="K56" t="s">
        <v>54</v>
      </c>
      <c r="L56" t="s">
        <v>102</v>
      </c>
      <c r="O56" t="s">
        <v>103</v>
      </c>
      <c r="P56" t="s">
        <v>104</v>
      </c>
      <c r="Q56" s="6">
        <v>58126.01</v>
      </c>
    </row>
    <row r="57" spans="1:17">
      <c r="A57" t="s">
        <v>207</v>
      </c>
      <c r="B57" s="5">
        <v>46089</v>
      </c>
      <c r="C57" t="s">
        <v>208</v>
      </c>
      <c r="D57" t="s">
        <v>17</v>
      </c>
      <c r="E57" t="s">
        <v>2</v>
      </c>
      <c r="F57" t="s">
        <v>50</v>
      </c>
      <c r="G57" t="s">
        <v>51</v>
      </c>
      <c r="H57" s="6">
        <v>23.16</v>
      </c>
      <c r="I57" t="s">
        <v>52</v>
      </c>
      <c r="J57" t="s">
        <v>126</v>
      </c>
      <c r="K57" t="s">
        <v>54</v>
      </c>
      <c r="L57" t="s">
        <v>55</v>
      </c>
      <c r="O57" t="s">
        <v>56</v>
      </c>
      <c r="P57" t="s">
        <v>57</v>
      </c>
      <c r="Q57" s="6">
        <v>58158.97</v>
      </c>
    </row>
    <row r="58" spans="1:17">
      <c r="A58" t="s">
        <v>209</v>
      </c>
      <c r="B58" s="5">
        <v>46089</v>
      </c>
      <c r="C58" t="s">
        <v>210</v>
      </c>
      <c r="D58" t="s">
        <v>17</v>
      </c>
      <c r="E58" t="s">
        <v>2</v>
      </c>
      <c r="F58" t="s">
        <v>50</v>
      </c>
      <c r="G58" t="s">
        <v>100</v>
      </c>
      <c r="H58" s="6">
        <v>15</v>
      </c>
      <c r="I58" t="s">
        <v>52</v>
      </c>
      <c r="J58" t="s">
        <v>101</v>
      </c>
      <c r="K58" t="s">
        <v>54</v>
      </c>
      <c r="L58" t="s">
        <v>102</v>
      </c>
      <c r="O58" t="s">
        <v>103</v>
      </c>
      <c r="P58" t="s">
        <v>104</v>
      </c>
      <c r="Q58" s="6">
        <v>58182.13</v>
      </c>
    </row>
    <row r="59" spans="1:17">
      <c r="A59" t="s">
        <v>211</v>
      </c>
      <c r="B59" s="5">
        <v>46089</v>
      </c>
      <c r="C59" t="s">
        <v>212</v>
      </c>
      <c r="D59" t="s">
        <v>17</v>
      </c>
      <c r="E59" t="s">
        <v>2</v>
      </c>
      <c r="F59" t="s">
        <v>50</v>
      </c>
      <c r="G59" t="s">
        <v>100</v>
      </c>
      <c r="H59" s="6">
        <v>15</v>
      </c>
      <c r="I59" t="s">
        <v>52</v>
      </c>
      <c r="J59" t="s">
        <v>101</v>
      </c>
      <c r="K59" t="s">
        <v>54</v>
      </c>
      <c r="L59" t="s">
        <v>102</v>
      </c>
      <c r="O59" t="s">
        <v>103</v>
      </c>
      <c r="P59" t="s">
        <v>104</v>
      </c>
      <c r="Q59" s="6">
        <v>58143.97</v>
      </c>
    </row>
    <row r="60" spans="1:17">
      <c r="A60" t="s">
        <v>213</v>
      </c>
      <c r="B60" s="5">
        <v>46089</v>
      </c>
      <c r="C60" t="s">
        <v>214</v>
      </c>
      <c r="D60" t="s">
        <v>17</v>
      </c>
      <c r="E60" t="s">
        <v>2</v>
      </c>
      <c r="F60" t="s">
        <v>50</v>
      </c>
      <c r="G60" t="s">
        <v>100</v>
      </c>
      <c r="H60" s="6">
        <v>15</v>
      </c>
      <c r="I60" t="s">
        <v>52</v>
      </c>
      <c r="J60" t="s">
        <v>101</v>
      </c>
      <c r="K60" t="s">
        <v>54</v>
      </c>
      <c r="L60" t="s">
        <v>102</v>
      </c>
      <c r="O60" t="s">
        <v>103</v>
      </c>
      <c r="P60" t="s">
        <v>104</v>
      </c>
      <c r="Q60" s="6">
        <v>58111.01</v>
      </c>
    </row>
    <row r="61" spans="1:17">
      <c r="A61" t="s">
        <v>215</v>
      </c>
      <c r="B61" s="5">
        <v>46090</v>
      </c>
      <c r="C61" t="s">
        <v>216</v>
      </c>
      <c r="D61" t="s">
        <v>17</v>
      </c>
      <c r="E61" t="s">
        <v>2</v>
      </c>
      <c r="F61" t="s">
        <v>50</v>
      </c>
      <c r="G61" t="s">
        <v>51</v>
      </c>
      <c r="H61" s="6">
        <v>22.47</v>
      </c>
      <c r="I61" t="s">
        <v>52</v>
      </c>
      <c r="J61" t="s">
        <v>60</v>
      </c>
      <c r="K61" t="s">
        <v>54</v>
      </c>
      <c r="L61" t="s">
        <v>55</v>
      </c>
      <c r="O61" t="s">
        <v>61</v>
      </c>
      <c r="P61" t="s">
        <v>62</v>
      </c>
      <c r="Q61" s="6">
        <v>57966.27</v>
      </c>
    </row>
    <row r="62" spans="1:17">
      <c r="A62" t="s">
        <v>217</v>
      </c>
      <c r="B62" s="5">
        <v>46090</v>
      </c>
      <c r="C62" t="s">
        <v>218</v>
      </c>
      <c r="D62" t="s">
        <v>17</v>
      </c>
      <c r="E62" t="s">
        <v>2</v>
      </c>
      <c r="F62" t="s">
        <v>50</v>
      </c>
      <c r="G62" t="s">
        <v>51</v>
      </c>
      <c r="H62" s="6">
        <v>102.05</v>
      </c>
      <c r="I62" t="s">
        <v>52</v>
      </c>
      <c r="J62" t="s">
        <v>196</v>
      </c>
      <c r="K62" t="s">
        <v>54</v>
      </c>
      <c r="L62" t="s">
        <v>55</v>
      </c>
      <c r="O62" t="s">
        <v>197</v>
      </c>
      <c r="P62" t="s">
        <v>198</v>
      </c>
      <c r="Q62" s="6">
        <v>57864.22</v>
      </c>
    </row>
    <row r="63" spans="1:17">
      <c r="A63" t="s">
        <v>219</v>
      </c>
      <c r="B63" s="5">
        <v>46090</v>
      </c>
      <c r="C63" t="s">
        <v>220</v>
      </c>
      <c r="D63" t="s">
        <v>17</v>
      </c>
      <c r="E63" t="s">
        <v>2</v>
      </c>
      <c r="F63" t="s">
        <v>50</v>
      </c>
      <c r="G63" t="s">
        <v>51</v>
      </c>
      <c r="H63" s="6">
        <v>5.49</v>
      </c>
      <c r="I63" t="s">
        <v>52</v>
      </c>
      <c r="J63" t="s">
        <v>121</v>
      </c>
      <c r="K63" t="s">
        <v>54</v>
      </c>
      <c r="L63" t="s">
        <v>55</v>
      </c>
      <c r="O63" t="s">
        <v>122</v>
      </c>
      <c r="P63" t="s">
        <v>123</v>
      </c>
      <c r="Q63" s="6">
        <v>57988.74</v>
      </c>
    </row>
    <row r="64" spans="1:17">
      <c r="A64" t="s">
        <v>221</v>
      </c>
      <c r="B64" s="5">
        <v>46090</v>
      </c>
      <c r="C64" t="s">
        <v>222</v>
      </c>
      <c r="D64" t="s">
        <v>17</v>
      </c>
      <c r="E64" t="s">
        <v>2</v>
      </c>
      <c r="F64" t="s">
        <v>50</v>
      </c>
      <c r="G64" t="s">
        <v>51</v>
      </c>
      <c r="H64" s="6">
        <v>6.86</v>
      </c>
      <c r="I64" t="s">
        <v>52</v>
      </c>
      <c r="J64" t="s">
        <v>53</v>
      </c>
      <c r="K64" t="s">
        <v>54</v>
      </c>
      <c r="L64" t="s">
        <v>55</v>
      </c>
      <c r="O64" t="s">
        <v>56</v>
      </c>
      <c r="P64" t="s">
        <v>57</v>
      </c>
      <c r="Q64" s="6">
        <v>57994.23</v>
      </c>
    </row>
    <row r="65" spans="1:17">
      <c r="A65" t="s">
        <v>223</v>
      </c>
      <c r="B65" s="5">
        <v>46090</v>
      </c>
      <c r="C65" t="s">
        <v>224</v>
      </c>
      <c r="D65" t="s">
        <v>17</v>
      </c>
      <c r="E65" t="s">
        <v>2</v>
      </c>
      <c r="F65" t="s">
        <v>50</v>
      </c>
      <c r="G65" t="s">
        <v>51</v>
      </c>
      <c r="H65" s="6">
        <v>42.96</v>
      </c>
      <c r="I65" t="s">
        <v>52</v>
      </c>
      <c r="J65" t="s">
        <v>60</v>
      </c>
      <c r="K65" t="s">
        <v>54</v>
      </c>
      <c r="L65" t="s">
        <v>55</v>
      </c>
      <c r="O65" t="s">
        <v>61</v>
      </c>
      <c r="P65" t="s">
        <v>62</v>
      </c>
      <c r="Q65" s="6">
        <v>58001.09</v>
      </c>
    </row>
    <row r="66" spans="1:17">
      <c r="A66" t="s">
        <v>225</v>
      </c>
      <c r="B66" s="5">
        <v>46091</v>
      </c>
      <c r="C66" t="s">
        <v>226</v>
      </c>
      <c r="D66" t="s">
        <v>17</v>
      </c>
      <c r="E66" t="s">
        <v>2</v>
      </c>
      <c r="F66" t="s">
        <v>50</v>
      </c>
      <c r="G66" t="s">
        <v>51</v>
      </c>
      <c r="H66" s="6">
        <v>68.95</v>
      </c>
      <c r="I66" t="s">
        <v>52</v>
      </c>
      <c r="J66" t="s">
        <v>60</v>
      </c>
      <c r="K66" t="s">
        <v>54</v>
      </c>
      <c r="L66" t="s">
        <v>55</v>
      </c>
      <c r="O66" t="s">
        <v>61</v>
      </c>
      <c r="P66" t="s">
        <v>62</v>
      </c>
      <c r="Q66" s="6">
        <v>57778.94</v>
      </c>
    </row>
    <row r="67" spans="1:17">
      <c r="A67" t="s">
        <v>227</v>
      </c>
      <c r="B67" s="5">
        <v>46091</v>
      </c>
      <c r="C67" t="s">
        <v>228</v>
      </c>
      <c r="D67" t="s">
        <v>17</v>
      </c>
      <c r="E67" t="s">
        <v>2</v>
      </c>
      <c r="F67" t="s">
        <v>50</v>
      </c>
      <c r="G67" t="s">
        <v>51</v>
      </c>
      <c r="H67" s="6">
        <v>59.12</v>
      </c>
      <c r="I67" t="s">
        <v>52</v>
      </c>
      <c r="J67" t="s">
        <v>60</v>
      </c>
      <c r="K67" t="s">
        <v>54</v>
      </c>
      <c r="L67" t="s">
        <v>55</v>
      </c>
      <c r="O67" t="s">
        <v>61</v>
      </c>
      <c r="P67" t="s">
        <v>62</v>
      </c>
      <c r="Q67" s="6">
        <v>57719.82</v>
      </c>
    </row>
    <row r="68" spans="1:17">
      <c r="A68" t="s">
        <v>229</v>
      </c>
      <c r="B68" s="5">
        <v>46091</v>
      </c>
      <c r="C68" t="s">
        <v>230</v>
      </c>
      <c r="D68" t="s">
        <v>17</v>
      </c>
      <c r="E68" t="s">
        <v>2</v>
      </c>
      <c r="F68" t="s">
        <v>50</v>
      </c>
      <c r="G68" t="s">
        <v>51</v>
      </c>
      <c r="H68" s="6">
        <v>139.72999999999999</v>
      </c>
      <c r="I68" t="s">
        <v>52</v>
      </c>
      <c r="J68" t="s">
        <v>196</v>
      </c>
      <c r="K68" t="s">
        <v>54</v>
      </c>
      <c r="L68" t="s">
        <v>55</v>
      </c>
      <c r="O68" t="s">
        <v>197</v>
      </c>
      <c r="P68" t="s">
        <v>198</v>
      </c>
      <c r="Q68" s="6">
        <v>57580.09</v>
      </c>
    </row>
    <row r="69" spans="1:17">
      <c r="A69" t="s">
        <v>231</v>
      </c>
      <c r="B69" s="5">
        <v>46091</v>
      </c>
      <c r="C69" t="s">
        <v>232</v>
      </c>
      <c r="D69" t="s">
        <v>17</v>
      </c>
      <c r="E69" t="s">
        <v>2</v>
      </c>
      <c r="F69" t="s">
        <v>149</v>
      </c>
      <c r="G69" t="s">
        <v>72</v>
      </c>
      <c r="H69" s="6">
        <v>121.94</v>
      </c>
      <c r="I69" t="s">
        <v>52</v>
      </c>
      <c r="J69" t="s">
        <v>233</v>
      </c>
      <c r="K69" t="s">
        <v>54</v>
      </c>
      <c r="L69" t="s">
        <v>74</v>
      </c>
      <c r="O69" t="s">
        <v>75</v>
      </c>
      <c r="P69" t="s">
        <v>76</v>
      </c>
      <c r="Q69" s="6">
        <v>57661.23</v>
      </c>
    </row>
    <row r="70" spans="1:17">
      <c r="A70" t="s">
        <v>234</v>
      </c>
      <c r="B70" s="5">
        <v>46091</v>
      </c>
      <c r="C70" t="s">
        <v>235</v>
      </c>
      <c r="D70" t="s">
        <v>17</v>
      </c>
      <c r="E70" t="s">
        <v>2</v>
      </c>
      <c r="F70" t="s">
        <v>50</v>
      </c>
      <c r="G70" t="s">
        <v>51</v>
      </c>
      <c r="H70" s="6">
        <v>11.08</v>
      </c>
      <c r="I70" t="s">
        <v>52</v>
      </c>
      <c r="J70" t="s">
        <v>53</v>
      </c>
      <c r="K70" t="s">
        <v>54</v>
      </c>
      <c r="L70" t="s">
        <v>55</v>
      </c>
      <c r="O70" t="s">
        <v>56</v>
      </c>
      <c r="P70" t="s">
        <v>57</v>
      </c>
      <c r="Q70" s="6">
        <v>57569.01</v>
      </c>
    </row>
    <row r="71" spans="1:17">
      <c r="A71" t="s">
        <v>236</v>
      </c>
      <c r="B71" s="5">
        <v>46091</v>
      </c>
      <c r="C71" t="s">
        <v>237</v>
      </c>
      <c r="D71" t="s">
        <v>17</v>
      </c>
      <c r="E71" t="s">
        <v>2</v>
      </c>
      <c r="F71" t="s">
        <v>50</v>
      </c>
      <c r="G71" t="s">
        <v>51</v>
      </c>
      <c r="H71" s="6">
        <v>6.21</v>
      </c>
      <c r="I71" t="s">
        <v>52</v>
      </c>
      <c r="J71" t="s">
        <v>53</v>
      </c>
      <c r="K71" t="s">
        <v>54</v>
      </c>
      <c r="L71" t="s">
        <v>55</v>
      </c>
      <c r="O71" t="s">
        <v>56</v>
      </c>
      <c r="P71" t="s">
        <v>57</v>
      </c>
      <c r="Q71" s="6">
        <v>57858.01</v>
      </c>
    </row>
    <row r="72" spans="1:17">
      <c r="A72" t="s">
        <v>238</v>
      </c>
      <c r="B72" s="5">
        <v>46091</v>
      </c>
      <c r="C72" t="s">
        <v>239</v>
      </c>
      <c r="D72" t="s">
        <v>17</v>
      </c>
      <c r="E72" t="s">
        <v>2</v>
      </c>
      <c r="F72" t="s">
        <v>50</v>
      </c>
      <c r="G72" t="s">
        <v>100</v>
      </c>
      <c r="H72" s="6">
        <v>10.119999999999999</v>
      </c>
      <c r="I72" t="s">
        <v>52</v>
      </c>
      <c r="J72" t="s">
        <v>114</v>
      </c>
      <c r="K72" t="s">
        <v>54</v>
      </c>
      <c r="L72" t="s">
        <v>102</v>
      </c>
      <c r="O72" t="s">
        <v>103</v>
      </c>
      <c r="P72" t="s">
        <v>104</v>
      </c>
      <c r="Q72" s="6">
        <v>57847.89</v>
      </c>
    </row>
    <row r="73" spans="1:17">
      <c r="A73" t="s">
        <v>240</v>
      </c>
      <c r="B73" s="5">
        <v>46091</v>
      </c>
      <c r="C73" t="s">
        <v>241</v>
      </c>
      <c r="D73" t="s">
        <v>17</v>
      </c>
      <c r="E73" t="s">
        <v>2</v>
      </c>
      <c r="F73" t="s">
        <v>50</v>
      </c>
      <c r="G73" t="s">
        <v>51</v>
      </c>
      <c r="H73" s="6">
        <v>29.72</v>
      </c>
      <c r="I73" t="s">
        <v>52</v>
      </c>
      <c r="J73" t="s">
        <v>65</v>
      </c>
      <c r="K73" t="s">
        <v>54</v>
      </c>
      <c r="L73" t="s">
        <v>55</v>
      </c>
      <c r="O73" t="s">
        <v>66</v>
      </c>
      <c r="P73" t="s">
        <v>67</v>
      </c>
      <c r="Q73" s="6">
        <v>57539.29</v>
      </c>
    </row>
    <row r="74" spans="1:17">
      <c r="A74" t="s">
        <v>242</v>
      </c>
      <c r="B74" s="5">
        <v>46091</v>
      </c>
      <c r="C74" t="s">
        <v>243</v>
      </c>
      <c r="D74" t="s">
        <v>17</v>
      </c>
      <c r="E74" t="s">
        <v>2</v>
      </c>
      <c r="F74" t="s">
        <v>50</v>
      </c>
      <c r="G74" t="s">
        <v>100</v>
      </c>
      <c r="H74" s="6">
        <v>84.81</v>
      </c>
      <c r="I74" t="s">
        <v>52</v>
      </c>
      <c r="J74" t="s">
        <v>244</v>
      </c>
      <c r="K74" t="s">
        <v>54</v>
      </c>
      <c r="L74" t="s">
        <v>102</v>
      </c>
      <c r="O74" t="s">
        <v>178</v>
      </c>
      <c r="P74" t="s">
        <v>245</v>
      </c>
      <c r="Q74" s="6">
        <v>48994.239999999998</v>
      </c>
    </row>
    <row r="75" spans="1:17">
      <c r="A75" t="s">
        <v>246</v>
      </c>
      <c r="B75" s="5">
        <v>46092</v>
      </c>
      <c r="C75" t="s">
        <v>247</v>
      </c>
      <c r="D75" t="s">
        <v>17</v>
      </c>
      <c r="E75" t="s">
        <v>2</v>
      </c>
      <c r="F75" t="s">
        <v>50</v>
      </c>
      <c r="G75" t="s">
        <v>51</v>
      </c>
      <c r="H75" s="6">
        <v>43.26</v>
      </c>
      <c r="I75" t="s">
        <v>52</v>
      </c>
      <c r="J75" t="s">
        <v>126</v>
      </c>
      <c r="K75" t="s">
        <v>54</v>
      </c>
      <c r="L75" t="s">
        <v>55</v>
      </c>
      <c r="O75" t="s">
        <v>56</v>
      </c>
      <c r="P75" t="s">
        <v>57</v>
      </c>
      <c r="Q75" s="6">
        <v>57335.94</v>
      </c>
    </row>
    <row r="76" spans="1:17">
      <c r="A76" t="s">
        <v>248</v>
      </c>
      <c r="B76" s="5">
        <v>46092</v>
      </c>
      <c r="C76" t="s">
        <v>249</v>
      </c>
      <c r="D76" t="s">
        <v>17</v>
      </c>
      <c r="E76" t="s">
        <v>2</v>
      </c>
      <c r="F76" t="s">
        <v>50</v>
      </c>
      <c r="G76" t="s">
        <v>51</v>
      </c>
      <c r="H76" s="6">
        <v>25.19</v>
      </c>
      <c r="I76" t="s">
        <v>52</v>
      </c>
      <c r="J76" t="s">
        <v>126</v>
      </c>
      <c r="K76" t="s">
        <v>54</v>
      </c>
      <c r="L76" t="s">
        <v>55</v>
      </c>
      <c r="O76" t="s">
        <v>56</v>
      </c>
      <c r="P76" t="s">
        <v>57</v>
      </c>
      <c r="Q76" s="6">
        <v>57596.07</v>
      </c>
    </row>
    <row r="77" spans="1:17">
      <c r="A77" t="s">
        <v>250</v>
      </c>
      <c r="B77" s="5">
        <v>46092</v>
      </c>
      <c r="C77" t="s">
        <v>251</v>
      </c>
      <c r="D77" t="s">
        <v>17</v>
      </c>
      <c r="E77" t="s">
        <v>2</v>
      </c>
      <c r="F77" t="s">
        <v>50</v>
      </c>
      <c r="G77" t="s">
        <v>100</v>
      </c>
      <c r="H77" s="6">
        <v>10.15</v>
      </c>
      <c r="I77" t="s">
        <v>52</v>
      </c>
      <c r="J77" t="s">
        <v>114</v>
      </c>
      <c r="K77" t="s">
        <v>54</v>
      </c>
      <c r="L77" t="s">
        <v>102</v>
      </c>
      <c r="O77" t="s">
        <v>103</v>
      </c>
      <c r="P77" t="s">
        <v>104</v>
      </c>
      <c r="Q77" s="6">
        <v>57651.08</v>
      </c>
    </row>
    <row r="78" spans="1:17">
      <c r="A78" t="s">
        <v>252</v>
      </c>
      <c r="B78" s="5">
        <v>46092</v>
      </c>
      <c r="C78" t="s">
        <v>253</v>
      </c>
      <c r="D78" t="s">
        <v>17</v>
      </c>
      <c r="E78" t="s">
        <v>2</v>
      </c>
      <c r="F78" t="s">
        <v>50</v>
      </c>
      <c r="G78" t="s">
        <v>51</v>
      </c>
      <c r="H78" s="6">
        <v>132.16</v>
      </c>
      <c r="I78" t="s">
        <v>52</v>
      </c>
      <c r="J78" t="s">
        <v>65</v>
      </c>
      <c r="K78" t="s">
        <v>54</v>
      </c>
      <c r="L78" t="s">
        <v>55</v>
      </c>
      <c r="O78" t="s">
        <v>66</v>
      </c>
      <c r="P78" t="s">
        <v>67</v>
      </c>
      <c r="Q78" s="6">
        <v>57463.91</v>
      </c>
    </row>
    <row r="79" spans="1:17">
      <c r="A79" t="s">
        <v>254</v>
      </c>
      <c r="B79" s="5">
        <v>46092</v>
      </c>
      <c r="C79" t="s">
        <v>255</v>
      </c>
      <c r="D79" t="s">
        <v>17</v>
      </c>
      <c r="E79" t="s">
        <v>2</v>
      </c>
      <c r="F79" t="s">
        <v>50</v>
      </c>
      <c r="G79" t="s">
        <v>51</v>
      </c>
      <c r="H79" s="6">
        <v>45.03</v>
      </c>
      <c r="I79" t="s">
        <v>52</v>
      </c>
      <c r="J79" t="s">
        <v>126</v>
      </c>
      <c r="K79" t="s">
        <v>54</v>
      </c>
      <c r="L79" t="s">
        <v>55</v>
      </c>
      <c r="O79" t="s">
        <v>56</v>
      </c>
      <c r="P79" t="s">
        <v>57</v>
      </c>
      <c r="Q79" s="6">
        <v>57379.199999999997</v>
      </c>
    </row>
    <row r="80" spans="1:17">
      <c r="A80" t="s">
        <v>256</v>
      </c>
      <c r="B80" s="5">
        <v>46092</v>
      </c>
      <c r="C80" t="s">
        <v>257</v>
      </c>
      <c r="D80" t="s">
        <v>17</v>
      </c>
      <c r="E80" t="s">
        <v>2</v>
      </c>
      <c r="F80" t="s">
        <v>50</v>
      </c>
      <c r="G80" t="s">
        <v>51</v>
      </c>
      <c r="H80" s="6">
        <v>29.82</v>
      </c>
      <c r="I80" t="s">
        <v>52</v>
      </c>
      <c r="J80" t="s">
        <v>126</v>
      </c>
      <c r="K80" t="s">
        <v>54</v>
      </c>
      <c r="L80" t="s">
        <v>55</v>
      </c>
      <c r="O80" t="s">
        <v>56</v>
      </c>
      <c r="P80" t="s">
        <v>57</v>
      </c>
      <c r="Q80" s="6">
        <v>57621.26</v>
      </c>
    </row>
    <row r="81" spans="1:17">
      <c r="A81" t="s">
        <v>258</v>
      </c>
      <c r="B81" s="5">
        <v>46092</v>
      </c>
      <c r="C81" t="s">
        <v>259</v>
      </c>
      <c r="D81" t="s">
        <v>17</v>
      </c>
      <c r="E81" t="s">
        <v>2</v>
      </c>
      <c r="F81" t="s">
        <v>50</v>
      </c>
      <c r="G81" t="s">
        <v>51</v>
      </c>
      <c r="H81" s="6">
        <v>39.68</v>
      </c>
      <c r="I81" t="s">
        <v>52</v>
      </c>
      <c r="J81" t="s">
        <v>60</v>
      </c>
      <c r="K81" t="s">
        <v>54</v>
      </c>
      <c r="L81" t="s">
        <v>55</v>
      </c>
      <c r="O81" t="s">
        <v>61</v>
      </c>
      <c r="P81" t="s">
        <v>62</v>
      </c>
      <c r="Q81" s="6">
        <v>57424.23</v>
      </c>
    </row>
    <row r="82" spans="1:17">
      <c r="A82" t="s">
        <v>260</v>
      </c>
      <c r="B82" s="5">
        <v>46092</v>
      </c>
      <c r="C82" t="s">
        <v>261</v>
      </c>
      <c r="D82" t="s">
        <v>17</v>
      </c>
      <c r="E82" t="s">
        <v>2</v>
      </c>
      <c r="F82" t="s">
        <v>50</v>
      </c>
      <c r="G82" t="s">
        <v>51</v>
      </c>
      <c r="H82" s="6">
        <v>48.68</v>
      </c>
      <c r="I82" t="s">
        <v>52</v>
      </c>
      <c r="J82" t="s">
        <v>81</v>
      </c>
      <c r="K82" t="s">
        <v>54</v>
      </c>
      <c r="L82" t="s">
        <v>55</v>
      </c>
      <c r="O82" t="s">
        <v>82</v>
      </c>
      <c r="P82" t="s">
        <v>83</v>
      </c>
      <c r="Q82" s="6">
        <v>57287.26</v>
      </c>
    </row>
    <row r="83" spans="1:17">
      <c r="A83" t="s">
        <v>262</v>
      </c>
      <c r="B83" s="5">
        <v>46093</v>
      </c>
      <c r="C83" t="s">
        <v>263</v>
      </c>
      <c r="D83" t="s">
        <v>17</v>
      </c>
      <c r="E83" t="s">
        <v>2</v>
      </c>
      <c r="F83" t="s">
        <v>50</v>
      </c>
      <c r="G83" t="s">
        <v>100</v>
      </c>
      <c r="H83" s="6">
        <v>14.97</v>
      </c>
      <c r="I83" t="s">
        <v>52</v>
      </c>
      <c r="J83" t="s">
        <v>114</v>
      </c>
      <c r="K83" t="s">
        <v>54</v>
      </c>
      <c r="L83" t="s">
        <v>102</v>
      </c>
      <c r="O83" t="s">
        <v>103</v>
      </c>
      <c r="P83" t="s">
        <v>104</v>
      </c>
      <c r="Q83" s="6">
        <v>56998.91</v>
      </c>
    </row>
    <row r="84" spans="1:17">
      <c r="A84" t="s">
        <v>264</v>
      </c>
      <c r="B84" s="5">
        <v>46093</v>
      </c>
      <c r="C84" t="s">
        <v>265</v>
      </c>
      <c r="D84" t="s">
        <v>17</v>
      </c>
      <c r="E84" t="s">
        <v>2</v>
      </c>
      <c r="F84" t="s">
        <v>50</v>
      </c>
      <c r="G84" t="s">
        <v>51</v>
      </c>
      <c r="H84" s="6">
        <v>39.49</v>
      </c>
      <c r="I84" t="s">
        <v>52</v>
      </c>
      <c r="J84" t="s">
        <v>126</v>
      </c>
      <c r="K84" t="s">
        <v>54</v>
      </c>
      <c r="L84" t="s">
        <v>55</v>
      </c>
      <c r="O84" t="s">
        <v>56</v>
      </c>
      <c r="P84" t="s">
        <v>57</v>
      </c>
      <c r="Q84" s="6">
        <v>57247.77</v>
      </c>
    </row>
    <row r="85" spans="1:17">
      <c r="A85" t="s">
        <v>266</v>
      </c>
      <c r="B85" s="5">
        <v>46093</v>
      </c>
      <c r="C85" t="s">
        <v>267</v>
      </c>
      <c r="D85" t="s">
        <v>17</v>
      </c>
      <c r="E85" t="s">
        <v>2</v>
      </c>
      <c r="F85" t="s">
        <v>50</v>
      </c>
      <c r="G85" t="s">
        <v>51</v>
      </c>
      <c r="H85" s="6">
        <v>127.04</v>
      </c>
      <c r="I85" t="s">
        <v>52</v>
      </c>
      <c r="J85" t="s">
        <v>65</v>
      </c>
      <c r="K85" t="s">
        <v>54</v>
      </c>
      <c r="L85" t="s">
        <v>55</v>
      </c>
      <c r="O85" t="s">
        <v>66</v>
      </c>
      <c r="P85" t="s">
        <v>67</v>
      </c>
      <c r="Q85" s="6">
        <v>57120.73</v>
      </c>
    </row>
    <row r="86" spans="1:17">
      <c r="A86" t="s">
        <v>268</v>
      </c>
      <c r="B86" s="5">
        <v>46093</v>
      </c>
      <c r="C86" t="s">
        <v>269</v>
      </c>
      <c r="D86" t="s">
        <v>17</v>
      </c>
      <c r="E86" t="s">
        <v>2</v>
      </c>
      <c r="F86" t="s">
        <v>50</v>
      </c>
      <c r="G86" t="s">
        <v>100</v>
      </c>
      <c r="H86" s="6">
        <v>15</v>
      </c>
      <c r="I86" t="s">
        <v>52</v>
      </c>
      <c r="J86" t="s">
        <v>101</v>
      </c>
      <c r="K86" t="s">
        <v>54</v>
      </c>
      <c r="L86" t="s">
        <v>102</v>
      </c>
      <c r="O86" t="s">
        <v>103</v>
      </c>
      <c r="P86" t="s">
        <v>104</v>
      </c>
      <c r="Q86" s="6">
        <v>57105.73</v>
      </c>
    </row>
    <row r="87" spans="1:17">
      <c r="A87" t="s">
        <v>270</v>
      </c>
      <c r="B87" s="5">
        <v>46093</v>
      </c>
      <c r="C87" t="s">
        <v>271</v>
      </c>
      <c r="D87" t="s">
        <v>17</v>
      </c>
      <c r="E87" t="s">
        <v>2</v>
      </c>
      <c r="F87" t="s">
        <v>50</v>
      </c>
      <c r="G87" t="s">
        <v>51</v>
      </c>
      <c r="H87" s="6">
        <v>6.5</v>
      </c>
      <c r="I87" t="s">
        <v>52</v>
      </c>
      <c r="J87" t="s">
        <v>53</v>
      </c>
      <c r="K87" t="s">
        <v>54</v>
      </c>
      <c r="L87" t="s">
        <v>55</v>
      </c>
      <c r="O87" t="s">
        <v>56</v>
      </c>
      <c r="P87" t="s">
        <v>57</v>
      </c>
      <c r="Q87" s="6">
        <v>56992.41</v>
      </c>
    </row>
    <row r="88" spans="1:17">
      <c r="A88" t="s">
        <v>272</v>
      </c>
      <c r="B88" s="5">
        <v>46093</v>
      </c>
      <c r="C88" t="s">
        <v>273</v>
      </c>
      <c r="D88" t="s">
        <v>17</v>
      </c>
      <c r="E88" t="s">
        <v>2</v>
      </c>
      <c r="F88" t="s">
        <v>50</v>
      </c>
      <c r="G88" t="s">
        <v>51</v>
      </c>
      <c r="H88" s="6">
        <v>82.93</v>
      </c>
      <c r="I88" t="s">
        <v>52</v>
      </c>
      <c r="J88" t="s">
        <v>196</v>
      </c>
      <c r="K88" t="s">
        <v>54</v>
      </c>
      <c r="L88" t="s">
        <v>55</v>
      </c>
      <c r="O88" t="s">
        <v>197</v>
      </c>
      <c r="P88" t="s">
        <v>198</v>
      </c>
      <c r="Q88" s="6">
        <v>57022.8</v>
      </c>
    </row>
    <row r="89" spans="1:17">
      <c r="A89" t="s">
        <v>274</v>
      </c>
      <c r="B89" s="5">
        <v>46093</v>
      </c>
      <c r="C89" t="s">
        <v>275</v>
      </c>
      <c r="D89" t="s">
        <v>17</v>
      </c>
      <c r="E89" t="s">
        <v>2</v>
      </c>
      <c r="F89" t="s">
        <v>50</v>
      </c>
      <c r="G89" t="s">
        <v>51</v>
      </c>
      <c r="H89" s="6">
        <v>8.92</v>
      </c>
      <c r="I89" t="s">
        <v>52</v>
      </c>
      <c r="J89" t="s">
        <v>53</v>
      </c>
      <c r="K89" t="s">
        <v>54</v>
      </c>
      <c r="L89" t="s">
        <v>55</v>
      </c>
      <c r="O89" t="s">
        <v>56</v>
      </c>
      <c r="P89" t="s">
        <v>57</v>
      </c>
      <c r="Q89" s="6">
        <v>57013.88</v>
      </c>
    </row>
    <row r="90" spans="1:17">
      <c r="A90" t="s">
        <v>276</v>
      </c>
      <c r="B90" s="5">
        <v>46094</v>
      </c>
      <c r="C90" t="s">
        <v>277</v>
      </c>
      <c r="D90" t="s">
        <v>17</v>
      </c>
      <c r="E90" t="s">
        <v>2</v>
      </c>
      <c r="F90" t="s">
        <v>50</v>
      </c>
      <c r="G90" t="s">
        <v>100</v>
      </c>
      <c r="H90" s="6">
        <v>20.3</v>
      </c>
      <c r="I90" t="s">
        <v>52</v>
      </c>
      <c r="J90" t="s">
        <v>114</v>
      </c>
      <c r="K90" t="s">
        <v>54</v>
      </c>
      <c r="L90" t="s">
        <v>102</v>
      </c>
      <c r="O90" t="s">
        <v>103</v>
      </c>
      <c r="P90" t="s">
        <v>104</v>
      </c>
      <c r="Q90" s="6">
        <v>56900.25</v>
      </c>
    </row>
    <row r="91" spans="1:17">
      <c r="A91" t="s">
        <v>278</v>
      </c>
      <c r="B91" s="5">
        <v>46094</v>
      </c>
      <c r="C91" t="s">
        <v>279</v>
      </c>
      <c r="D91" t="s">
        <v>17</v>
      </c>
      <c r="E91" t="s">
        <v>2</v>
      </c>
      <c r="F91" t="s">
        <v>50</v>
      </c>
      <c r="G91" t="s">
        <v>51</v>
      </c>
      <c r="H91" s="6">
        <v>57.99</v>
      </c>
      <c r="I91" t="s">
        <v>52</v>
      </c>
      <c r="J91" t="s">
        <v>60</v>
      </c>
      <c r="K91" t="s">
        <v>54</v>
      </c>
      <c r="L91" t="s">
        <v>55</v>
      </c>
      <c r="O91" t="s">
        <v>61</v>
      </c>
      <c r="P91" t="s">
        <v>62</v>
      </c>
      <c r="Q91" s="6">
        <v>56772.82</v>
      </c>
    </row>
    <row r="92" spans="1:17">
      <c r="A92" t="s">
        <v>280</v>
      </c>
      <c r="B92" s="5">
        <v>46094</v>
      </c>
      <c r="C92" t="s">
        <v>281</v>
      </c>
      <c r="D92" t="s">
        <v>17</v>
      </c>
      <c r="E92" t="s">
        <v>2</v>
      </c>
      <c r="F92" t="s">
        <v>50</v>
      </c>
      <c r="G92" t="s">
        <v>51</v>
      </c>
      <c r="H92" s="6">
        <v>9.1999999999999993</v>
      </c>
      <c r="I92" t="s">
        <v>52</v>
      </c>
      <c r="J92" t="s">
        <v>121</v>
      </c>
      <c r="K92" t="s">
        <v>54</v>
      </c>
      <c r="L92" t="s">
        <v>55</v>
      </c>
      <c r="O92" t="s">
        <v>122</v>
      </c>
      <c r="P92" t="s">
        <v>123</v>
      </c>
      <c r="Q92" s="6">
        <v>56763.62</v>
      </c>
    </row>
    <row r="93" spans="1:17">
      <c r="A93" t="s">
        <v>282</v>
      </c>
      <c r="B93" s="5">
        <v>46094</v>
      </c>
      <c r="C93" t="s">
        <v>283</v>
      </c>
      <c r="D93" t="s">
        <v>17</v>
      </c>
      <c r="E93" t="s">
        <v>2</v>
      </c>
      <c r="F93" t="s">
        <v>50</v>
      </c>
      <c r="G93" t="s">
        <v>51</v>
      </c>
      <c r="H93" s="6">
        <v>69.44</v>
      </c>
      <c r="I93" t="s">
        <v>52</v>
      </c>
      <c r="J93" t="s">
        <v>60</v>
      </c>
      <c r="K93" t="s">
        <v>54</v>
      </c>
      <c r="L93" t="s">
        <v>55</v>
      </c>
      <c r="O93" t="s">
        <v>61</v>
      </c>
      <c r="P93" t="s">
        <v>62</v>
      </c>
      <c r="Q93" s="6">
        <v>56830.81</v>
      </c>
    </row>
    <row r="94" spans="1:17">
      <c r="A94" t="s">
        <v>284</v>
      </c>
      <c r="B94" s="5">
        <v>46094</v>
      </c>
      <c r="C94" t="s">
        <v>285</v>
      </c>
      <c r="D94" t="s">
        <v>17</v>
      </c>
      <c r="E94" t="s">
        <v>2</v>
      </c>
      <c r="F94" t="s">
        <v>50</v>
      </c>
      <c r="G94" t="s">
        <v>51</v>
      </c>
      <c r="H94" s="6">
        <v>86.84</v>
      </c>
      <c r="I94" t="s">
        <v>52</v>
      </c>
      <c r="J94" t="s">
        <v>196</v>
      </c>
      <c r="K94" t="s">
        <v>54</v>
      </c>
      <c r="L94" t="s">
        <v>55</v>
      </c>
      <c r="O94" t="s">
        <v>197</v>
      </c>
      <c r="P94" t="s">
        <v>198</v>
      </c>
      <c r="Q94" s="6">
        <v>56676.78</v>
      </c>
    </row>
    <row r="95" spans="1:17">
      <c r="A95" t="s">
        <v>286</v>
      </c>
      <c r="B95" s="5">
        <v>46094</v>
      </c>
      <c r="C95" t="s">
        <v>287</v>
      </c>
      <c r="D95" t="s">
        <v>17</v>
      </c>
      <c r="E95" t="s">
        <v>2</v>
      </c>
      <c r="F95" t="s">
        <v>50</v>
      </c>
      <c r="G95" t="s">
        <v>51</v>
      </c>
      <c r="H95" s="6">
        <v>57.34</v>
      </c>
      <c r="I95" t="s">
        <v>52</v>
      </c>
      <c r="J95" t="s">
        <v>196</v>
      </c>
      <c r="K95" t="s">
        <v>54</v>
      </c>
      <c r="L95" t="s">
        <v>55</v>
      </c>
      <c r="O95" t="s">
        <v>197</v>
      </c>
      <c r="P95" t="s">
        <v>198</v>
      </c>
      <c r="Q95" s="6">
        <v>56920.55</v>
      </c>
    </row>
    <row r="96" spans="1:17">
      <c r="A96" t="s">
        <v>288</v>
      </c>
      <c r="B96" s="5">
        <v>46094</v>
      </c>
      <c r="C96" t="s">
        <v>289</v>
      </c>
      <c r="D96" t="s">
        <v>17</v>
      </c>
      <c r="E96" t="s">
        <v>2</v>
      </c>
      <c r="F96" t="s">
        <v>50</v>
      </c>
      <c r="G96" t="s">
        <v>51</v>
      </c>
      <c r="H96" s="6">
        <v>14.52</v>
      </c>
      <c r="I96" t="s">
        <v>52</v>
      </c>
      <c r="J96" t="s">
        <v>121</v>
      </c>
      <c r="K96" t="s">
        <v>54</v>
      </c>
      <c r="L96" t="s">
        <v>55</v>
      </c>
      <c r="O96" t="s">
        <v>122</v>
      </c>
      <c r="P96" t="s">
        <v>123</v>
      </c>
      <c r="Q96" s="6">
        <v>56977.89</v>
      </c>
    </row>
    <row r="97" spans="1:17">
      <c r="A97" t="s">
        <v>290</v>
      </c>
      <c r="B97" s="5">
        <v>46095</v>
      </c>
      <c r="C97" t="s">
        <v>291</v>
      </c>
      <c r="D97" t="s">
        <v>17</v>
      </c>
      <c r="E97" t="s">
        <v>2</v>
      </c>
      <c r="F97" t="s">
        <v>50</v>
      </c>
      <c r="G97" t="s">
        <v>51</v>
      </c>
      <c r="H97" s="6">
        <v>13.41</v>
      </c>
      <c r="I97" t="s">
        <v>52</v>
      </c>
      <c r="J97" t="s">
        <v>121</v>
      </c>
      <c r="K97" t="s">
        <v>54</v>
      </c>
      <c r="L97" t="s">
        <v>55</v>
      </c>
      <c r="O97" t="s">
        <v>122</v>
      </c>
      <c r="P97" t="s">
        <v>123</v>
      </c>
      <c r="Q97" s="6">
        <v>56663.37</v>
      </c>
    </row>
    <row r="98" spans="1:17">
      <c r="A98" t="s">
        <v>292</v>
      </c>
      <c r="B98" s="5">
        <v>46095</v>
      </c>
      <c r="C98" t="s">
        <v>293</v>
      </c>
      <c r="D98" t="s">
        <v>17</v>
      </c>
      <c r="E98" t="s">
        <v>2</v>
      </c>
      <c r="F98" t="s">
        <v>50</v>
      </c>
      <c r="G98" t="s">
        <v>51</v>
      </c>
      <c r="H98" s="6">
        <v>187.14</v>
      </c>
      <c r="I98" t="s">
        <v>52</v>
      </c>
      <c r="J98" t="s">
        <v>196</v>
      </c>
      <c r="K98" t="s">
        <v>54</v>
      </c>
      <c r="L98" t="s">
        <v>55</v>
      </c>
      <c r="O98" t="s">
        <v>197</v>
      </c>
      <c r="P98" t="s">
        <v>198</v>
      </c>
      <c r="Q98" s="6">
        <v>56169.93</v>
      </c>
    </row>
    <row r="99" spans="1:17">
      <c r="A99" t="s">
        <v>294</v>
      </c>
      <c r="B99" s="5">
        <v>46095</v>
      </c>
      <c r="C99" t="s">
        <v>295</v>
      </c>
      <c r="D99" t="s">
        <v>17</v>
      </c>
      <c r="E99" t="s">
        <v>2</v>
      </c>
      <c r="F99" t="s">
        <v>50</v>
      </c>
      <c r="G99" t="s">
        <v>51</v>
      </c>
      <c r="H99" s="6">
        <v>155.57</v>
      </c>
      <c r="I99" t="s">
        <v>52</v>
      </c>
      <c r="J99" t="s">
        <v>196</v>
      </c>
      <c r="K99" t="s">
        <v>54</v>
      </c>
      <c r="L99" t="s">
        <v>55</v>
      </c>
      <c r="O99" t="s">
        <v>197</v>
      </c>
      <c r="P99" t="s">
        <v>198</v>
      </c>
      <c r="Q99" s="6">
        <v>56357.07</v>
      </c>
    </row>
    <row r="100" spans="1:17">
      <c r="A100" t="s">
        <v>296</v>
      </c>
      <c r="B100" s="5">
        <v>46095</v>
      </c>
      <c r="C100" t="s">
        <v>297</v>
      </c>
      <c r="D100" t="s">
        <v>17</v>
      </c>
      <c r="E100" t="s">
        <v>2</v>
      </c>
      <c r="F100" t="s">
        <v>50</v>
      </c>
      <c r="G100" t="s">
        <v>51</v>
      </c>
      <c r="H100" s="6">
        <v>12.86</v>
      </c>
      <c r="I100" t="s">
        <v>52</v>
      </c>
      <c r="J100" t="s">
        <v>81</v>
      </c>
      <c r="K100" t="s">
        <v>54</v>
      </c>
      <c r="L100" t="s">
        <v>55</v>
      </c>
      <c r="O100" t="s">
        <v>82</v>
      </c>
      <c r="P100" t="s">
        <v>83</v>
      </c>
      <c r="Q100" s="6">
        <v>56512.639999999999</v>
      </c>
    </row>
    <row r="101" spans="1:17">
      <c r="A101" t="s">
        <v>298</v>
      </c>
      <c r="B101" s="5">
        <v>46095</v>
      </c>
      <c r="C101" t="s">
        <v>299</v>
      </c>
      <c r="D101" t="s">
        <v>17</v>
      </c>
      <c r="E101" t="s">
        <v>2</v>
      </c>
      <c r="F101" t="s">
        <v>50</v>
      </c>
      <c r="G101" t="s">
        <v>51</v>
      </c>
      <c r="H101" s="6">
        <v>34.35</v>
      </c>
      <c r="I101" t="s">
        <v>52</v>
      </c>
      <c r="J101" t="s">
        <v>126</v>
      </c>
      <c r="K101" t="s">
        <v>54</v>
      </c>
      <c r="L101" t="s">
        <v>55</v>
      </c>
      <c r="O101" t="s">
        <v>56</v>
      </c>
      <c r="P101" t="s">
        <v>57</v>
      </c>
      <c r="Q101" s="6">
        <v>56525.5</v>
      </c>
    </row>
    <row r="102" spans="1:17">
      <c r="A102" t="s">
        <v>300</v>
      </c>
      <c r="B102" s="5">
        <v>46095</v>
      </c>
      <c r="C102" t="s">
        <v>301</v>
      </c>
      <c r="D102" t="s">
        <v>17</v>
      </c>
      <c r="E102" t="s">
        <v>2</v>
      </c>
      <c r="F102" t="s">
        <v>50</v>
      </c>
      <c r="G102" t="s">
        <v>51</v>
      </c>
      <c r="H102" s="6">
        <v>88.52</v>
      </c>
      <c r="I102" t="s">
        <v>52</v>
      </c>
      <c r="J102" t="s">
        <v>196</v>
      </c>
      <c r="K102" t="s">
        <v>54</v>
      </c>
      <c r="L102" t="s">
        <v>55</v>
      </c>
      <c r="O102" t="s">
        <v>197</v>
      </c>
      <c r="P102" t="s">
        <v>198</v>
      </c>
      <c r="Q102" s="6">
        <v>56574.85</v>
      </c>
    </row>
    <row r="103" spans="1:17">
      <c r="A103" t="s">
        <v>302</v>
      </c>
      <c r="B103" s="5">
        <v>46095</v>
      </c>
      <c r="C103" t="s">
        <v>303</v>
      </c>
      <c r="D103" t="s">
        <v>17</v>
      </c>
      <c r="E103" t="s">
        <v>2</v>
      </c>
      <c r="F103" t="s">
        <v>50</v>
      </c>
      <c r="G103" t="s">
        <v>100</v>
      </c>
      <c r="H103" s="6">
        <v>15</v>
      </c>
      <c r="I103" t="s">
        <v>52</v>
      </c>
      <c r="J103" t="s">
        <v>101</v>
      </c>
      <c r="K103" t="s">
        <v>54</v>
      </c>
      <c r="L103" t="s">
        <v>102</v>
      </c>
      <c r="O103" t="s">
        <v>103</v>
      </c>
      <c r="P103" t="s">
        <v>104</v>
      </c>
      <c r="Q103" s="6">
        <v>56559.85</v>
      </c>
    </row>
    <row r="104" spans="1:17">
      <c r="A104" t="s">
        <v>304</v>
      </c>
      <c r="B104" s="5">
        <v>46096</v>
      </c>
      <c r="C104" t="s">
        <v>305</v>
      </c>
      <c r="D104" t="s">
        <v>17</v>
      </c>
      <c r="E104" t="s">
        <v>2</v>
      </c>
      <c r="F104" t="s">
        <v>50</v>
      </c>
      <c r="G104" t="s">
        <v>100</v>
      </c>
      <c r="H104" s="6">
        <v>13.74</v>
      </c>
      <c r="I104" t="s">
        <v>52</v>
      </c>
      <c r="J104" t="s">
        <v>114</v>
      </c>
      <c r="K104" t="s">
        <v>54</v>
      </c>
      <c r="L104" t="s">
        <v>102</v>
      </c>
      <c r="O104" t="s">
        <v>103</v>
      </c>
      <c r="P104" t="s">
        <v>104</v>
      </c>
      <c r="Q104" s="6">
        <v>55966.51</v>
      </c>
    </row>
    <row r="105" spans="1:17">
      <c r="A105" t="s">
        <v>306</v>
      </c>
      <c r="B105" s="5">
        <v>46096</v>
      </c>
      <c r="C105" t="s">
        <v>307</v>
      </c>
      <c r="D105" t="s">
        <v>17</v>
      </c>
      <c r="E105" t="s">
        <v>2</v>
      </c>
      <c r="F105" t="s">
        <v>50</v>
      </c>
      <c r="G105" t="s">
        <v>51</v>
      </c>
      <c r="H105" s="6">
        <v>131.37</v>
      </c>
      <c r="I105" t="s">
        <v>52</v>
      </c>
      <c r="J105" t="s">
        <v>65</v>
      </c>
      <c r="K105" t="s">
        <v>54</v>
      </c>
      <c r="L105" t="s">
        <v>55</v>
      </c>
      <c r="O105" t="s">
        <v>66</v>
      </c>
      <c r="P105" t="s">
        <v>67</v>
      </c>
      <c r="Q105" s="6">
        <v>56023.56</v>
      </c>
    </row>
    <row r="106" spans="1:17">
      <c r="A106" t="s">
        <v>308</v>
      </c>
      <c r="B106" s="5">
        <v>46096</v>
      </c>
      <c r="C106" t="s">
        <v>309</v>
      </c>
      <c r="D106" t="s">
        <v>17</v>
      </c>
      <c r="E106" t="s">
        <v>2</v>
      </c>
      <c r="F106" t="s">
        <v>50</v>
      </c>
      <c r="G106" t="s">
        <v>100</v>
      </c>
      <c r="H106" s="6">
        <v>15</v>
      </c>
      <c r="I106" t="s">
        <v>52</v>
      </c>
      <c r="J106" t="s">
        <v>101</v>
      </c>
      <c r="K106" t="s">
        <v>54</v>
      </c>
      <c r="L106" t="s">
        <v>102</v>
      </c>
      <c r="O106" t="s">
        <v>103</v>
      </c>
      <c r="P106" t="s">
        <v>104</v>
      </c>
      <c r="Q106" s="6">
        <v>56154.93</v>
      </c>
    </row>
    <row r="107" spans="1:17">
      <c r="A107" t="s">
        <v>310</v>
      </c>
      <c r="B107" s="5">
        <v>46096</v>
      </c>
      <c r="C107" t="s">
        <v>311</v>
      </c>
      <c r="D107" t="s">
        <v>17</v>
      </c>
      <c r="E107" t="s">
        <v>2</v>
      </c>
      <c r="F107" t="s">
        <v>50</v>
      </c>
      <c r="G107" t="s">
        <v>100</v>
      </c>
      <c r="H107" s="6">
        <v>16.690000000000001</v>
      </c>
      <c r="I107" t="s">
        <v>52</v>
      </c>
      <c r="J107" t="s">
        <v>114</v>
      </c>
      <c r="K107" t="s">
        <v>54</v>
      </c>
      <c r="L107" t="s">
        <v>102</v>
      </c>
      <c r="O107" t="s">
        <v>103</v>
      </c>
      <c r="P107" t="s">
        <v>104</v>
      </c>
      <c r="Q107" s="6">
        <v>55919.82</v>
      </c>
    </row>
    <row r="108" spans="1:17">
      <c r="A108" t="s">
        <v>312</v>
      </c>
      <c r="B108" s="5">
        <v>46096</v>
      </c>
      <c r="C108" t="s">
        <v>313</v>
      </c>
      <c r="D108" t="s">
        <v>17</v>
      </c>
      <c r="E108" t="s">
        <v>2</v>
      </c>
      <c r="F108" t="s">
        <v>50</v>
      </c>
      <c r="G108" t="s">
        <v>100</v>
      </c>
      <c r="H108" s="6">
        <v>15</v>
      </c>
      <c r="I108" t="s">
        <v>52</v>
      </c>
      <c r="J108" t="s">
        <v>101</v>
      </c>
      <c r="K108" t="s">
        <v>54</v>
      </c>
      <c r="L108" t="s">
        <v>102</v>
      </c>
      <c r="O108" t="s">
        <v>103</v>
      </c>
      <c r="P108" t="s">
        <v>104</v>
      </c>
      <c r="Q108" s="6">
        <v>55904.82</v>
      </c>
    </row>
    <row r="109" spans="1:17">
      <c r="A109" t="s">
        <v>314</v>
      </c>
      <c r="B109" s="5">
        <v>46096</v>
      </c>
      <c r="C109" t="s">
        <v>315</v>
      </c>
      <c r="D109" t="s">
        <v>17</v>
      </c>
      <c r="E109" t="s">
        <v>2</v>
      </c>
      <c r="F109" t="s">
        <v>50</v>
      </c>
      <c r="G109" t="s">
        <v>72</v>
      </c>
      <c r="H109" s="6">
        <v>120.28</v>
      </c>
      <c r="I109" t="s">
        <v>52</v>
      </c>
      <c r="J109" t="s">
        <v>316</v>
      </c>
      <c r="K109" t="s">
        <v>54</v>
      </c>
      <c r="L109" t="s">
        <v>74</v>
      </c>
      <c r="O109" t="s">
        <v>75</v>
      </c>
      <c r="P109" t="s">
        <v>76</v>
      </c>
      <c r="Q109" s="6">
        <v>55784.54</v>
      </c>
    </row>
    <row r="110" spans="1:17">
      <c r="A110" t="s">
        <v>317</v>
      </c>
      <c r="B110" s="5">
        <v>46096</v>
      </c>
      <c r="C110" t="s">
        <v>318</v>
      </c>
      <c r="D110" t="s">
        <v>17</v>
      </c>
      <c r="E110" t="s">
        <v>2</v>
      </c>
      <c r="F110" t="s">
        <v>50</v>
      </c>
      <c r="G110" t="s">
        <v>100</v>
      </c>
      <c r="H110" s="6">
        <v>15</v>
      </c>
      <c r="I110" t="s">
        <v>52</v>
      </c>
      <c r="J110" t="s">
        <v>101</v>
      </c>
      <c r="K110" t="s">
        <v>54</v>
      </c>
      <c r="L110" t="s">
        <v>102</v>
      </c>
      <c r="O110" t="s">
        <v>103</v>
      </c>
      <c r="P110" t="s">
        <v>104</v>
      </c>
      <c r="Q110" s="6">
        <v>55951.51</v>
      </c>
    </row>
    <row r="111" spans="1:17">
      <c r="A111" t="s">
        <v>319</v>
      </c>
      <c r="B111" s="5">
        <v>46096</v>
      </c>
      <c r="C111" t="s">
        <v>320</v>
      </c>
      <c r="D111" t="s">
        <v>17</v>
      </c>
      <c r="E111" t="s">
        <v>2</v>
      </c>
      <c r="F111" t="s">
        <v>149</v>
      </c>
      <c r="G111" t="s">
        <v>321</v>
      </c>
      <c r="H111" s="6">
        <v>3211.03</v>
      </c>
      <c r="I111" t="s">
        <v>52</v>
      </c>
      <c r="J111" t="s">
        <v>9</v>
      </c>
      <c r="K111" t="s">
        <v>54</v>
      </c>
      <c r="L111" t="s">
        <v>102</v>
      </c>
      <c r="O111" t="s">
        <v>322</v>
      </c>
      <c r="P111" t="s">
        <v>323</v>
      </c>
      <c r="Q111" s="6">
        <v>16458.43</v>
      </c>
    </row>
    <row r="112" spans="1:17">
      <c r="A112" t="s">
        <v>324</v>
      </c>
      <c r="B112" s="5">
        <v>46096</v>
      </c>
      <c r="C112" t="s">
        <v>325</v>
      </c>
      <c r="D112" t="s">
        <v>17</v>
      </c>
      <c r="E112" t="s">
        <v>2</v>
      </c>
      <c r="F112" t="s">
        <v>50</v>
      </c>
      <c r="G112" t="s">
        <v>100</v>
      </c>
      <c r="H112" s="6">
        <v>15</v>
      </c>
      <c r="I112" t="s">
        <v>52</v>
      </c>
      <c r="J112" t="s">
        <v>101</v>
      </c>
      <c r="K112" t="s">
        <v>54</v>
      </c>
      <c r="L112" t="s">
        <v>102</v>
      </c>
      <c r="O112" t="s">
        <v>103</v>
      </c>
      <c r="P112" t="s">
        <v>104</v>
      </c>
      <c r="Q112" s="6">
        <v>55936.51</v>
      </c>
    </row>
    <row r="113" spans="1:17">
      <c r="A113" t="s">
        <v>326</v>
      </c>
      <c r="B113" s="5">
        <v>46096</v>
      </c>
      <c r="C113" t="s">
        <v>327</v>
      </c>
      <c r="D113" t="s">
        <v>17</v>
      </c>
      <c r="E113" t="s">
        <v>2</v>
      </c>
      <c r="F113" t="s">
        <v>50</v>
      </c>
      <c r="G113" t="s">
        <v>51</v>
      </c>
      <c r="H113" s="6">
        <v>43.31</v>
      </c>
      <c r="I113" t="s">
        <v>52</v>
      </c>
      <c r="J113" t="s">
        <v>196</v>
      </c>
      <c r="K113" t="s">
        <v>54</v>
      </c>
      <c r="L113" t="s">
        <v>55</v>
      </c>
      <c r="O113" t="s">
        <v>197</v>
      </c>
      <c r="P113" t="s">
        <v>198</v>
      </c>
      <c r="Q113" s="6">
        <v>55980.25</v>
      </c>
    </row>
    <row r="114" spans="1:17">
      <c r="A114" t="s">
        <v>328</v>
      </c>
      <c r="B114" s="5">
        <v>46097</v>
      </c>
      <c r="C114" t="s">
        <v>329</v>
      </c>
      <c r="D114" t="s">
        <v>17</v>
      </c>
      <c r="E114" t="s">
        <v>2</v>
      </c>
      <c r="F114" t="s">
        <v>50</v>
      </c>
      <c r="G114" t="s">
        <v>51</v>
      </c>
      <c r="H114" s="6">
        <v>8.6999999999999993</v>
      </c>
      <c r="I114" t="s">
        <v>52</v>
      </c>
      <c r="J114" t="s">
        <v>53</v>
      </c>
      <c r="K114" t="s">
        <v>54</v>
      </c>
      <c r="L114" t="s">
        <v>55</v>
      </c>
      <c r="O114" t="s">
        <v>56</v>
      </c>
      <c r="P114" t="s">
        <v>57</v>
      </c>
      <c r="Q114" s="6">
        <v>55775.839999999997</v>
      </c>
    </row>
    <row r="115" spans="1:17">
      <c r="A115" t="s">
        <v>330</v>
      </c>
      <c r="B115" s="5">
        <v>46097</v>
      </c>
      <c r="C115" t="s">
        <v>331</v>
      </c>
      <c r="D115" t="s">
        <v>17</v>
      </c>
      <c r="E115" t="s">
        <v>2</v>
      </c>
      <c r="F115" t="s">
        <v>50</v>
      </c>
      <c r="G115" t="s">
        <v>51</v>
      </c>
      <c r="H115" s="6">
        <v>80.180000000000007</v>
      </c>
      <c r="I115" t="s">
        <v>52</v>
      </c>
      <c r="J115" t="s">
        <v>196</v>
      </c>
      <c r="K115" t="s">
        <v>54</v>
      </c>
      <c r="L115" t="s">
        <v>55</v>
      </c>
      <c r="O115" t="s">
        <v>197</v>
      </c>
      <c r="P115" t="s">
        <v>198</v>
      </c>
      <c r="Q115" s="6">
        <v>55695.66</v>
      </c>
    </row>
    <row r="116" spans="1:17">
      <c r="A116" t="s">
        <v>332</v>
      </c>
      <c r="B116" s="5">
        <v>46097</v>
      </c>
      <c r="C116" t="s">
        <v>333</v>
      </c>
      <c r="D116" t="s">
        <v>17</v>
      </c>
      <c r="E116" t="s">
        <v>2</v>
      </c>
      <c r="F116" t="s">
        <v>50</v>
      </c>
      <c r="G116" t="s">
        <v>51</v>
      </c>
      <c r="H116" s="6">
        <v>42.74</v>
      </c>
      <c r="I116" t="s">
        <v>52</v>
      </c>
      <c r="J116" t="s">
        <v>60</v>
      </c>
      <c r="K116" t="s">
        <v>54</v>
      </c>
      <c r="L116" t="s">
        <v>55</v>
      </c>
      <c r="O116" t="s">
        <v>61</v>
      </c>
      <c r="P116" t="s">
        <v>62</v>
      </c>
      <c r="Q116" s="6">
        <v>55652.92</v>
      </c>
    </row>
    <row r="117" spans="1:17">
      <c r="A117" t="s">
        <v>334</v>
      </c>
      <c r="B117" s="5">
        <v>46097</v>
      </c>
      <c r="C117" t="s">
        <v>335</v>
      </c>
      <c r="D117" t="s">
        <v>17</v>
      </c>
      <c r="E117" t="s">
        <v>2</v>
      </c>
      <c r="F117" t="s">
        <v>50</v>
      </c>
      <c r="G117" t="s">
        <v>51</v>
      </c>
      <c r="H117" s="6">
        <v>126.8</v>
      </c>
      <c r="I117" t="s">
        <v>52</v>
      </c>
      <c r="J117" t="s">
        <v>65</v>
      </c>
      <c r="K117" t="s">
        <v>54</v>
      </c>
      <c r="L117" t="s">
        <v>55</v>
      </c>
      <c r="O117" t="s">
        <v>66</v>
      </c>
      <c r="P117" t="s">
        <v>67</v>
      </c>
      <c r="Q117" s="6">
        <v>55521.94</v>
      </c>
    </row>
    <row r="118" spans="1:17">
      <c r="A118" t="s">
        <v>336</v>
      </c>
      <c r="B118" s="5">
        <v>46097</v>
      </c>
      <c r="C118" t="s">
        <v>337</v>
      </c>
      <c r="D118" t="s">
        <v>17</v>
      </c>
      <c r="E118" t="s">
        <v>2</v>
      </c>
      <c r="F118" t="s">
        <v>50</v>
      </c>
      <c r="G118" t="s">
        <v>51</v>
      </c>
      <c r="H118" s="6">
        <v>23.53</v>
      </c>
      <c r="I118" t="s">
        <v>52</v>
      </c>
      <c r="J118" t="s">
        <v>81</v>
      </c>
      <c r="K118" t="s">
        <v>54</v>
      </c>
      <c r="L118" t="s">
        <v>55</v>
      </c>
      <c r="O118" t="s">
        <v>82</v>
      </c>
      <c r="P118" t="s">
        <v>83</v>
      </c>
      <c r="Q118" s="6">
        <v>55498.41</v>
      </c>
    </row>
    <row r="119" spans="1:17">
      <c r="A119" t="s">
        <v>338</v>
      </c>
      <c r="B119" s="5">
        <v>46097</v>
      </c>
      <c r="C119" t="s">
        <v>339</v>
      </c>
      <c r="D119" t="s">
        <v>17</v>
      </c>
      <c r="E119" t="s">
        <v>2</v>
      </c>
      <c r="F119" t="s">
        <v>50</v>
      </c>
      <c r="G119" t="s">
        <v>51</v>
      </c>
      <c r="H119" s="6">
        <v>4.18</v>
      </c>
      <c r="I119" t="s">
        <v>52</v>
      </c>
      <c r="J119" t="s">
        <v>121</v>
      </c>
      <c r="K119" t="s">
        <v>54</v>
      </c>
      <c r="L119" t="s">
        <v>55</v>
      </c>
      <c r="O119" t="s">
        <v>122</v>
      </c>
      <c r="P119" t="s">
        <v>123</v>
      </c>
      <c r="Q119" s="6">
        <v>55648.74</v>
      </c>
    </row>
    <row r="120" spans="1:17">
      <c r="A120" t="s">
        <v>340</v>
      </c>
      <c r="B120" s="5">
        <v>46098</v>
      </c>
      <c r="C120" t="s">
        <v>341</v>
      </c>
      <c r="D120" t="s">
        <v>17</v>
      </c>
      <c r="E120" t="s">
        <v>2</v>
      </c>
      <c r="F120" t="s">
        <v>50</v>
      </c>
      <c r="G120" t="s">
        <v>100</v>
      </c>
      <c r="H120" s="6">
        <v>15</v>
      </c>
      <c r="I120" t="s">
        <v>52</v>
      </c>
      <c r="J120" t="s">
        <v>101</v>
      </c>
      <c r="K120" t="s">
        <v>54</v>
      </c>
      <c r="L120" t="s">
        <v>102</v>
      </c>
      <c r="O120" t="s">
        <v>103</v>
      </c>
      <c r="P120" t="s">
        <v>104</v>
      </c>
      <c r="Q120" s="6">
        <v>55459.02</v>
      </c>
    </row>
    <row r="121" spans="1:17">
      <c r="A121" t="s">
        <v>342</v>
      </c>
      <c r="B121" s="5">
        <v>46098</v>
      </c>
      <c r="C121" t="s">
        <v>343</v>
      </c>
      <c r="D121" t="s">
        <v>17</v>
      </c>
      <c r="E121" t="s">
        <v>2</v>
      </c>
      <c r="F121" t="s">
        <v>149</v>
      </c>
      <c r="G121" t="s">
        <v>72</v>
      </c>
      <c r="H121" s="6">
        <v>87.45</v>
      </c>
      <c r="I121" t="s">
        <v>52</v>
      </c>
      <c r="J121" t="s">
        <v>316</v>
      </c>
      <c r="K121" t="s">
        <v>54</v>
      </c>
      <c r="L121" t="s">
        <v>74</v>
      </c>
      <c r="O121" t="s">
        <v>75</v>
      </c>
      <c r="P121" t="s">
        <v>76</v>
      </c>
      <c r="Q121" s="6">
        <v>55409.87</v>
      </c>
    </row>
    <row r="122" spans="1:17">
      <c r="A122" t="s">
        <v>344</v>
      </c>
      <c r="B122" s="5">
        <v>46098</v>
      </c>
      <c r="C122" t="s">
        <v>345</v>
      </c>
      <c r="D122" t="s">
        <v>17</v>
      </c>
      <c r="E122" t="s">
        <v>2</v>
      </c>
      <c r="F122" t="s">
        <v>50</v>
      </c>
      <c r="G122" t="s">
        <v>100</v>
      </c>
      <c r="H122" s="6">
        <v>15</v>
      </c>
      <c r="I122" t="s">
        <v>52</v>
      </c>
      <c r="J122" t="s">
        <v>101</v>
      </c>
      <c r="K122" t="s">
        <v>54</v>
      </c>
      <c r="L122" t="s">
        <v>102</v>
      </c>
      <c r="O122" t="s">
        <v>103</v>
      </c>
      <c r="P122" t="s">
        <v>104</v>
      </c>
      <c r="Q122" s="6">
        <v>55415.360000000001</v>
      </c>
    </row>
    <row r="123" spans="1:17">
      <c r="A123" t="s">
        <v>346</v>
      </c>
      <c r="B123" s="5">
        <v>46098</v>
      </c>
      <c r="C123" t="s">
        <v>347</v>
      </c>
      <c r="D123" t="s">
        <v>17</v>
      </c>
      <c r="E123" t="s">
        <v>2</v>
      </c>
      <c r="F123" t="s">
        <v>50</v>
      </c>
      <c r="G123" t="s">
        <v>51</v>
      </c>
      <c r="H123" s="6">
        <v>92.94</v>
      </c>
      <c r="I123" t="s">
        <v>52</v>
      </c>
      <c r="J123" t="s">
        <v>196</v>
      </c>
      <c r="K123" t="s">
        <v>54</v>
      </c>
      <c r="L123" t="s">
        <v>55</v>
      </c>
      <c r="O123" t="s">
        <v>197</v>
      </c>
      <c r="P123" t="s">
        <v>198</v>
      </c>
      <c r="Q123" s="6">
        <v>55322.42</v>
      </c>
    </row>
    <row r="124" spans="1:17">
      <c r="A124" t="s">
        <v>348</v>
      </c>
      <c r="B124" s="5">
        <v>46098</v>
      </c>
      <c r="C124" t="s">
        <v>349</v>
      </c>
      <c r="D124" t="s">
        <v>17</v>
      </c>
      <c r="E124" t="s">
        <v>2</v>
      </c>
      <c r="F124" t="s">
        <v>50</v>
      </c>
      <c r="G124" t="s">
        <v>51</v>
      </c>
      <c r="H124" s="6">
        <v>9.39</v>
      </c>
      <c r="I124" t="s">
        <v>52</v>
      </c>
      <c r="J124" t="s">
        <v>121</v>
      </c>
      <c r="K124" t="s">
        <v>54</v>
      </c>
      <c r="L124" t="s">
        <v>55</v>
      </c>
      <c r="O124" t="s">
        <v>122</v>
      </c>
      <c r="P124" t="s">
        <v>123</v>
      </c>
      <c r="Q124" s="6">
        <v>55474.02</v>
      </c>
    </row>
    <row r="125" spans="1:17">
      <c r="A125" t="s">
        <v>350</v>
      </c>
      <c r="B125" s="5">
        <v>46098</v>
      </c>
      <c r="C125" t="s">
        <v>351</v>
      </c>
      <c r="D125" t="s">
        <v>17</v>
      </c>
      <c r="E125" t="s">
        <v>2</v>
      </c>
      <c r="F125" t="s">
        <v>50</v>
      </c>
      <c r="G125" t="s">
        <v>51</v>
      </c>
      <c r="H125" s="6">
        <v>28.66</v>
      </c>
      <c r="I125" t="s">
        <v>52</v>
      </c>
      <c r="J125" t="s">
        <v>65</v>
      </c>
      <c r="K125" t="s">
        <v>54</v>
      </c>
      <c r="L125" t="s">
        <v>55</v>
      </c>
      <c r="O125" t="s">
        <v>66</v>
      </c>
      <c r="P125" t="s">
        <v>67</v>
      </c>
      <c r="Q125" s="6">
        <v>55430.36</v>
      </c>
    </row>
    <row r="126" spans="1:17">
      <c r="A126" t="s">
        <v>352</v>
      </c>
      <c r="B126" s="5">
        <v>46098</v>
      </c>
      <c r="C126" t="s">
        <v>353</v>
      </c>
      <c r="D126" t="s">
        <v>17</v>
      </c>
      <c r="E126" t="s">
        <v>2</v>
      </c>
      <c r="F126" t="s">
        <v>50</v>
      </c>
      <c r="G126" t="s">
        <v>100</v>
      </c>
      <c r="H126" s="6">
        <v>15</v>
      </c>
      <c r="I126" t="s">
        <v>52</v>
      </c>
      <c r="J126" t="s">
        <v>101</v>
      </c>
      <c r="K126" t="s">
        <v>54</v>
      </c>
      <c r="L126" t="s">
        <v>102</v>
      </c>
      <c r="O126" t="s">
        <v>103</v>
      </c>
      <c r="P126" t="s">
        <v>104</v>
      </c>
      <c r="Q126" s="6">
        <v>55483.41</v>
      </c>
    </row>
    <row r="127" spans="1:17">
      <c r="A127" t="s">
        <v>354</v>
      </c>
      <c r="B127" s="5">
        <v>46099</v>
      </c>
      <c r="C127" t="s">
        <v>355</v>
      </c>
      <c r="D127" t="s">
        <v>17</v>
      </c>
      <c r="E127" t="s">
        <v>2</v>
      </c>
      <c r="F127" t="s">
        <v>50</v>
      </c>
      <c r="G127" t="s">
        <v>51</v>
      </c>
      <c r="H127" s="6">
        <v>19.66</v>
      </c>
      <c r="I127" t="s">
        <v>52</v>
      </c>
      <c r="J127" t="s">
        <v>81</v>
      </c>
      <c r="K127" t="s">
        <v>54</v>
      </c>
      <c r="L127" t="s">
        <v>55</v>
      </c>
      <c r="O127" t="s">
        <v>82</v>
      </c>
      <c r="P127" t="s">
        <v>83</v>
      </c>
      <c r="Q127" s="6">
        <v>55390.21</v>
      </c>
    </row>
    <row r="128" spans="1:17">
      <c r="A128" t="s">
        <v>356</v>
      </c>
      <c r="B128" s="5">
        <v>46099</v>
      </c>
      <c r="C128" t="s">
        <v>357</v>
      </c>
      <c r="D128" t="s">
        <v>17</v>
      </c>
      <c r="E128" t="s">
        <v>2</v>
      </c>
      <c r="F128" t="s">
        <v>50</v>
      </c>
      <c r="G128" t="s">
        <v>51</v>
      </c>
      <c r="H128" s="6">
        <v>14.74</v>
      </c>
      <c r="I128" t="s">
        <v>52</v>
      </c>
      <c r="J128" t="s">
        <v>53</v>
      </c>
      <c r="K128" t="s">
        <v>54</v>
      </c>
      <c r="L128" t="s">
        <v>55</v>
      </c>
      <c r="O128" t="s">
        <v>56</v>
      </c>
      <c r="P128" t="s">
        <v>57</v>
      </c>
      <c r="Q128" s="6">
        <v>55114.57</v>
      </c>
    </row>
    <row r="129" spans="1:17">
      <c r="A129" t="s">
        <v>358</v>
      </c>
      <c r="B129" s="5">
        <v>46099</v>
      </c>
      <c r="C129" t="s">
        <v>359</v>
      </c>
      <c r="D129" t="s">
        <v>17</v>
      </c>
      <c r="E129" t="s">
        <v>2</v>
      </c>
      <c r="F129" t="s">
        <v>50</v>
      </c>
      <c r="G129" t="s">
        <v>51</v>
      </c>
      <c r="H129" s="6">
        <v>50.2</v>
      </c>
      <c r="I129" t="s">
        <v>52</v>
      </c>
      <c r="J129" t="s">
        <v>60</v>
      </c>
      <c r="K129" t="s">
        <v>54</v>
      </c>
      <c r="L129" t="s">
        <v>55</v>
      </c>
      <c r="O129" t="s">
        <v>61</v>
      </c>
      <c r="P129" t="s">
        <v>62</v>
      </c>
      <c r="Q129" s="6">
        <v>55129.31</v>
      </c>
    </row>
    <row r="130" spans="1:17">
      <c r="A130" t="s">
        <v>360</v>
      </c>
      <c r="B130" s="5">
        <v>46099</v>
      </c>
      <c r="C130" t="s">
        <v>361</v>
      </c>
      <c r="D130" t="s">
        <v>17</v>
      </c>
      <c r="E130" t="s">
        <v>2</v>
      </c>
      <c r="F130" t="s">
        <v>50</v>
      </c>
      <c r="G130" t="s">
        <v>51</v>
      </c>
      <c r="H130" s="6">
        <v>96.91</v>
      </c>
      <c r="I130" t="s">
        <v>52</v>
      </c>
      <c r="J130" t="s">
        <v>65</v>
      </c>
      <c r="K130" t="s">
        <v>54</v>
      </c>
      <c r="L130" t="s">
        <v>55</v>
      </c>
      <c r="O130" t="s">
        <v>66</v>
      </c>
      <c r="P130" t="s">
        <v>67</v>
      </c>
      <c r="Q130" s="6">
        <v>55179.51</v>
      </c>
    </row>
    <row r="131" spans="1:17">
      <c r="A131" t="s">
        <v>362</v>
      </c>
      <c r="B131" s="5">
        <v>46099</v>
      </c>
      <c r="C131" t="s">
        <v>363</v>
      </c>
      <c r="D131" t="s">
        <v>17</v>
      </c>
      <c r="E131" t="s">
        <v>2</v>
      </c>
      <c r="F131" t="s">
        <v>50</v>
      </c>
      <c r="G131" t="s">
        <v>51</v>
      </c>
      <c r="H131" s="6">
        <v>113.79</v>
      </c>
      <c r="I131" t="s">
        <v>52</v>
      </c>
      <c r="J131" t="s">
        <v>65</v>
      </c>
      <c r="K131" t="s">
        <v>54</v>
      </c>
      <c r="L131" t="s">
        <v>55</v>
      </c>
      <c r="O131" t="s">
        <v>66</v>
      </c>
      <c r="P131" t="s">
        <v>67</v>
      </c>
      <c r="Q131" s="6">
        <v>55276.42</v>
      </c>
    </row>
    <row r="132" spans="1:17">
      <c r="A132" t="s">
        <v>364</v>
      </c>
      <c r="B132" s="5">
        <v>46100</v>
      </c>
      <c r="C132" t="s">
        <v>365</v>
      </c>
      <c r="D132" t="s">
        <v>17</v>
      </c>
      <c r="E132" t="s">
        <v>2</v>
      </c>
      <c r="F132" t="s">
        <v>50</v>
      </c>
      <c r="G132" t="s">
        <v>51</v>
      </c>
      <c r="H132" s="6">
        <v>5.51</v>
      </c>
      <c r="I132" t="s">
        <v>52</v>
      </c>
      <c r="J132" t="s">
        <v>53</v>
      </c>
      <c r="K132" t="s">
        <v>54</v>
      </c>
      <c r="L132" t="s">
        <v>55</v>
      </c>
      <c r="O132" t="s">
        <v>56</v>
      </c>
      <c r="P132" t="s">
        <v>57</v>
      </c>
      <c r="Q132" s="6">
        <v>55109.06</v>
      </c>
    </row>
    <row r="133" spans="1:17">
      <c r="A133" t="s">
        <v>366</v>
      </c>
      <c r="B133" s="5">
        <v>46100</v>
      </c>
      <c r="C133" t="s">
        <v>367</v>
      </c>
      <c r="D133" t="s">
        <v>17</v>
      </c>
      <c r="E133" t="s">
        <v>2</v>
      </c>
      <c r="F133" t="s">
        <v>50</v>
      </c>
      <c r="G133" t="s">
        <v>51</v>
      </c>
      <c r="H133" s="6">
        <v>61.81</v>
      </c>
      <c r="I133" t="s">
        <v>52</v>
      </c>
      <c r="J133" t="s">
        <v>60</v>
      </c>
      <c r="K133" t="s">
        <v>54</v>
      </c>
      <c r="L133" t="s">
        <v>55</v>
      </c>
      <c r="O133" t="s">
        <v>61</v>
      </c>
      <c r="P133" t="s">
        <v>62</v>
      </c>
      <c r="Q133" s="6">
        <v>55006.57</v>
      </c>
    </row>
    <row r="134" spans="1:17">
      <c r="A134" t="s">
        <v>368</v>
      </c>
      <c r="B134" s="5">
        <v>46100</v>
      </c>
      <c r="C134" t="s">
        <v>369</v>
      </c>
      <c r="D134" t="s">
        <v>17</v>
      </c>
      <c r="E134" t="s">
        <v>2</v>
      </c>
      <c r="F134" t="s">
        <v>50</v>
      </c>
      <c r="G134" t="s">
        <v>51</v>
      </c>
      <c r="H134" s="6">
        <v>15.57</v>
      </c>
      <c r="I134" t="s">
        <v>52</v>
      </c>
      <c r="J134" t="s">
        <v>121</v>
      </c>
      <c r="K134" t="s">
        <v>54</v>
      </c>
      <c r="L134" t="s">
        <v>55</v>
      </c>
      <c r="O134" t="s">
        <v>122</v>
      </c>
      <c r="P134" t="s">
        <v>123</v>
      </c>
      <c r="Q134" s="6">
        <v>54991</v>
      </c>
    </row>
    <row r="135" spans="1:17">
      <c r="A135" t="s">
        <v>370</v>
      </c>
      <c r="B135" s="5">
        <v>46100</v>
      </c>
      <c r="C135" t="s">
        <v>371</v>
      </c>
      <c r="D135" t="s">
        <v>17</v>
      </c>
      <c r="E135" t="s">
        <v>2</v>
      </c>
      <c r="F135" t="s">
        <v>149</v>
      </c>
      <c r="G135" t="s">
        <v>72</v>
      </c>
      <c r="H135" s="6">
        <v>152.59</v>
      </c>
      <c r="I135" t="s">
        <v>52</v>
      </c>
      <c r="J135" t="s">
        <v>233</v>
      </c>
      <c r="K135" t="s">
        <v>54</v>
      </c>
      <c r="L135" t="s">
        <v>74</v>
      </c>
      <c r="O135" t="s">
        <v>75</v>
      </c>
      <c r="P135" t="s">
        <v>76</v>
      </c>
      <c r="Q135" s="6">
        <v>55134.93</v>
      </c>
    </row>
    <row r="136" spans="1:17">
      <c r="A136" t="s">
        <v>372</v>
      </c>
      <c r="B136" s="5">
        <v>46100</v>
      </c>
      <c r="C136" t="s">
        <v>373</v>
      </c>
      <c r="D136" t="s">
        <v>17</v>
      </c>
      <c r="E136" t="s">
        <v>2</v>
      </c>
      <c r="F136" t="s">
        <v>50</v>
      </c>
      <c r="G136" t="s">
        <v>51</v>
      </c>
      <c r="H136" s="6">
        <v>10.54</v>
      </c>
      <c r="I136" t="s">
        <v>52</v>
      </c>
      <c r="J136" t="s">
        <v>121</v>
      </c>
      <c r="K136" t="s">
        <v>54</v>
      </c>
      <c r="L136" t="s">
        <v>55</v>
      </c>
      <c r="O136" t="s">
        <v>122</v>
      </c>
      <c r="P136" t="s">
        <v>123</v>
      </c>
      <c r="Q136" s="6">
        <v>55098.52</v>
      </c>
    </row>
    <row r="137" spans="1:17">
      <c r="A137" t="s">
        <v>374</v>
      </c>
      <c r="B137" s="5">
        <v>46100</v>
      </c>
      <c r="C137" t="s">
        <v>375</v>
      </c>
      <c r="D137" t="s">
        <v>17</v>
      </c>
      <c r="E137" t="s">
        <v>2</v>
      </c>
      <c r="F137" t="s">
        <v>50</v>
      </c>
      <c r="G137" t="s">
        <v>51</v>
      </c>
      <c r="H137" s="6">
        <v>30.14</v>
      </c>
      <c r="I137" t="s">
        <v>52</v>
      </c>
      <c r="J137" t="s">
        <v>196</v>
      </c>
      <c r="K137" t="s">
        <v>54</v>
      </c>
      <c r="L137" t="s">
        <v>55</v>
      </c>
      <c r="O137" t="s">
        <v>197</v>
      </c>
      <c r="P137" t="s">
        <v>198</v>
      </c>
      <c r="Q137" s="6">
        <v>55068.38</v>
      </c>
    </row>
    <row r="138" spans="1:17">
      <c r="A138" t="s">
        <v>376</v>
      </c>
      <c r="B138" s="5">
        <v>46100</v>
      </c>
      <c r="C138" t="s">
        <v>377</v>
      </c>
      <c r="D138" t="s">
        <v>17</v>
      </c>
      <c r="E138" t="s">
        <v>2</v>
      </c>
      <c r="F138" t="s">
        <v>50</v>
      </c>
      <c r="G138" t="s">
        <v>51</v>
      </c>
      <c r="H138" s="6">
        <v>8.66</v>
      </c>
      <c r="I138" t="s">
        <v>52</v>
      </c>
      <c r="J138" t="s">
        <v>81</v>
      </c>
      <c r="K138" t="s">
        <v>54</v>
      </c>
      <c r="L138" t="s">
        <v>55</v>
      </c>
      <c r="O138" t="s">
        <v>82</v>
      </c>
      <c r="P138" t="s">
        <v>83</v>
      </c>
      <c r="Q138" s="6">
        <v>54982.34</v>
      </c>
    </row>
    <row r="139" spans="1:17">
      <c r="A139" t="s">
        <v>378</v>
      </c>
      <c r="B139" s="5">
        <v>46101</v>
      </c>
      <c r="C139" t="s">
        <v>379</v>
      </c>
      <c r="D139" t="s">
        <v>17</v>
      </c>
      <c r="E139" t="s">
        <v>2</v>
      </c>
      <c r="F139" t="s">
        <v>50</v>
      </c>
      <c r="G139" t="s">
        <v>100</v>
      </c>
      <c r="H139" s="6">
        <v>15</v>
      </c>
      <c r="I139" t="s">
        <v>52</v>
      </c>
      <c r="J139" t="s">
        <v>101</v>
      </c>
      <c r="K139" t="s">
        <v>54</v>
      </c>
      <c r="L139" t="s">
        <v>102</v>
      </c>
      <c r="O139" t="s">
        <v>103</v>
      </c>
      <c r="P139" t="s">
        <v>104</v>
      </c>
      <c r="Q139" s="6">
        <v>55038.85</v>
      </c>
    </row>
    <row r="140" spans="1:17">
      <c r="A140" t="s">
        <v>380</v>
      </c>
      <c r="B140" s="5">
        <v>46101</v>
      </c>
      <c r="C140" t="s">
        <v>381</v>
      </c>
      <c r="D140" t="s">
        <v>17</v>
      </c>
      <c r="E140" t="s">
        <v>2</v>
      </c>
      <c r="F140" t="s">
        <v>50</v>
      </c>
      <c r="G140" t="s">
        <v>51</v>
      </c>
      <c r="H140" s="6">
        <v>8.51</v>
      </c>
      <c r="I140" t="s">
        <v>52</v>
      </c>
      <c r="J140" t="s">
        <v>53</v>
      </c>
      <c r="K140" t="s">
        <v>54</v>
      </c>
      <c r="L140" t="s">
        <v>55</v>
      </c>
      <c r="O140" t="s">
        <v>56</v>
      </c>
      <c r="P140" t="s">
        <v>57</v>
      </c>
      <c r="Q140" s="6">
        <v>55104.800000000003</v>
      </c>
    </row>
    <row r="141" spans="1:17">
      <c r="A141" t="s">
        <v>382</v>
      </c>
      <c r="B141" s="5">
        <v>46101</v>
      </c>
      <c r="C141" t="s">
        <v>383</v>
      </c>
      <c r="D141" t="s">
        <v>17</v>
      </c>
      <c r="E141" t="s">
        <v>2</v>
      </c>
      <c r="F141" t="s">
        <v>50</v>
      </c>
      <c r="G141" t="s">
        <v>100</v>
      </c>
      <c r="H141" s="6">
        <v>89.99</v>
      </c>
      <c r="I141" t="s">
        <v>52</v>
      </c>
      <c r="J141" t="s">
        <v>384</v>
      </c>
      <c r="K141" t="s">
        <v>54</v>
      </c>
      <c r="L141" t="s">
        <v>102</v>
      </c>
      <c r="O141" t="s">
        <v>178</v>
      </c>
      <c r="P141" t="s">
        <v>385</v>
      </c>
      <c r="Q141" s="6">
        <v>48904.25</v>
      </c>
    </row>
    <row r="142" spans="1:17">
      <c r="A142" t="s">
        <v>386</v>
      </c>
      <c r="B142" s="5">
        <v>46101</v>
      </c>
      <c r="C142" t="s">
        <v>387</v>
      </c>
      <c r="D142" t="s">
        <v>17</v>
      </c>
      <c r="E142" t="s">
        <v>2</v>
      </c>
      <c r="F142" t="s">
        <v>50</v>
      </c>
      <c r="G142" t="s">
        <v>51</v>
      </c>
      <c r="H142" s="6">
        <v>49.49</v>
      </c>
      <c r="I142" t="s">
        <v>52</v>
      </c>
      <c r="J142" t="s">
        <v>81</v>
      </c>
      <c r="K142" t="s">
        <v>54</v>
      </c>
      <c r="L142" t="s">
        <v>55</v>
      </c>
      <c r="O142" t="s">
        <v>82</v>
      </c>
      <c r="P142" t="s">
        <v>83</v>
      </c>
      <c r="Q142" s="6">
        <v>54989.36</v>
      </c>
    </row>
    <row r="143" spans="1:17">
      <c r="A143" t="s">
        <v>388</v>
      </c>
      <c r="B143" s="5">
        <v>46101</v>
      </c>
      <c r="C143" t="s">
        <v>389</v>
      </c>
      <c r="D143" t="s">
        <v>17</v>
      </c>
      <c r="E143" t="s">
        <v>2</v>
      </c>
      <c r="F143" t="s">
        <v>50</v>
      </c>
      <c r="G143" t="s">
        <v>100</v>
      </c>
      <c r="H143" s="6">
        <v>15</v>
      </c>
      <c r="I143" t="s">
        <v>52</v>
      </c>
      <c r="J143" t="s">
        <v>101</v>
      </c>
      <c r="K143" t="s">
        <v>54</v>
      </c>
      <c r="L143" t="s">
        <v>102</v>
      </c>
      <c r="O143" t="s">
        <v>103</v>
      </c>
      <c r="P143" t="s">
        <v>104</v>
      </c>
      <c r="Q143" s="6">
        <v>55053.85</v>
      </c>
    </row>
    <row r="144" spans="1:17">
      <c r="A144" t="s">
        <v>390</v>
      </c>
      <c r="B144" s="5">
        <v>46101</v>
      </c>
      <c r="C144" t="s">
        <v>391</v>
      </c>
      <c r="D144" t="s">
        <v>17</v>
      </c>
      <c r="E144" t="s">
        <v>2</v>
      </c>
      <c r="F144" t="s">
        <v>50</v>
      </c>
      <c r="G144" t="s">
        <v>51</v>
      </c>
      <c r="H144" s="6">
        <v>35.950000000000003</v>
      </c>
      <c r="I144" t="s">
        <v>52</v>
      </c>
      <c r="J144" t="s">
        <v>60</v>
      </c>
      <c r="K144" t="s">
        <v>54</v>
      </c>
      <c r="L144" t="s">
        <v>55</v>
      </c>
      <c r="O144" t="s">
        <v>61</v>
      </c>
      <c r="P144" t="s">
        <v>62</v>
      </c>
      <c r="Q144" s="6">
        <v>55068.85</v>
      </c>
    </row>
    <row r="145" spans="1:17">
      <c r="A145" t="s">
        <v>392</v>
      </c>
      <c r="B145" s="5">
        <v>46101</v>
      </c>
      <c r="C145" t="s">
        <v>393</v>
      </c>
      <c r="D145" t="s">
        <v>17</v>
      </c>
      <c r="E145" t="s">
        <v>2</v>
      </c>
      <c r="F145" t="s">
        <v>50</v>
      </c>
      <c r="G145" t="s">
        <v>100</v>
      </c>
      <c r="H145" s="6">
        <v>21.62</v>
      </c>
      <c r="I145" t="s">
        <v>52</v>
      </c>
      <c r="J145" t="s">
        <v>114</v>
      </c>
      <c r="K145" t="s">
        <v>54</v>
      </c>
      <c r="L145" t="s">
        <v>102</v>
      </c>
      <c r="O145" t="s">
        <v>103</v>
      </c>
      <c r="P145" t="s">
        <v>104</v>
      </c>
      <c r="Q145" s="6">
        <v>55113.31</v>
      </c>
    </row>
    <row r="146" spans="1:17">
      <c r="A146" t="s">
        <v>394</v>
      </c>
      <c r="B146" s="5">
        <v>46101</v>
      </c>
      <c r="C146" t="s">
        <v>395</v>
      </c>
      <c r="D146" t="s">
        <v>17</v>
      </c>
      <c r="E146" t="s">
        <v>2</v>
      </c>
      <c r="F146" t="s">
        <v>50</v>
      </c>
      <c r="G146" t="s">
        <v>72</v>
      </c>
      <c r="H146" s="6">
        <v>141.31</v>
      </c>
      <c r="I146" t="s">
        <v>52</v>
      </c>
      <c r="J146" t="s">
        <v>73</v>
      </c>
      <c r="K146" t="s">
        <v>54</v>
      </c>
      <c r="L146" t="s">
        <v>74</v>
      </c>
      <c r="O146" t="s">
        <v>75</v>
      </c>
      <c r="P146" t="s">
        <v>76</v>
      </c>
      <c r="Q146" s="6">
        <v>54836.27</v>
      </c>
    </row>
    <row r="147" spans="1:17">
      <c r="A147" t="s">
        <v>396</v>
      </c>
      <c r="B147" s="5">
        <v>46101</v>
      </c>
      <c r="C147" t="s">
        <v>397</v>
      </c>
      <c r="D147" t="s">
        <v>17</v>
      </c>
      <c r="E147" t="s">
        <v>2</v>
      </c>
      <c r="F147" t="s">
        <v>50</v>
      </c>
      <c r="G147" t="s">
        <v>51</v>
      </c>
      <c r="H147" s="6">
        <v>11.78</v>
      </c>
      <c r="I147" t="s">
        <v>52</v>
      </c>
      <c r="J147" t="s">
        <v>53</v>
      </c>
      <c r="K147" t="s">
        <v>54</v>
      </c>
      <c r="L147" t="s">
        <v>55</v>
      </c>
      <c r="O147" t="s">
        <v>56</v>
      </c>
      <c r="P147" t="s">
        <v>57</v>
      </c>
      <c r="Q147" s="6">
        <v>54977.58</v>
      </c>
    </row>
    <row r="148" spans="1:17">
      <c r="A148" t="s">
        <v>398</v>
      </c>
      <c r="B148" s="5">
        <v>46102</v>
      </c>
      <c r="C148" t="s">
        <v>399</v>
      </c>
      <c r="D148" t="s">
        <v>17</v>
      </c>
      <c r="E148" t="s">
        <v>2</v>
      </c>
      <c r="F148" t="s">
        <v>50</v>
      </c>
      <c r="G148" t="s">
        <v>51</v>
      </c>
      <c r="H148" s="6">
        <v>68.17</v>
      </c>
      <c r="I148" t="s">
        <v>52</v>
      </c>
      <c r="J148" t="s">
        <v>196</v>
      </c>
      <c r="K148" t="s">
        <v>54</v>
      </c>
      <c r="L148" t="s">
        <v>55</v>
      </c>
      <c r="O148" t="s">
        <v>197</v>
      </c>
      <c r="P148" t="s">
        <v>198</v>
      </c>
      <c r="Q148" s="6">
        <v>54687.93</v>
      </c>
    </row>
    <row r="149" spans="1:17">
      <c r="A149" t="s">
        <v>400</v>
      </c>
      <c r="B149" s="5">
        <v>46102</v>
      </c>
      <c r="C149" t="s">
        <v>401</v>
      </c>
      <c r="D149" t="s">
        <v>17</v>
      </c>
      <c r="E149" t="s">
        <v>2</v>
      </c>
      <c r="F149" t="s">
        <v>50</v>
      </c>
      <c r="G149" t="s">
        <v>100</v>
      </c>
      <c r="H149" s="6">
        <v>15</v>
      </c>
      <c r="I149" t="s">
        <v>52</v>
      </c>
      <c r="J149" t="s">
        <v>101</v>
      </c>
      <c r="K149" t="s">
        <v>54</v>
      </c>
      <c r="L149" t="s">
        <v>102</v>
      </c>
      <c r="O149" t="s">
        <v>103</v>
      </c>
      <c r="P149" t="s">
        <v>104</v>
      </c>
      <c r="Q149" s="6">
        <v>54756.1</v>
      </c>
    </row>
    <row r="150" spans="1:17">
      <c r="A150" t="s">
        <v>402</v>
      </c>
      <c r="B150" s="5">
        <v>46102</v>
      </c>
      <c r="C150" t="s">
        <v>403</v>
      </c>
      <c r="D150" t="s">
        <v>17</v>
      </c>
      <c r="E150" t="s">
        <v>2</v>
      </c>
      <c r="F150" t="s">
        <v>50</v>
      </c>
      <c r="G150" t="s">
        <v>100</v>
      </c>
      <c r="H150" s="6">
        <v>15.16</v>
      </c>
      <c r="I150" t="s">
        <v>52</v>
      </c>
      <c r="J150" t="s">
        <v>114</v>
      </c>
      <c r="K150" t="s">
        <v>54</v>
      </c>
      <c r="L150" t="s">
        <v>102</v>
      </c>
      <c r="O150" t="s">
        <v>103</v>
      </c>
      <c r="P150" t="s">
        <v>104</v>
      </c>
      <c r="Q150" s="6">
        <v>54771.1</v>
      </c>
    </row>
    <row r="151" spans="1:17">
      <c r="A151" t="s">
        <v>404</v>
      </c>
      <c r="B151" s="5">
        <v>46102</v>
      </c>
      <c r="C151" t="s">
        <v>405</v>
      </c>
      <c r="D151" t="s">
        <v>17</v>
      </c>
      <c r="E151" t="s">
        <v>2</v>
      </c>
      <c r="F151" t="s">
        <v>50</v>
      </c>
      <c r="G151" t="s">
        <v>51</v>
      </c>
      <c r="H151" s="6">
        <v>13.3</v>
      </c>
      <c r="I151" t="s">
        <v>52</v>
      </c>
      <c r="J151" t="s">
        <v>53</v>
      </c>
      <c r="K151" t="s">
        <v>54</v>
      </c>
      <c r="L151" t="s">
        <v>55</v>
      </c>
      <c r="O151" t="s">
        <v>56</v>
      </c>
      <c r="P151" t="s">
        <v>57</v>
      </c>
      <c r="Q151" s="6">
        <v>54786.26</v>
      </c>
    </row>
    <row r="152" spans="1:17">
      <c r="A152" t="s">
        <v>406</v>
      </c>
      <c r="B152" s="5">
        <v>46102</v>
      </c>
      <c r="C152" t="s">
        <v>407</v>
      </c>
      <c r="D152" t="s">
        <v>17</v>
      </c>
      <c r="E152" t="s">
        <v>2</v>
      </c>
      <c r="F152" t="s">
        <v>50</v>
      </c>
      <c r="G152" t="s">
        <v>51</v>
      </c>
      <c r="H152" s="6">
        <v>36.71</v>
      </c>
      <c r="I152" t="s">
        <v>52</v>
      </c>
      <c r="J152" t="s">
        <v>60</v>
      </c>
      <c r="K152" t="s">
        <v>54</v>
      </c>
      <c r="L152" t="s">
        <v>55</v>
      </c>
      <c r="O152" t="s">
        <v>61</v>
      </c>
      <c r="P152" t="s">
        <v>62</v>
      </c>
      <c r="Q152" s="6">
        <v>54799.56</v>
      </c>
    </row>
    <row r="153" spans="1:17">
      <c r="A153" t="s">
        <v>408</v>
      </c>
      <c r="B153" s="5">
        <v>46103</v>
      </c>
      <c r="C153" t="s">
        <v>409</v>
      </c>
      <c r="D153" t="s">
        <v>17</v>
      </c>
      <c r="E153" t="s">
        <v>2</v>
      </c>
      <c r="F153" t="s">
        <v>50</v>
      </c>
      <c r="G153" t="s">
        <v>100</v>
      </c>
      <c r="H153" s="6">
        <v>15</v>
      </c>
      <c r="I153" t="s">
        <v>52</v>
      </c>
      <c r="J153" t="s">
        <v>101</v>
      </c>
      <c r="K153" t="s">
        <v>54</v>
      </c>
      <c r="L153" t="s">
        <v>102</v>
      </c>
      <c r="O153" t="s">
        <v>103</v>
      </c>
      <c r="P153" t="s">
        <v>104</v>
      </c>
      <c r="Q153" s="6">
        <v>54500.93</v>
      </c>
    </row>
    <row r="154" spans="1:17">
      <c r="A154" t="s">
        <v>410</v>
      </c>
      <c r="B154" s="5">
        <v>46103</v>
      </c>
      <c r="C154" t="s">
        <v>411</v>
      </c>
      <c r="D154" t="s">
        <v>17</v>
      </c>
      <c r="E154" t="s">
        <v>2</v>
      </c>
      <c r="F154" t="s">
        <v>50</v>
      </c>
      <c r="G154" t="s">
        <v>51</v>
      </c>
      <c r="H154" s="6">
        <v>42.04</v>
      </c>
      <c r="I154" t="s">
        <v>52</v>
      </c>
      <c r="J154" t="s">
        <v>60</v>
      </c>
      <c r="K154" t="s">
        <v>54</v>
      </c>
      <c r="L154" t="s">
        <v>55</v>
      </c>
      <c r="O154" t="s">
        <v>61</v>
      </c>
      <c r="P154" t="s">
        <v>62</v>
      </c>
      <c r="Q154" s="6">
        <v>54426.720000000001</v>
      </c>
    </row>
    <row r="155" spans="1:17">
      <c r="A155" t="s">
        <v>412</v>
      </c>
      <c r="B155" s="5">
        <v>46103</v>
      </c>
      <c r="C155" t="s">
        <v>413</v>
      </c>
      <c r="D155" t="s">
        <v>17</v>
      </c>
      <c r="E155" t="s">
        <v>2</v>
      </c>
      <c r="F155" t="s">
        <v>50</v>
      </c>
      <c r="G155" t="s">
        <v>51</v>
      </c>
      <c r="H155" s="6">
        <v>20.09</v>
      </c>
      <c r="I155" t="s">
        <v>52</v>
      </c>
      <c r="J155" t="s">
        <v>126</v>
      </c>
      <c r="K155" t="s">
        <v>54</v>
      </c>
      <c r="L155" t="s">
        <v>55</v>
      </c>
      <c r="O155" t="s">
        <v>56</v>
      </c>
      <c r="P155" t="s">
        <v>57</v>
      </c>
      <c r="Q155" s="6">
        <v>54604.21</v>
      </c>
    </row>
    <row r="156" spans="1:17">
      <c r="A156" t="s">
        <v>414</v>
      </c>
      <c r="B156" s="5">
        <v>46103</v>
      </c>
      <c r="C156" t="s">
        <v>415</v>
      </c>
      <c r="D156" t="s">
        <v>17</v>
      </c>
      <c r="E156" t="s">
        <v>2</v>
      </c>
      <c r="F156" t="s">
        <v>50</v>
      </c>
      <c r="G156" t="s">
        <v>51</v>
      </c>
      <c r="H156" s="6">
        <v>88.28</v>
      </c>
      <c r="I156" t="s">
        <v>52</v>
      </c>
      <c r="J156" t="s">
        <v>65</v>
      </c>
      <c r="K156" t="s">
        <v>54</v>
      </c>
      <c r="L156" t="s">
        <v>55</v>
      </c>
      <c r="O156" t="s">
        <v>66</v>
      </c>
      <c r="P156" t="s">
        <v>67</v>
      </c>
      <c r="Q156" s="6">
        <v>54515.93</v>
      </c>
    </row>
    <row r="157" spans="1:17">
      <c r="A157" t="s">
        <v>416</v>
      </c>
      <c r="B157" s="5">
        <v>46103</v>
      </c>
      <c r="C157" t="s">
        <v>417</v>
      </c>
      <c r="D157" t="s">
        <v>17</v>
      </c>
      <c r="E157" t="s">
        <v>2</v>
      </c>
      <c r="F157" t="s">
        <v>50</v>
      </c>
      <c r="G157" t="s">
        <v>51</v>
      </c>
      <c r="H157" s="6">
        <v>63.63</v>
      </c>
      <c r="I157" t="s">
        <v>52</v>
      </c>
      <c r="J157" t="s">
        <v>60</v>
      </c>
      <c r="K157" t="s">
        <v>54</v>
      </c>
      <c r="L157" t="s">
        <v>55</v>
      </c>
      <c r="O157" t="s">
        <v>61</v>
      </c>
      <c r="P157" t="s">
        <v>62</v>
      </c>
      <c r="Q157" s="6">
        <v>54624.3</v>
      </c>
    </row>
    <row r="158" spans="1:17">
      <c r="A158" t="s">
        <v>418</v>
      </c>
      <c r="B158" s="5">
        <v>46103</v>
      </c>
      <c r="C158" t="s">
        <v>419</v>
      </c>
      <c r="D158" t="s">
        <v>17</v>
      </c>
      <c r="E158" t="s">
        <v>2</v>
      </c>
      <c r="F158" t="s">
        <v>50</v>
      </c>
      <c r="G158" t="s">
        <v>100</v>
      </c>
      <c r="H158" s="6">
        <v>15</v>
      </c>
      <c r="I158" t="s">
        <v>52</v>
      </c>
      <c r="J158" t="s">
        <v>101</v>
      </c>
      <c r="K158" t="s">
        <v>54</v>
      </c>
      <c r="L158" t="s">
        <v>102</v>
      </c>
      <c r="O158" t="s">
        <v>103</v>
      </c>
      <c r="P158" t="s">
        <v>104</v>
      </c>
      <c r="Q158" s="6">
        <v>54485.93</v>
      </c>
    </row>
    <row r="159" spans="1:17">
      <c r="A159" t="s">
        <v>420</v>
      </c>
      <c r="B159" s="5">
        <v>46103</v>
      </c>
      <c r="C159" t="s">
        <v>421</v>
      </c>
      <c r="D159" t="s">
        <v>17</v>
      </c>
      <c r="E159" t="s">
        <v>2</v>
      </c>
      <c r="F159" t="s">
        <v>50</v>
      </c>
      <c r="G159" t="s">
        <v>51</v>
      </c>
      <c r="H159" s="6">
        <v>17.170000000000002</v>
      </c>
      <c r="I159" t="s">
        <v>52</v>
      </c>
      <c r="J159" t="s">
        <v>53</v>
      </c>
      <c r="K159" t="s">
        <v>54</v>
      </c>
      <c r="L159" t="s">
        <v>55</v>
      </c>
      <c r="O159" t="s">
        <v>56</v>
      </c>
      <c r="P159" t="s">
        <v>57</v>
      </c>
      <c r="Q159" s="6">
        <v>54468.76</v>
      </c>
    </row>
    <row r="160" spans="1:17">
      <c r="A160" t="s">
        <v>422</v>
      </c>
      <c r="B160" s="5">
        <v>46104</v>
      </c>
      <c r="C160" t="s">
        <v>423</v>
      </c>
      <c r="D160" t="s">
        <v>17</v>
      </c>
      <c r="E160" t="s">
        <v>2</v>
      </c>
      <c r="F160" t="s">
        <v>50</v>
      </c>
      <c r="G160" t="s">
        <v>100</v>
      </c>
      <c r="H160" s="6">
        <v>11.13</v>
      </c>
      <c r="I160" t="s">
        <v>52</v>
      </c>
      <c r="J160" t="s">
        <v>114</v>
      </c>
      <c r="K160" t="s">
        <v>54</v>
      </c>
      <c r="L160" t="s">
        <v>102</v>
      </c>
      <c r="O160" t="s">
        <v>103</v>
      </c>
      <c r="P160" t="s">
        <v>104</v>
      </c>
      <c r="Q160" s="6">
        <v>54226.38</v>
      </c>
    </row>
    <row r="161" spans="1:17">
      <c r="A161" t="s">
        <v>424</v>
      </c>
      <c r="B161" s="5">
        <v>46104</v>
      </c>
      <c r="C161" t="s">
        <v>425</v>
      </c>
      <c r="D161" t="s">
        <v>17</v>
      </c>
      <c r="E161" t="s">
        <v>2</v>
      </c>
      <c r="F161" t="s">
        <v>50</v>
      </c>
      <c r="G161" t="s">
        <v>51</v>
      </c>
      <c r="H161" s="6">
        <v>8.8000000000000007</v>
      </c>
      <c r="I161" t="s">
        <v>52</v>
      </c>
      <c r="J161" t="s">
        <v>121</v>
      </c>
      <c r="K161" t="s">
        <v>54</v>
      </c>
      <c r="L161" t="s">
        <v>55</v>
      </c>
      <c r="O161" t="s">
        <v>122</v>
      </c>
      <c r="P161" t="s">
        <v>123</v>
      </c>
      <c r="Q161" s="6">
        <v>54320.14</v>
      </c>
    </row>
    <row r="162" spans="1:17">
      <c r="A162" t="s">
        <v>426</v>
      </c>
      <c r="B162" s="5">
        <v>46104</v>
      </c>
      <c r="C162" t="s">
        <v>427</v>
      </c>
      <c r="D162" t="s">
        <v>17</v>
      </c>
      <c r="E162" t="s">
        <v>2</v>
      </c>
      <c r="F162" t="s">
        <v>50</v>
      </c>
      <c r="G162" t="s">
        <v>51</v>
      </c>
      <c r="H162" s="6">
        <v>71.7</v>
      </c>
      <c r="I162" t="s">
        <v>52</v>
      </c>
      <c r="J162" t="s">
        <v>60</v>
      </c>
      <c r="K162" t="s">
        <v>54</v>
      </c>
      <c r="L162" t="s">
        <v>55</v>
      </c>
      <c r="O162" t="s">
        <v>61</v>
      </c>
      <c r="P162" t="s">
        <v>62</v>
      </c>
      <c r="Q162" s="6">
        <v>54355.02</v>
      </c>
    </row>
    <row r="163" spans="1:17">
      <c r="A163" t="s">
        <v>428</v>
      </c>
      <c r="B163" s="5">
        <v>46104</v>
      </c>
      <c r="C163" t="s">
        <v>429</v>
      </c>
      <c r="D163" t="s">
        <v>17</v>
      </c>
      <c r="E163" t="s">
        <v>2</v>
      </c>
      <c r="F163" t="s">
        <v>50</v>
      </c>
      <c r="G163" t="s">
        <v>51</v>
      </c>
      <c r="H163" s="6">
        <v>13.25</v>
      </c>
      <c r="I163" t="s">
        <v>52</v>
      </c>
      <c r="J163" t="s">
        <v>53</v>
      </c>
      <c r="K163" t="s">
        <v>54</v>
      </c>
      <c r="L163" t="s">
        <v>55</v>
      </c>
      <c r="O163" t="s">
        <v>56</v>
      </c>
      <c r="P163" t="s">
        <v>57</v>
      </c>
      <c r="Q163" s="6">
        <v>54237.51</v>
      </c>
    </row>
    <row r="164" spans="1:17">
      <c r="A164" t="s">
        <v>430</v>
      </c>
      <c r="B164" s="5">
        <v>46104</v>
      </c>
      <c r="C164" t="s">
        <v>431</v>
      </c>
      <c r="D164" t="s">
        <v>17</v>
      </c>
      <c r="E164" t="s">
        <v>2</v>
      </c>
      <c r="F164" t="s">
        <v>50</v>
      </c>
      <c r="G164" t="s">
        <v>51</v>
      </c>
      <c r="H164" s="6">
        <v>69.38</v>
      </c>
      <c r="I164" t="s">
        <v>52</v>
      </c>
      <c r="J164" t="s">
        <v>60</v>
      </c>
      <c r="K164" t="s">
        <v>54</v>
      </c>
      <c r="L164" t="s">
        <v>55</v>
      </c>
      <c r="O164" t="s">
        <v>61</v>
      </c>
      <c r="P164" t="s">
        <v>62</v>
      </c>
      <c r="Q164" s="6">
        <v>54250.76</v>
      </c>
    </row>
    <row r="165" spans="1:17">
      <c r="A165" t="s">
        <v>432</v>
      </c>
      <c r="B165" s="5">
        <v>46104</v>
      </c>
      <c r="C165" t="s">
        <v>433</v>
      </c>
      <c r="D165" t="s">
        <v>17</v>
      </c>
      <c r="E165" t="s">
        <v>2</v>
      </c>
      <c r="F165" t="s">
        <v>50</v>
      </c>
      <c r="G165" t="s">
        <v>51</v>
      </c>
      <c r="H165" s="6">
        <v>14.52</v>
      </c>
      <c r="I165" t="s">
        <v>52</v>
      </c>
      <c r="J165" t="s">
        <v>121</v>
      </c>
      <c r="K165" t="s">
        <v>54</v>
      </c>
      <c r="L165" t="s">
        <v>55</v>
      </c>
      <c r="O165" t="s">
        <v>122</v>
      </c>
      <c r="P165" t="s">
        <v>123</v>
      </c>
      <c r="Q165" s="6">
        <v>54340.5</v>
      </c>
    </row>
    <row r="166" spans="1:17">
      <c r="A166" t="s">
        <v>434</v>
      </c>
      <c r="B166" s="5">
        <v>46104</v>
      </c>
      <c r="C166" t="s">
        <v>435</v>
      </c>
      <c r="D166" t="s">
        <v>17</v>
      </c>
      <c r="E166" t="s">
        <v>2</v>
      </c>
      <c r="F166" t="s">
        <v>50</v>
      </c>
      <c r="G166" t="s">
        <v>51</v>
      </c>
      <c r="H166" s="6">
        <v>11.56</v>
      </c>
      <c r="I166" t="s">
        <v>52</v>
      </c>
      <c r="J166" t="s">
        <v>121</v>
      </c>
      <c r="K166" t="s">
        <v>54</v>
      </c>
      <c r="L166" t="s">
        <v>55</v>
      </c>
      <c r="O166" t="s">
        <v>122</v>
      </c>
      <c r="P166" t="s">
        <v>123</v>
      </c>
      <c r="Q166" s="6">
        <v>54328.94</v>
      </c>
    </row>
    <row r="167" spans="1:17">
      <c r="A167" t="s">
        <v>436</v>
      </c>
      <c r="B167" s="5">
        <v>46105</v>
      </c>
      <c r="C167" t="s">
        <v>437</v>
      </c>
      <c r="D167" t="s">
        <v>17</v>
      </c>
      <c r="E167" t="s">
        <v>2</v>
      </c>
      <c r="F167" t="s">
        <v>50</v>
      </c>
      <c r="G167" t="s">
        <v>51</v>
      </c>
      <c r="H167" s="6">
        <v>15.57</v>
      </c>
      <c r="I167" t="s">
        <v>52</v>
      </c>
      <c r="J167" t="s">
        <v>53</v>
      </c>
      <c r="K167" t="s">
        <v>54</v>
      </c>
      <c r="L167" t="s">
        <v>55</v>
      </c>
      <c r="O167" t="s">
        <v>56</v>
      </c>
      <c r="P167" t="s">
        <v>57</v>
      </c>
      <c r="Q167" s="6">
        <v>54044.86</v>
      </c>
    </row>
    <row r="168" spans="1:17">
      <c r="A168" t="s">
        <v>438</v>
      </c>
      <c r="B168" s="5">
        <v>46105</v>
      </c>
      <c r="C168" t="s">
        <v>439</v>
      </c>
      <c r="D168" t="s">
        <v>17</v>
      </c>
      <c r="E168" t="s">
        <v>2</v>
      </c>
      <c r="F168" t="s">
        <v>50</v>
      </c>
      <c r="G168" t="s">
        <v>51</v>
      </c>
      <c r="H168" s="6">
        <v>87.67</v>
      </c>
      <c r="I168" t="s">
        <v>52</v>
      </c>
      <c r="J168" t="s">
        <v>196</v>
      </c>
      <c r="K168" t="s">
        <v>54</v>
      </c>
      <c r="L168" t="s">
        <v>55</v>
      </c>
      <c r="O168" t="s">
        <v>197</v>
      </c>
      <c r="P168" t="s">
        <v>198</v>
      </c>
      <c r="Q168" s="6">
        <v>54060.43</v>
      </c>
    </row>
    <row r="169" spans="1:17">
      <c r="A169" t="s">
        <v>440</v>
      </c>
      <c r="B169" s="5">
        <v>46105</v>
      </c>
      <c r="C169" t="s">
        <v>441</v>
      </c>
      <c r="D169" t="s">
        <v>17</v>
      </c>
      <c r="E169" t="s">
        <v>2</v>
      </c>
      <c r="F169" t="s">
        <v>50</v>
      </c>
      <c r="G169" t="s">
        <v>100</v>
      </c>
      <c r="H169" s="6">
        <v>15</v>
      </c>
      <c r="I169" t="s">
        <v>52</v>
      </c>
      <c r="J169" t="s">
        <v>101</v>
      </c>
      <c r="K169" t="s">
        <v>54</v>
      </c>
      <c r="L169" t="s">
        <v>102</v>
      </c>
      <c r="O169" t="s">
        <v>103</v>
      </c>
      <c r="P169" t="s">
        <v>104</v>
      </c>
      <c r="Q169" s="6">
        <v>54148.1</v>
      </c>
    </row>
    <row r="170" spans="1:17">
      <c r="A170" t="s">
        <v>442</v>
      </c>
      <c r="B170" s="5">
        <v>46105</v>
      </c>
      <c r="C170" t="s">
        <v>443</v>
      </c>
      <c r="D170" t="s">
        <v>17</v>
      </c>
      <c r="E170" t="s">
        <v>2</v>
      </c>
      <c r="F170" t="s">
        <v>50</v>
      </c>
      <c r="G170" t="s">
        <v>51</v>
      </c>
      <c r="H170" s="6">
        <v>12.33</v>
      </c>
      <c r="I170" t="s">
        <v>52</v>
      </c>
      <c r="J170" t="s">
        <v>53</v>
      </c>
      <c r="K170" t="s">
        <v>54</v>
      </c>
      <c r="L170" t="s">
        <v>55</v>
      </c>
      <c r="O170" t="s">
        <v>56</v>
      </c>
      <c r="P170" t="s">
        <v>57</v>
      </c>
      <c r="Q170" s="6">
        <v>54032.53</v>
      </c>
    </row>
    <row r="171" spans="1:17">
      <c r="A171" t="s">
        <v>444</v>
      </c>
      <c r="B171" s="5">
        <v>46105</v>
      </c>
      <c r="C171" t="s">
        <v>445</v>
      </c>
      <c r="D171" t="s">
        <v>17</v>
      </c>
      <c r="E171" t="s">
        <v>2</v>
      </c>
      <c r="F171" t="s">
        <v>50</v>
      </c>
      <c r="G171" t="s">
        <v>51</v>
      </c>
      <c r="H171" s="6">
        <v>63.28</v>
      </c>
      <c r="I171" t="s">
        <v>52</v>
      </c>
      <c r="J171" t="s">
        <v>196</v>
      </c>
      <c r="K171" t="s">
        <v>54</v>
      </c>
      <c r="L171" t="s">
        <v>55</v>
      </c>
      <c r="O171" t="s">
        <v>197</v>
      </c>
      <c r="P171" t="s">
        <v>198</v>
      </c>
      <c r="Q171" s="6">
        <v>54163.1</v>
      </c>
    </row>
    <row r="172" spans="1:17">
      <c r="A172" t="s">
        <v>446</v>
      </c>
      <c r="B172" s="5">
        <v>46106</v>
      </c>
      <c r="C172" t="s">
        <v>447</v>
      </c>
      <c r="D172" t="s">
        <v>17</v>
      </c>
      <c r="E172" t="s">
        <v>2</v>
      </c>
      <c r="F172" t="s">
        <v>50</v>
      </c>
      <c r="G172" t="s">
        <v>51</v>
      </c>
      <c r="H172" s="6">
        <v>29.6</v>
      </c>
      <c r="I172" t="s">
        <v>52</v>
      </c>
      <c r="J172" t="s">
        <v>65</v>
      </c>
      <c r="K172" t="s">
        <v>54</v>
      </c>
      <c r="L172" t="s">
        <v>55</v>
      </c>
      <c r="O172" t="s">
        <v>66</v>
      </c>
      <c r="P172" t="s">
        <v>67</v>
      </c>
      <c r="Q172" s="6">
        <v>53860.959999999999</v>
      </c>
    </row>
    <row r="173" spans="1:17">
      <c r="A173" t="s">
        <v>448</v>
      </c>
      <c r="B173" s="5">
        <v>46106</v>
      </c>
      <c r="C173" t="s">
        <v>449</v>
      </c>
      <c r="D173" t="s">
        <v>17</v>
      </c>
      <c r="E173" t="s">
        <v>2</v>
      </c>
      <c r="F173" t="s">
        <v>50</v>
      </c>
      <c r="G173" t="s">
        <v>51</v>
      </c>
      <c r="H173" s="6">
        <v>24.7</v>
      </c>
      <c r="I173" t="s">
        <v>52</v>
      </c>
      <c r="J173" t="s">
        <v>81</v>
      </c>
      <c r="K173" t="s">
        <v>54</v>
      </c>
      <c r="L173" t="s">
        <v>55</v>
      </c>
      <c r="O173" t="s">
        <v>82</v>
      </c>
      <c r="P173" t="s">
        <v>83</v>
      </c>
      <c r="Q173" s="6">
        <v>53794.19</v>
      </c>
    </row>
    <row r="174" spans="1:17">
      <c r="A174" t="s">
        <v>450</v>
      </c>
      <c r="B174" s="5">
        <v>46106</v>
      </c>
      <c r="C174" t="s">
        <v>451</v>
      </c>
      <c r="D174" t="s">
        <v>17</v>
      </c>
      <c r="E174" t="s">
        <v>2</v>
      </c>
      <c r="F174" t="s">
        <v>50</v>
      </c>
      <c r="G174" t="s">
        <v>51</v>
      </c>
      <c r="H174" s="6">
        <v>12.07</v>
      </c>
      <c r="I174" t="s">
        <v>52</v>
      </c>
      <c r="J174" t="s">
        <v>53</v>
      </c>
      <c r="K174" t="s">
        <v>54</v>
      </c>
      <c r="L174" t="s">
        <v>55</v>
      </c>
      <c r="O174" t="s">
        <v>56</v>
      </c>
      <c r="P174" t="s">
        <v>57</v>
      </c>
      <c r="Q174" s="6">
        <v>53848.89</v>
      </c>
    </row>
    <row r="175" spans="1:17">
      <c r="A175" t="s">
        <v>452</v>
      </c>
      <c r="B175" s="5">
        <v>46106</v>
      </c>
      <c r="C175" t="s">
        <v>453</v>
      </c>
      <c r="D175" t="s">
        <v>17</v>
      </c>
      <c r="E175" t="s">
        <v>2</v>
      </c>
      <c r="F175" t="s">
        <v>50</v>
      </c>
      <c r="G175" t="s">
        <v>100</v>
      </c>
      <c r="H175" s="6">
        <v>15</v>
      </c>
      <c r="I175" t="s">
        <v>52</v>
      </c>
      <c r="J175" t="s">
        <v>101</v>
      </c>
      <c r="K175" t="s">
        <v>54</v>
      </c>
      <c r="L175" t="s">
        <v>102</v>
      </c>
      <c r="O175" t="s">
        <v>103</v>
      </c>
      <c r="P175" t="s">
        <v>104</v>
      </c>
      <c r="Q175" s="6">
        <v>53833.89</v>
      </c>
    </row>
    <row r="176" spans="1:17">
      <c r="A176" t="s">
        <v>454</v>
      </c>
      <c r="B176" s="5">
        <v>46106</v>
      </c>
      <c r="C176" t="s">
        <v>455</v>
      </c>
      <c r="D176" t="s">
        <v>17</v>
      </c>
      <c r="E176" t="s">
        <v>2</v>
      </c>
      <c r="F176" t="s">
        <v>50</v>
      </c>
      <c r="G176" t="s">
        <v>51</v>
      </c>
      <c r="H176" s="6">
        <v>130.96</v>
      </c>
      <c r="I176" t="s">
        <v>52</v>
      </c>
      <c r="J176" t="s">
        <v>65</v>
      </c>
      <c r="K176" t="s">
        <v>54</v>
      </c>
      <c r="L176" t="s">
        <v>55</v>
      </c>
      <c r="O176" t="s">
        <v>66</v>
      </c>
      <c r="P176" t="s">
        <v>67</v>
      </c>
      <c r="Q176" s="6">
        <v>53890.559999999998</v>
      </c>
    </row>
    <row r="177" spans="1:17">
      <c r="A177" t="s">
        <v>456</v>
      </c>
      <c r="B177" s="5">
        <v>46106</v>
      </c>
      <c r="C177" t="s">
        <v>457</v>
      </c>
      <c r="D177" t="s">
        <v>17</v>
      </c>
      <c r="E177" t="s">
        <v>2</v>
      </c>
      <c r="F177" t="s">
        <v>50</v>
      </c>
      <c r="G177" t="s">
        <v>51</v>
      </c>
      <c r="H177" s="6">
        <v>29.41</v>
      </c>
      <c r="I177" t="s">
        <v>52</v>
      </c>
      <c r="J177" t="s">
        <v>81</v>
      </c>
      <c r="K177" t="s">
        <v>54</v>
      </c>
      <c r="L177" t="s">
        <v>55</v>
      </c>
      <c r="O177" t="s">
        <v>82</v>
      </c>
      <c r="P177" t="s">
        <v>83</v>
      </c>
      <c r="Q177" s="6">
        <v>53764.78</v>
      </c>
    </row>
    <row r="178" spans="1:17">
      <c r="A178" t="s">
        <v>458</v>
      </c>
      <c r="B178" s="5">
        <v>46106</v>
      </c>
      <c r="C178" t="s">
        <v>459</v>
      </c>
      <c r="D178" t="s">
        <v>17</v>
      </c>
      <c r="E178" t="s">
        <v>2</v>
      </c>
      <c r="F178" t="s">
        <v>50</v>
      </c>
      <c r="G178" t="s">
        <v>100</v>
      </c>
      <c r="H178" s="6">
        <v>15</v>
      </c>
      <c r="I178" t="s">
        <v>52</v>
      </c>
      <c r="J178" t="s">
        <v>101</v>
      </c>
      <c r="K178" t="s">
        <v>54</v>
      </c>
      <c r="L178" t="s">
        <v>102</v>
      </c>
      <c r="O178" t="s">
        <v>103</v>
      </c>
      <c r="P178" t="s">
        <v>104</v>
      </c>
      <c r="Q178" s="6">
        <v>53818.89</v>
      </c>
    </row>
    <row r="179" spans="1:17">
      <c r="A179" t="s">
        <v>460</v>
      </c>
      <c r="B179" s="5">
        <v>46106</v>
      </c>
      <c r="C179" t="s">
        <v>461</v>
      </c>
      <c r="D179" t="s">
        <v>17</v>
      </c>
      <c r="E179" t="s">
        <v>2</v>
      </c>
      <c r="F179" t="s">
        <v>50</v>
      </c>
      <c r="G179" t="s">
        <v>51</v>
      </c>
      <c r="H179" s="6">
        <v>11.01</v>
      </c>
      <c r="I179" t="s">
        <v>52</v>
      </c>
      <c r="J179" t="s">
        <v>53</v>
      </c>
      <c r="K179" t="s">
        <v>54</v>
      </c>
      <c r="L179" t="s">
        <v>55</v>
      </c>
      <c r="O179" t="s">
        <v>56</v>
      </c>
      <c r="P179" t="s">
        <v>57</v>
      </c>
      <c r="Q179" s="6">
        <v>54021.52</v>
      </c>
    </row>
    <row r="180" spans="1:17">
      <c r="A180" t="s">
        <v>462</v>
      </c>
      <c r="B180" s="5">
        <v>46107</v>
      </c>
      <c r="C180" t="s">
        <v>463</v>
      </c>
      <c r="D180" t="s">
        <v>17</v>
      </c>
      <c r="E180" t="s">
        <v>2</v>
      </c>
      <c r="F180" t="s">
        <v>50</v>
      </c>
      <c r="G180" t="s">
        <v>51</v>
      </c>
      <c r="H180" s="6">
        <v>19.43</v>
      </c>
      <c r="I180" t="s">
        <v>52</v>
      </c>
      <c r="J180" t="s">
        <v>121</v>
      </c>
      <c r="K180" t="s">
        <v>54</v>
      </c>
      <c r="L180" t="s">
        <v>55</v>
      </c>
      <c r="O180" t="s">
        <v>122</v>
      </c>
      <c r="P180" t="s">
        <v>123</v>
      </c>
      <c r="Q180" s="6">
        <v>53730.35</v>
      </c>
    </row>
    <row r="181" spans="1:17">
      <c r="A181" t="s">
        <v>464</v>
      </c>
      <c r="B181" s="5">
        <v>46107</v>
      </c>
      <c r="C181" t="s">
        <v>465</v>
      </c>
      <c r="D181" t="s">
        <v>17</v>
      </c>
      <c r="E181" t="s">
        <v>2</v>
      </c>
      <c r="F181" t="s">
        <v>50</v>
      </c>
      <c r="G181" t="s">
        <v>100</v>
      </c>
      <c r="H181" s="6">
        <v>16.93</v>
      </c>
      <c r="I181" t="s">
        <v>52</v>
      </c>
      <c r="J181" t="s">
        <v>114</v>
      </c>
      <c r="K181" t="s">
        <v>54</v>
      </c>
      <c r="L181" t="s">
        <v>102</v>
      </c>
      <c r="O181" t="s">
        <v>103</v>
      </c>
      <c r="P181" t="s">
        <v>104</v>
      </c>
      <c r="Q181" s="6">
        <v>53713.42</v>
      </c>
    </row>
    <row r="182" spans="1:17">
      <c r="A182" t="s">
        <v>466</v>
      </c>
      <c r="B182" s="5">
        <v>46107</v>
      </c>
      <c r="C182" t="s">
        <v>467</v>
      </c>
      <c r="D182" t="s">
        <v>17</v>
      </c>
      <c r="E182" t="s">
        <v>2</v>
      </c>
      <c r="F182" t="s">
        <v>50</v>
      </c>
      <c r="G182" t="s">
        <v>51</v>
      </c>
      <c r="H182" s="6">
        <v>43.85</v>
      </c>
      <c r="I182" t="s">
        <v>52</v>
      </c>
      <c r="J182" t="s">
        <v>65</v>
      </c>
      <c r="K182" t="s">
        <v>54</v>
      </c>
      <c r="L182" t="s">
        <v>55</v>
      </c>
      <c r="O182" t="s">
        <v>66</v>
      </c>
      <c r="P182" t="s">
        <v>67</v>
      </c>
      <c r="Q182" s="6">
        <v>53629.19</v>
      </c>
    </row>
    <row r="183" spans="1:17">
      <c r="A183" t="s">
        <v>468</v>
      </c>
      <c r="B183" s="5">
        <v>46107</v>
      </c>
      <c r="C183" t="s">
        <v>469</v>
      </c>
      <c r="D183" t="s">
        <v>17</v>
      </c>
      <c r="E183" t="s">
        <v>2</v>
      </c>
      <c r="F183" t="s">
        <v>50</v>
      </c>
      <c r="G183" t="s">
        <v>100</v>
      </c>
      <c r="H183" s="6">
        <v>15</v>
      </c>
      <c r="I183" t="s">
        <v>52</v>
      </c>
      <c r="J183" t="s">
        <v>101</v>
      </c>
      <c r="K183" t="s">
        <v>54</v>
      </c>
      <c r="L183" t="s">
        <v>102</v>
      </c>
      <c r="O183" t="s">
        <v>103</v>
      </c>
      <c r="P183" t="s">
        <v>104</v>
      </c>
      <c r="Q183" s="6">
        <v>53749.78</v>
      </c>
    </row>
    <row r="184" spans="1:17">
      <c r="A184" t="s">
        <v>470</v>
      </c>
      <c r="B184" s="5">
        <v>46107</v>
      </c>
      <c r="C184" t="s">
        <v>471</v>
      </c>
      <c r="D184" t="s">
        <v>17</v>
      </c>
      <c r="E184" t="s">
        <v>2</v>
      </c>
      <c r="F184" t="s">
        <v>50</v>
      </c>
      <c r="G184" t="s">
        <v>51</v>
      </c>
      <c r="H184" s="6">
        <v>40.380000000000003</v>
      </c>
      <c r="I184" t="s">
        <v>52</v>
      </c>
      <c r="J184" t="s">
        <v>81</v>
      </c>
      <c r="K184" t="s">
        <v>54</v>
      </c>
      <c r="L184" t="s">
        <v>55</v>
      </c>
      <c r="O184" t="s">
        <v>82</v>
      </c>
      <c r="P184" t="s">
        <v>83</v>
      </c>
      <c r="Q184" s="6">
        <v>53673.04</v>
      </c>
    </row>
    <row r="185" spans="1:17">
      <c r="A185" t="s">
        <v>472</v>
      </c>
      <c r="B185" s="5">
        <v>46108</v>
      </c>
      <c r="C185" t="s">
        <v>473</v>
      </c>
      <c r="D185" t="s">
        <v>17</v>
      </c>
      <c r="E185" t="s">
        <v>2</v>
      </c>
      <c r="F185" t="s">
        <v>50</v>
      </c>
      <c r="G185" t="s">
        <v>51</v>
      </c>
      <c r="H185" s="6">
        <v>45.07</v>
      </c>
      <c r="I185" t="s">
        <v>52</v>
      </c>
      <c r="J185" t="s">
        <v>60</v>
      </c>
      <c r="K185" t="s">
        <v>54</v>
      </c>
      <c r="L185" t="s">
        <v>55</v>
      </c>
      <c r="O185" t="s">
        <v>61</v>
      </c>
      <c r="P185" t="s">
        <v>62</v>
      </c>
      <c r="Q185" s="6">
        <v>53430.82</v>
      </c>
    </row>
    <row r="186" spans="1:17">
      <c r="A186" t="s">
        <v>474</v>
      </c>
      <c r="B186" s="5">
        <v>46108</v>
      </c>
      <c r="C186" t="s">
        <v>475</v>
      </c>
      <c r="D186" t="s">
        <v>17</v>
      </c>
      <c r="E186" t="s">
        <v>2</v>
      </c>
      <c r="F186" t="s">
        <v>50</v>
      </c>
      <c r="G186" t="s">
        <v>51</v>
      </c>
      <c r="H186" s="6">
        <v>141.59</v>
      </c>
      <c r="I186" t="s">
        <v>52</v>
      </c>
      <c r="J186" t="s">
        <v>65</v>
      </c>
      <c r="K186" t="s">
        <v>54</v>
      </c>
      <c r="L186" t="s">
        <v>55</v>
      </c>
      <c r="O186" t="s">
        <v>66</v>
      </c>
      <c r="P186" t="s">
        <v>67</v>
      </c>
      <c r="Q186" s="6">
        <v>53487.6</v>
      </c>
    </row>
    <row r="187" spans="1:17">
      <c r="A187" t="s">
        <v>476</v>
      </c>
      <c r="B187" s="5">
        <v>46108</v>
      </c>
      <c r="C187" t="s">
        <v>477</v>
      </c>
      <c r="D187" t="s">
        <v>17</v>
      </c>
      <c r="E187" t="s">
        <v>2</v>
      </c>
      <c r="F187" t="s">
        <v>50</v>
      </c>
      <c r="G187" t="s">
        <v>51</v>
      </c>
      <c r="H187" s="6">
        <v>27.94</v>
      </c>
      <c r="I187" t="s">
        <v>52</v>
      </c>
      <c r="J187" t="s">
        <v>126</v>
      </c>
      <c r="K187" t="s">
        <v>54</v>
      </c>
      <c r="L187" t="s">
        <v>55</v>
      </c>
      <c r="O187" t="s">
        <v>56</v>
      </c>
      <c r="P187" t="s">
        <v>57</v>
      </c>
      <c r="Q187" s="6">
        <v>53402.879999999997</v>
      </c>
    </row>
    <row r="188" spans="1:17">
      <c r="A188" t="s">
        <v>478</v>
      </c>
      <c r="B188" s="5">
        <v>46108</v>
      </c>
      <c r="C188" t="s">
        <v>479</v>
      </c>
      <c r="D188" t="s">
        <v>17</v>
      </c>
      <c r="E188" t="s">
        <v>2</v>
      </c>
      <c r="F188" t="s">
        <v>50</v>
      </c>
      <c r="G188" t="s">
        <v>51</v>
      </c>
      <c r="H188" s="6">
        <v>11.71</v>
      </c>
      <c r="I188" t="s">
        <v>52</v>
      </c>
      <c r="J188" t="s">
        <v>53</v>
      </c>
      <c r="K188" t="s">
        <v>54</v>
      </c>
      <c r="L188" t="s">
        <v>55</v>
      </c>
      <c r="O188" t="s">
        <v>56</v>
      </c>
      <c r="P188" t="s">
        <v>57</v>
      </c>
      <c r="Q188" s="6">
        <v>53475.89</v>
      </c>
    </row>
    <row r="189" spans="1:17">
      <c r="A189" t="s">
        <v>480</v>
      </c>
      <c r="B189" s="5">
        <v>46108</v>
      </c>
      <c r="C189" t="s">
        <v>481</v>
      </c>
      <c r="D189" t="s">
        <v>17</v>
      </c>
      <c r="E189" t="s">
        <v>2</v>
      </c>
      <c r="F189" t="s">
        <v>50</v>
      </c>
      <c r="G189" t="s">
        <v>51</v>
      </c>
      <c r="H189" s="6">
        <v>9.82</v>
      </c>
      <c r="I189" t="s">
        <v>52</v>
      </c>
      <c r="J189" t="s">
        <v>53</v>
      </c>
      <c r="K189" t="s">
        <v>54</v>
      </c>
      <c r="L189" t="s">
        <v>55</v>
      </c>
      <c r="O189" t="s">
        <v>56</v>
      </c>
      <c r="P189" t="s">
        <v>57</v>
      </c>
      <c r="Q189" s="6">
        <v>53393.06</v>
      </c>
    </row>
    <row r="190" spans="1:17">
      <c r="A190" t="s">
        <v>482</v>
      </c>
      <c r="B190" s="5">
        <v>46109</v>
      </c>
      <c r="C190" t="s">
        <v>483</v>
      </c>
      <c r="D190" t="s">
        <v>17</v>
      </c>
      <c r="E190" t="s">
        <v>2</v>
      </c>
      <c r="F190" t="s">
        <v>50</v>
      </c>
      <c r="G190" t="s">
        <v>100</v>
      </c>
      <c r="H190" s="6">
        <v>14.01</v>
      </c>
      <c r="I190" t="s">
        <v>52</v>
      </c>
      <c r="J190" t="s">
        <v>114</v>
      </c>
      <c r="K190" t="s">
        <v>54</v>
      </c>
      <c r="L190" t="s">
        <v>102</v>
      </c>
      <c r="O190" t="s">
        <v>103</v>
      </c>
      <c r="P190" t="s">
        <v>104</v>
      </c>
      <c r="Q190" s="6">
        <v>53343.040000000001</v>
      </c>
    </row>
    <row r="191" spans="1:17">
      <c r="A191" t="s">
        <v>484</v>
      </c>
      <c r="B191" s="5">
        <v>46109</v>
      </c>
      <c r="C191" t="s">
        <v>485</v>
      </c>
      <c r="D191" t="s">
        <v>17</v>
      </c>
      <c r="E191" t="s">
        <v>2</v>
      </c>
      <c r="F191" t="s">
        <v>50</v>
      </c>
      <c r="G191" t="s">
        <v>100</v>
      </c>
      <c r="H191" s="6">
        <v>21.19</v>
      </c>
      <c r="I191" t="s">
        <v>52</v>
      </c>
      <c r="J191" t="s">
        <v>114</v>
      </c>
      <c r="K191" t="s">
        <v>54</v>
      </c>
      <c r="L191" t="s">
        <v>102</v>
      </c>
      <c r="O191" t="s">
        <v>103</v>
      </c>
      <c r="P191" t="s">
        <v>104</v>
      </c>
      <c r="Q191" s="6">
        <v>53371.87</v>
      </c>
    </row>
    <row r="192" spans="1:17">
      <c r="A192" t="s">
        <v>486</v>
      </c>
      <c r="B192" s="5">
        <v>46109</v>
      </c>
      <c r="C192" t="s">
        <v>487</v>
      </c>
      <c r="D192" t="s">
        <v>17</v>
      </c>
      <c r="E192" t="s">
        <v>2</v>
      </c>
      <c r="F192" t="s">
        <v>149</v>
      </c>
      <c r="G192" t="s">
        <v>321</v>
      </c>
      <c r="H192" s="6">
        <v>3198.08</v>
      </c>
      <c r="I192" t="s">
        <v>52</v>
      </c>
      <c r="J192" t="s">
        <v>9</v>
      </c>
      <c r="K192" t="s">
        <v>54</v>
      </c>
      <c r="L192" t="s">
        <v>102</v>
      </c>
      <c r="O192" t="s">
        <v>322</v>
      </c>
      <c r="P192" t="s">
        <v>323</v>
      </c>
      <c r="Q192" s="6">
        <v>19656.509999999998</v>
      </c>
    </row>
    <row r="193" spans="1:17">
      <c r="A193" t="s">
        <v>488</v>
      </c>
      <c r="B193" s="5">
        <v>46109</v>
      </c>
      <c r="C193" t="s">
        <v>489</v>
      </c>
      <c r="D193" t="s">
        <v>17</v>
      </c>
      <c r="E193" t="s">
        <v>2</v>
      </c>
      <c r="F193" t="s">
        <v>50</v>
      </c>
      <c r="G193" t="s">
        <v>100</v>
      </c>
      <c r="H193" s="6">
        <v>15.66</v>
      </c>
      <c r="I193" t="s">
        <v>52</v>
      </c>
      <c r="J193" t="s">
        <v>114</v>
      </c>
      <c r="K193" t="s">
        <v>54</v>
      </c>
      <c r="L193" t="s">
        <v>102</v>
      </c>
      <c r="O193" t="s">
        <v>103</v>
      </c>
      <c r="P193" t="s">
        <v>104</v>
      </c>
      <c r="Q193" s="6">
        <v>53296.66</v>
      </c>
    </row>
    <row r="194" spans="1:17">
      <c r="A194" t="s">
        <v>490</v>
      </c>
      <c r="B194" s="5">
        <v>46109</v>
      </c>
      <c r="C194" t="s">
        <v>491</v>
      </c>
      <c r="D194" t="s">
        <v>17</v>
      </c>
      <c r="E194" t="s">
        <v>2</v>
      </c>
      <c r="F194" t="s">
        <v>50</v>
      </c>
      <c r="G194" t="s">
        <v>100</v>
      </c>
      <c r="H194" s="6">
        <v>15</v>
      </c>
      <c r="I194" t="s">
        <v>52</v>
      </c>
      <c r="J194" t="s">
        <v>101</v>
      </c>
      <c r="K194" t="s">
        <v>54</v>
      </c>
      <c r="L194" t="s">
        <v>102</v>
      </c>
      <c r="O194" t="s">
        <v>103</v>
      </c>
      <c r="P194" t="s">
        <v>104</v>
      </c>
      <c r="Q194" s="6">
        <v>53312.32</v>
      </c>
    </row>
    <row r="195" spans="1:17">
      <c r="A195" t="s">
        <v>492</v>
      </c>
      <c r="B195" s="5">
        <v>46109</v>
      </c>
      <c r="C195" t="s">
        <v>493</v>
      </c>
      <c r="D195" t="s">
        <v>17</v>
      </c>
      <c r="E195" t="s">
        <v>2</v>
      </c>
      <c r="F195" t="s">
        <v>50</v>
      </c>
      <c r="G195" t="s">
        <v>51</v>
      </c>
      <c r="H195" s="6">
        <v>14.82</v>
      </c>
      <c r="I195" t="s">
        <v>52</v>
      </c>
      <c r="J195" t="s">
        <v>53</v>
      </c>
      <c r="K195" t="s">
        <v>54</v>
      </c>
      <c r="L195" t="s">
        <v>55</v>
      </c>
      <c r="O195" t="s">
        <v>56</v>
      </c>
      <c r="P195" t="s">
        <v>57</v>
      </c>
      <c r="Q195" s="6">
        <v>53357.05</v>
      </c>
    </row>
    <row r="196" spans="1:17">
      <c r="A196" t="s">
        <v>494</v>
      </c>
      <c r="B196" s="5">
        <v>46109</v>
      </c>
      <c r="C196" t="s">
        <v>495</v>
      </c>
      <c r="D196" t="s">
        <v>17</v>
      </c>
      <c r="E196" t="s">
        <v>2</v>
      </c>
      <c r="F196" t="s">
        <v>50</v>
      </c>
      <c r="G196" t="s">
        <v>51</v>
      </c>
      <c r="H196" s="6">
        <v>15.72</v>
      </c>
      <c r="I196" t="s">
        <v>52</v>
      </c>
      <c r="J196" t="s">
        <v>53</v>
      </c>
      <c r="K196" t="s">
        <v>54</v>
      </c>
      <c r="L196" t="s">
        <v>55</v>
      </c>
      <c r="O196" t="s">
        <v>56</v>
      </c>
      <c r="P196" t="s">
        <v>57</v>
      </c>
      <c r="Q196" s="6">
        <v>53327.32</v>
      </c>
    </row>
    <row r="197" spans="1:17">
      <c r="A197" t="s">
        <v>496</v>
      </c>
      <c r="B197" s="5">
        <v>46110</v>
      </c>
      <c r="C197" t="s">
        <v>497</v>
      </c>
      <c r="D197" t="s">
        <v>17</v>
      </c>
      <c r="E197" t="s">
        <v>2</v>
      </c>
      <c r="F197" t="s">
        <v>50</v>
      </c>
      <c r="G197" t="s">
        <v>51</v>
      </c>
      <c r="H197" s="6">
        <v>27.81</v>
      </c>
      <c r="I197" t="s">
        <v>52</v>
      </c>
      <c r="J197" t="s">
        <v>126</v>
      </c>
      <c r="K197" t="s">
        <v>54</v>
      </c>
      <c r="L197" t="s">
        <v>55</v>
      </c>
      <c r="O197" t="s">
        <v>56</v>
      </c>
      <c r="P197" t="s">
        <v>57</v>
      </c>
      <c r="Q197" s="6">
        <v>53089.48</v>
      </c>
    </row>
    <row r="198" spans="1:17">
      <c r="A198" t="s">
        <v>498</v>
      </c>
      <c r="B198" s="5">
        <v>46110</v>
      </c>
      <c r="C198" t="s">
        <v>499</v>
      </c>
      <c r="D198" t="s">
        <v>17</v>
      </c>
      <c r="E198" t="s">
        <v>2</v>
      </c>
      <c r="F198" t="s">
        <v>50</v>
      </c>
      <c r="G198" t="s">
        <v>100</v>
      </c>
      <c r="H198" s="6">
        <v>15</v>
      </c>
      <c r="I198" t="s">
        <v>52</v>
      </c>
      <c r="J198" t="s">
        <v>101</v>
      </c>
      <c r="K198" t="s">
        <v>54</v>
      </c>
      <c r="L198" t="s">
        <v>102</v>
      </c>
      <c r="O198" t="s">
        <v>103</v>
      </c>
      <c r="P198" t="s">
        <v>104</v>
      </c>
      <c r="Q198" s="6">
        <v>53021.26</v>
      </c>
    </row>
    <row r="199" spans="1:17">
      <c r="A199" t="s">
        <v>500</v>
      </c>
      <c r="B199" s="5">
        <v>46110</v>
      </c>
      <c r="C199" t="s">
        <v>501</v>
      </c>
      <c r="D199" t="s">
        <v>17</v>
      </c>
      <c r="E199" t="s">
        <v>2</v>
      </c>
      <c r="F199" t="s">
        <v>50</v>
      </c>
      <c r="G199" t="s">
        <v>51</v>
      </c>
      <c r="H199" s="6">
        <v>10.99</v>
      </c>
      <c r="I199" t="s">
        <v>52</v>
      </c>
      <c r="J199" t="s">
        <v>126</v>
      </c>
      <c r="K199" t="s">
        <v>54</v>
      </c>
      <c r="L199" t="s">
        <v>55</v>
      </c>
      <c r="O199" t="s">
        <v>56</v>
      </c>
      <c r="P199" t="s">
        <v>57</v>
      </c>
      <c r="Q199" s="6">
        <v>53010.27</v>
      </c>
    </row>
    <row r="200" spans="1:17">
      <c r="A200" t="s">
        <v>502</v>
      </c>
      <c r="B200" s="5">
        <v>46110</v>
      </c>
      <c r="C200" t="s">
        <v>503</v>
      </c>
      <c r="D200" t="s">
        <v>17</v>
      </c>
      <c r="E200" t="s">
        <v>2</v>
      </c>
      <c r="F200" t="s">
        <v>50</v>
      </c>
      <c r="G200" t="s">
        <v>100</v>
      </c>
      <c r="H200" s="6">
        <v>15.7</v>
      </c>
      <c r="I200" t="s">
        <v>52</v>
      </c>
      <c r="J200" t="s">
        <v>114</v>
      </c>
      <c r="K200" t="s">
        <v>54</v>
      </c>
      <c r="L200" t="s">
        <v>102</v>
      </c>
      <c r="O200" t="s">
        <v>103</v>
      </c>
      <c r="P200" t="s">
        <v>104</v>
      </c>
      <c r="Q200" s="6">
        <v>52979.22</v>
      </c>
    </row>
    <row r="201" spans="1:17">
      <c r="A201" t="s">
        <v>504</v>
      </c>
      <c r="B201" s="5">
        <v>46110</v>
      </c>
      <c r="C201" t="s">
        <v>505</v>
      </c>
      <c r="D201" t="s">
        <v>17</v>
      </c>
      <c r="E201" t="s">
        <v>2</v>
      </c>
      <c r="F201" t="s">
        <v>50</v>
      </c>
      <c r="G201" t="s">
        <v>51</v>
      </c>
      <c r="H201" s="6">
        <v>15.35</v>
      </c>
      <c r="I201" t="s">
        <v>52</v>
      </c>
      <c r="J201" t="s">
        <v>121</v>
      </c>
      <c r="K201" t="s">
        <v>54</v>
      </c>
      <c r="L201" t="s">
        <v>55</v>
      </c>
      <c r="O201" t="s">
        <v>122</v>
      </c>
      <c r="P201" t="s">
        <v>123</v>
      </c>
      <c r="Q201" s="6">
        <v>52994.92</v>
      </c>
    </row>
    <row r="202" spans="1:17">
      <c r="A202" t="s">
        <v>506</v>
      </c>
      <c r="B202" s="5">
        <v>46110</v>
      </c>
      <c r="C202" t="s">
        <v>507</v>
      </c>
      <c r="D202" t="s">
        <v>17</v>
      </c>
      <c r="E202" t="s">
        <v>2</v>
      </c>
      <c r="F202" t="s">
        <v>50</v>
      </c>
      <c r="G202" t="s">
        <v>100</v>
      </c>
      <c r="H202" s="6">
        <v>15</v>
      </c>
      <c r="I202" t="s">
        <v>52</v>
      </c>
      <c r="J202" t="s">
        <v>101</v>
      </c>
      <c r="K202" t="s">
        <v>54</v>
      </c>
      <c r="L202" t="s">
        <v>102</v>
      </c>
      <c r="O202" t="s">
        <v>103</v>
      </c>
      <c r="P202" t="s">
        <v>104</v>
      </c>
      <c r="Q202" s="6">
        <v>53117.29</v>
      </c>
    </row>
    <row r="203" spans="1:17">
      <c r="A203" t="s">
        <v>508</v>
      </c>
      <c r="B203" s="5">
        <v>46110</v>
      </c>
      <c r="C203" t="s">
        <v>509</v>
      </c>
      <c r="D203" t="s">
        <v>17</v>
      </c>
      <c r="E203" t="s">
        <v>2</v>
      </c>
      <c r="F203" t="s">
        <v>50</v>
      </c>
      <c r="G203" t="s">
        <v>51</v>
      </c>
      <c r="H203" s="6">
        <v>164.37</v>
      </c>
      <c r="I203" t="s">
        <v>52</v>
      </c>
      <c r="J203" t="s">
        <v>196</v>
      </c>
      <c r="K203" t="s">
        <v>54</v>
      </c>
      <c r="L203" t="s">
        <v>55</v>
      </c>
      <c r="O203" t="s">
        <v>197</v>
      </c>
      <c r="P203" t="s">
        <v>198</v>
      </c>
      <c r="Q203" s="6">
        <v>53132.29</v>
      </c>
    </row>
    <row r="204" spans="1:17">
      <c r="A204" t="s">
        <v>510</v>
      </c>
      <c r="B204" s="5">
        <v>46110</v>
      </c>
      <c r="C204" t="s">
        <v>511</v>
      </c>
      <c r="D204" t="s">
        <v>17</v>
      </c>
      <c r="E204" t="s">
        <v>2</v>
      </c>
      <c r="F204" t="s">
        <v>50</v>
      </c>
      <c r="G204" t="s">
        <v>51</v>
      </c>
      <c r="H204" s="6">
        <v>53.22</v>
      </c>
      <c r="I204" t="s">
        <v>52</v>
      </c>
      <c r="J204" t="s">
        <v>81</v>
      </c>
      <c r="K204" t="s">
        <v>54</v>
      </c>
      <c r="L204" t="s">
        <v>55</v>
      </c>
      <c r="O204" t="s">
        <v>82</v>
      </c>
      <c r="P204" t="s">
        <v>83</v>
      </c>
      <c r="Q204" s="6">
        <v>53036.26</v>
      </c>
    </row>
    <row r="205" spans="1:17">
      <c r="A205" t="s">
        <v>512</v>
      </c>
      <c r="B205" s="5">
        <v>46111</v>
      </c>
      <c r="C205" t="s">
        <v>513</v>
      </c>
      <c r="D205" t="s">
        <v>17</v>
      </c>
      <c r="E205" t="s">
        <v>2</v>
      </c>
      <c r="F205" t="s">
        <v>50</v>
      </c>
      <c r="G205" t="s">
        <v>51</v>
      </c>
      <c r="H205" s="6">
        <v>59.2</v>
      </c>
      <c r="I205" t="s">
        <v>52</v>
      </c>
      <c r="J205" t="s">
        <v>65</v>
      </c>
      <c r="K205" t="s">
        <v>54</v>
      </c>
      <c r="L205" t="s">
        <v>55</v>
      </c>
      <c r="O205" t="s">
        <v>66</v>
      </c>
      <c r="P205" t="s">
        <v>67</v>
      </c>
      <c r="Q205" s="6">
        <v>52798.400000000001</v>
      </c>
    </row>
    <row r="206" spans="1:17">
      <c r="A206" t="s">
        <v>514</v>
      </c>
      <c r="B206" s="5">
        <v>46111</v>
      </c>
      <c r="C206" t="s">
        <v>515</v>
      </c>
      <c r="D206" t="s">
        <v>17</v>
      </c>
      <c r="E206" t="s">
        <v>2</v>
      </c>
      <c r="F206" t="s">
        <v>50</v>
      </c>
      <c r="G206" t="s">
        <v>51</v>
      </c>
      <c r="H206" s="6">
        <v>43.7</v>
      </c>
      <c r="I206" t="s">
        <v>52</v>
      </c>
      <c r="J206" t="s">
        <v>60</v>
      </c>
      <c r="K206" t="s">
        <v>54</v>
      </c>
      <c r="L206" t="s">
        <v>55</v>
      </c>
      <c r="O206" t="s">
        <v>61</v>
      </c>
      <c r="P206" t="s">
        <v>62</v>
      </c>
      <c r="Q206" s="6">
        <v>52901.78</v>
      </c>
    </row>
    <row r="207" spans="1:17">
      <c r="A207" t="s">
        <v>516</v>
      </c>
      <c r="B207" s="5">
        <v>46111</v>
      </c>
      <c r="C207" t="s">
        <v>517</v>
      </c>
      <c r="D207" t="s">
        <v>17</v>
      </c>
      <c r="E207" t="s">
        <v>2</v>
      </c>
      <c r="F207" t="s">
        <v>50</v>
      </c>
      <c r="G207" t="s">
        <v>51</v>
      </c>
      <c r="H207" s="6">
        <v>30.4</v>
      </c>
      <c r="I207" t="s">
        <v>52</v>
      </c>
      <c r="J207" t="s">
        <v>81</v>
      </c>
      <c r="K207" t="s">
        <v>54</v>
      </c>
      <c r="L207" t="s">
        <v>55</v>
      </c>
      <c r="O207" t="s">
        <v>82</v>
      </c>
      <c r="P207" t="s">
        <v>83</v>
      </c>
      <c r="Q207" s="6">
        <v>52768</v>
      </c>
    </row>
    <row r="208" spans="1:17">
      <c r="A208" t="s">
        <v>518</v>
      </c>
      <c r="B208" s="5">
        <v>46111</v>
      </c>
      <c r="C208" t="s">
        <v>519</v>
      </c>
      <c r="D208" t="s">
        <v>17</v>
      </c>
      <c r="E208" t="s">
        <v>2</v>
      </c>
      <c r="F208" t="s">
        <v>50</v>
      </c>
      <c r="G208" t="s">
        <v>51</v>
      </c>
      <c r="H208" s="6">
        <v>33.74</v>
      </c>
      <c r="I208" t="s">
        <v>52</v>
      </c>
      <c r="J208" t="s">
        <v>60</v>
      </c>
      <c r="K208" t="s">
        <v>54</v>
      </c>
      <c r="L208" t="s">
        <v>55</v>
      </c>
      <c r="O208" t="s">
        <v>61</v>
      </c>
      <c r="P208" t="s">
        <v>62</v>
      </c>
      <c r="Q208" s="6">
        <v>52945.48</v>
      </c>
    </row>
    <row r="209" spans="1:17">
      <c r="A209" t="s">
        <v>520</v>
      </c>
      <c r="B209" s="5">
        <v>46111</v>
      </c>
      <c r="C209" t="s">
        <v>521</v>
      </c>
      <c r="D209" t="s">
        <v>17</v>
      </c>
      <c r="E209" t="s">
        <v>2</v>
      </c>
      <c r="F209" t="s">
        <v>50</v>
      </c>
      <c r="G209" t="s">
        <v>51</v>
      </c>
      <c r="H209" s="6">
        <v>44.18</v>
      </c>
      <c r="I209" t="s">
        <v>52</v>
      </c>
      <c r="J209" t="s">
        <v>60</v>
      </c>
      <c r="K209" t="s">
        <v>54</v>
      </c>
      <c r="L209" t="s">
        <v>55</v>
      </c>
      <c r="O209" t="s">
        <v>61</v>
      </c>
      <c r="P209" t="s">
        <v>62</v>
      </c>
      <c r="Q209" s="6">
        <v>52857.599999999999</v>
      </c>
    </row>
    <row r="210" spans="1:17">
      <c r="A210" t="s">
        <v>522</v>
      </c>
      <c r="B210" s="5">
        <v>46112</v>
      </c>
      <c r="C210" t="s">
        <v>523</v>
      </c>
      <c r="D210" t="s">
        <v>17</v>
      </c>
      <c r="E210" t="s">
        <v>2</v>
      </c>
      <c r="F210" t="s">
        <v>50</v>
      </c>
      <c r="G210" t="s">
        <v>51</v>
      </c>
      <c r="H210" s="6">
        <v>10.43</v>
      </c>
      <c r="I210" t="s">
        <v>52</v>
      </c>
      <c r="J210" t="s">
        <v>53</v>
      </c>
      <c r="K210" t="s">
        <v>54</v>
      </c>
      <c r="L210" t="s">
        <v>55</v>
      </c>
      <c r="O210" t="s">
        <v>56</v>
      </c>
      <c r="P210" t="s">
        <v>57</v>
      </c>
      <c r="Q210" s="6">
        <v>52645.83</v>
      </c>
    </row>
    <row r="211" spans="1:17">
      <c r="A211" t="s">
        <v>524</v>
      </c>
      <c r="B211" s="5">
        <v>46112</v>
      </c>
      <c r="C211" t="s">
        <v>525</v>
      </c>
      <c r="D211" t="s">
        <v>17</v>
      </c>
      <c r="E211" t="s">
        <v>2</v>
      </c>
      <c r="F211" t="s">
        <v>50</v>
      </c>
      <c r="G211" t="s">
        <v>51</v>
      </c>
      <c r="H211" s="6">
        <v>100.58</v>
      </c>
      <c r="I211" t="s">
        <v>52</v>
      </c>
      <c r="J211" t="s">
        <v>196</v>
      </c>
      <c r="K211" t="s">
        <v>54</v>
      </c>
      <c r="L211" t="s">
        <v>55</v>
      </c>
      <c r="O211" t="s">
        <v>197</v>
      </c>
      <c r="P211" t="s">
        <v>198</v>
      </c>
      <c r="Q211" s="6">
        <v>52656.26</v>
      </c>
    </row>
    <row r="212" spans="1:17">
      <c r="A212" t="s">
        <v>526</v>
      </c>
      <c r="B212" s="5">
        <v>46112</v>
      </c>
      <c r="C212" t="s">
        <v>527</v>
      </c>
      <c r="D212" t="s">
        <v>17</v>
      </c>
      <c r="E212" t="s">
        <v>2</v>
      </c>
      <c r="F212" t="s">
        <v>50</v>
      </c>
      <c r="G212" t="s">
        <v>100</v>
      </c>
      <c r="H212" s="6">
        <v>15</v>
      </c>
      <c r="I212" t="s">
        <v>52</v>
      </c>
      <c r="J212" t="s">
        <v>101</v>
      </c>
      <c r="K212" t="s">
        <v>54</v>
      </c>
      <c r="L212" t="s">
        <v>102</v>
      </c>
      <c r="O212" t="s">
        <v>103</v>
      </c>
      <c r="P212" t="s">
        <v>104</v>
      </c>
      <c r="Q212" s="6">
        <v>52630.83</v>
      </c>
    </row>
    <row r="213" spans="1:17">
      <c r="A213" t="s">
        <v>528</v>
      </c>
      <c r="B213" s="5">
        <v>46112</v>
      </c>
      <c r="C213" t="s">
        <v>529</v>
      </c>
      <c r="D213" t="s">
        <v>17</v>
      </c>
      <c r="E213" t="s">
        <v>2</v>
      </c>
      <c r="F213" t="s">
        <v>50</v>
      </c>
      <c r="G213" t="s">
        <v>51</v>
      </c>
      <c r="H213" s="6">
        <v>10.4</v>
      </c>
      <c r="I213" t="s">
        <v>52</v>
      </c>
      <c r="J213" t="s">
        <v>53</v>
      </c>
      <c r="K213" t="s">
        <v>54</v>
      </c>
      <c r="L213" t="s">
        <v>55</v>
      </c>
      <c r="O213" t="s">
        <v>56</v>
      </c>
      <c r="P213" t="s">
        <v>57</v>
      </c>
      <c r="Q213" s="6">
        <v>52561.07</v>
      </c>
    </row>
    <row r="214" spans="1:17">
      <c r="A214" t="s">
        <v>530</v>
      </c>
      <c r="B214" s="5">
        <v>46112</v>
      </c>
      <c r="C214" t="s">
        <v>531</v>
      </c>
      <c r="D214" t="s">
        <v>17</v>
      </c>
      <c r="E214" t="s">
        <v>2</v>
      </c>
      <c r="F214" t="s">
        <v>50</v>
      </c>
      <c r="G214" t="s">
        <v>51</v>
      </c>
      <c r="H214" s="6">
        <v>59.36</v>
      </c>
      <c r="I214" t="s">
        <v>52</v>
      </c>
      <c r="J214" t="s">
        <v>81</v>
      </c>
      <c r="K214" t="s">
        <v>54</v>
      </c>
      <c r="L214" t="s">
        <v>55</v>
      </c>
      <c r="O214" t="s">
        <v>82</v>
      </c>
      <c r="P214" t="s">
        <v>83</v>
      </c>
      <c r="Q214" s="6">
        <v>52571.47</v>
      </c>
    </row>
    <row r="215" spans="1:17">
      <c r="A215" t="s">
        <v>532</v>
      </c>
      <c r="B215" s="5">
        <v>46112</v>
      </c>
      <c r="C215" t="s">
        <v>533</v>
      </c>
      <c r="D215" t="s">
        <v>17</v>
      </c>
      <c r="E215" t="s">
        <v>2</v>
      </c>
      <c r="F215" t="s">
        <v>50</v>
      </c>
      <c r="G215" t="s">
        <v>51</v>
      </c>
      <c r="H215" s="6">
        <v>11.16</v>
      </c>
      <c r="I215" t="s">
        <v>52</v>
      </c>
      <c r="J215" t="s">
        <v>126</v>
      </c>
      <c r="K215" t="s">
        <v>54</v>
      </c>
      <c r="L215" t="s">
        <v>55</v>
      </c>
      <c r="O215" t="s">
        <v>56</v>
      </c>
      <c r="P215" t="s">
        <v>57</v>
      </c>
      <c r="Q215" s="6">
        <v>52756.84</v>
      </c>
    </row>
    <row r="216" spans="1:17">
      <c r="A216" t="s">
        <v>534</v>
      </c>
      <c r="B216" s="5">
        <v>46113</v>
      </c>
      <c r="C216" t="s">
        <v>535</v>
      </c>
      <c r="D216" t="s">
        <v>17</v>
      </c>
      <c r="E216" t="s">
        <v>2</v>
      </c>
      <c r="F216" t="s">
        <v>50</v>
      </c>
      <c r="G216" t="s">
        <v>51</v>
      </c>
      <c r="H216" s="6">
        <v>8.2200000000000006</v>
      </c>
      <c r="I216" t="s">
        <v>52</v>
      </c>
      <c r="J216" t="s">
        <v>121</v>
      </c>
      <c r="K216" t="s">
        <v>54</v>
      </c>
      <c r="L216" t="s">
        <v>55</v>
      </c>
      <c r="O216" t="s">
        <v>122</v>
      </c>
      <c r="P216" t="s">
        <v>123</v>
      </c>
      <c r="Q216" s="6">
        <v>52514.96</v>
      </c>
    </row>
    <row r="217" spans="1:17">
      <c r="A217" t="s">
        <v>536</v>
      </c>
      <c r="B217" s="5">
        <v>46113</v>
      </c>
      <c r="C217" t="s">
        <v>537</v>
      </c>
      <c r="D217" t="s">
        <v>17</v>
      </c>
      <c r="E217" t="s">
        <v>2</v>
      </c>
      <c r="F217" t="s">
        <v>50</v>
      </c>
      <c r="G217" t="s">
        <v>51</v>
      </c>
      <c r="H217" s="6">
        <v>46.08</v>
      </c>
      <c r="I217" t="s">
        <v>52</v>
      </c>
      <c r="J217" t="s">
        <v>81</v>
      </c>
      <c r="K217" t="s">
        <v>54</v>
      </c>
      <c r="L217" t="s">
        <v>55</v>
      </c>
      <c r="O217" t="s">
        <v>82</v>
      </c>
      <c r="P217" t="s">
        <v>83</v>
      </c>
      <c r="Q217" s="6">
        <v>52154.07</v>
      </c>
    </row>
    <row r="218" spans="1:17">
      <c r="A218" t="s">
        <v>538</v>
      </c>
      <c r="B218" s="5">
        <v>46113</v>
      </c>
      <c r="C218" t="s">
        <v>539</v>
      </c>
      <c r="D218" t="s">
        <v>17</v>
      </c>
      <c r="E218" t="s">
        <v>2</v>
      </c>
      <c r="F218" t="s">
        <v>50</v>
      </c>
      <c r="G218" t="s">
        <v>51</v>
      </c>
      <c r="H218" s="6">
        <v>122.52</v>
      </c>
      <c r="I218" t="s">
        <v>52</v>
      </c>
      <c r="J218" t="s">
        <v>196</v>
      </c>
      <c r="K218" t="s">
        <v>54</v>
      </c>
      <c r="L218" t="s">
        <v>55</v>
      </c>
      <c r="O218" t="s">
        <v>197</v>
      </c>
      <c r="P218" t="s">
        <v>198</v>
      </c>
      <c r="Q218" s="6">
        <v>52257.38</v>
      </c>
    </row>
    <row r="219" spans="1:17">
      <c r="A219" t="s">
        <v>540</v>
      </c>
      <c r="B219" s="5">
        <v>46113</v>
      </c>
      <c r="C219" t="s">
        <v>541</v>
      </c>
      <c r="D219" t="s">
        <v>17</v>
      </c>
      <c r="E219" t="s">
        <v>2</v>
      </c>
      <c r="F219" t="s">
        <v>50</v>
      </c>
      <c r="G219" t="s">
        <v>51</v>
      </c>
      <c r="H219" s="6">
        <v>46.87</v>
      </c>
      <c r="I219" t="s">
        <v>52</v>
      </c>
      <c r="J219" t="s">
        <v>81</v>
      </c>
      <c r="K219" t="s">
        <v>54</v>
      </c>
      <c r="L219" t="s">
        <v>55</v>
      </c>
      <c r="O219" t="s">
        <v>82</v>
      </c>
      <c r="P219" t="s">
        <v>83</v>
      </c>
      <c r="Q219" s="6">
        <v>52107.199999999997</v>
      </c>
    </row>
    <row r="220" spans="1:17">
      <c r="A220" t="s">
        <v>542</v>
      </c>
      <c r="B220" s="5">
        <v>46113</v>
      </c>
      <c r="C220" t="s">
        <v>543</v>
      </c>
      <c r="D220" t="s">
        <v>17</v>
      </c>
      <c r="E220" t="s">
        <v>2</v>
      </c>
      <c r="F220" t="s">
        <v>50</v>
      </c>
      <c r="G220" t="s">
        <v>51</v>
      </c>
      <c r="H220" s="6">
        <v>37.89</v>
      </c>
      <c r="I220" t="s">
        <v>52</v>
      </c>
      <c r="J220" t="s">
        <v>81</v>
      </c>
      <c r="K220" t="s">
        <v>54</v>
      </c>
      <c r="L220" t="s">
        <v>55</v>
      </c>
      <c r="O220" t="s">
        <v>82</v>
      </c>
      <c r="P220" t="s">
        <v>83</v>
      </c>
      <c r="Q220" s="6">
        <v>52523.18</v>
      </c>
    </row>
    <row r="221" spans="1:17">
      <c r="A221" t="s">
        <v>544</v>
      </c>
      <c r="B221" s="5">
        <v>46113</v>
      </c>
      <c r="C221" t="s">
        <v>545</v>
      </c>
      <c r="D221" t="s">
        <v>17</v>
      </c>
      <c r="E221" t="s">
        <v>2</v>
      </c>
      <c r="F221" t="s">
        <v>50</v>
      </c>
      <c r="G221" t="s">
        <v>100</v>
      </c>
      <c r="H221" s="6">
        <v>15</v>
      </c>
      <c r="I221" t="s">
        <v>52</v>
      </c>
      <c r="J221" t="s">
        <v>101</v>
      </c>
      <c r="K221" t="s">
        <v>54</v>
      </c>
      <c r="L221" t="s">
        <v>102</v>
      </c>
      <c r="O221" t="s">
        <v>103</v>
      </c>
      <c r="P221" t="s">
        <v>104</v>
      </c>
      <c r="Q221" s="6">
        <v>52499.96</v>
      </c>
    </row>
    <row r="222" spans="1:17">
      <c r="A222" t="s">
        <v>546</v>
      </c>
      <c r="B222" s="5">
        <v>46113</v>
      </c>
      <c r="C222" t="s">
        <v>547</v>
      </c>
      <c r="D222" t="s">
        <v>17</v>
      </c>
      <c r="E222" t="s">
        <v>2</v>
      </c>
      <c r="F222" t="s">
        <v>50</v>
      </c>
      <c r="G222" t="s">
        <v>51</v>
      </c>
      <c r="H222" s="6">
        <v>120.06</v>
      </c>
      <c r="I222" t="s">
        <v>52</v>
      </c>
      <c r="J222" t="s">
        <v>196</v>
      </c>
      <c r="K222" t="s">
        <v>54</v>
      </c>
      <c r="L222" t="s">
        <v>55</v>
      </c>
      <c r="O222" t="s">
        <v>197</v>
      </c>
      <c r="P222" t="s">
        <v>198</v>
      </c>
      <c r="Q222" s="6">
        <v>52379.9</v>
      </c>
    </row>
    <row r="223" spans="1:17">
      <c r="A223" t="s">
        <v>548</v>
      </c>
      <c r="B223" s="5">
        <v>46113</v>
      </c>
      <c r="C223" t="s">
        <v>549</v>
      </c>
      <c r="D223" t="s">
        <v>17</v>
      </c>
      <c r="E223" t="s">
        <v>2</v>
      </c>
      <c r="F223" t="s">
        <v>50</v>
      </c>
      <c r="G223" t="s">
        <v>51</v>
      </c>
      <c r="H223" s="6">
        <v>57.23</v>
      </c>
      <c r="I223" t="s">
        <v>52</v>
      </c>
      <c r="J223" t="s">
        <v>65</v>
      </c>
      <c r="K223" t="s">
        <v>54</v>
      </c>
      <c r="L223" t="s">
        <v>55</v>
      </c>
      <c r="O223" t="s">
        <v>66</v>
      </c>
      <c r="P223" t="s">
        <v>67</v>
      </c>
      <c r="Q223" s="6">
        <v>52200.15</v>
      </c>
    </row>
    <row r="224" spans="1:17">
      <c r="A224" t="s">
        <v>550</v>
      </c>
      <c r="B224" s="5">
        <v>46114</v>
      </c>
      <c r="C224" t="s">
        <v>551</v>
      </c>
      <c r="D224" t="s">
        <v>17</v>
      </c>
      <c r="E224" t="s">
        <v>2</v>
      </c>
      <c r="F224" t="s">
        <v>50</v>
      </c>
      <c r="G224" t="s">
        <v>100</v>
      </c>
      <c r="H224" s="6">
        <v>1850</v>
      </c>
      <c r="I224" t="s">
        <v>52</v>
      </c>
      <c r="J224" t="s">
        <v>107</v>
      </c>
      <c r="K224" t="s">
        <v>54</v>
      </c>
      <c r="L224" t="s">
        <v>102</v>
      </c>
      <c r="O224" t="s">
        <v>108</v>
      </c>
      <c r="P224" t="s">
        <v>109</v>
      </c>
      <c r="Q224" s="6">
        <v>47054.25</v>
      </c>
    </row>
    <row r="225" spans="1:17">
      <c r="A225" t="s">
        <v>552</v>
      </c>
      <c r="B225" s="5">
        <v>46114</v>
      </c>
      <c r="C225" t="s">
        <v>553</v>
      </c>
      <c r="D225" t="s">
        <v>17</v>
      </c>
      <c r="E225" t="s">
        <v>2</v>
      </c>
      <c r="F225" t="s">
        <v>50</v>
      </c>
      <c r="G225" t="s">
        <v>100</v>
      </c>
      <c r="H225" s="6">
        <v>17.53</v>
      </c>
      <c r="I225" t="s">
        <v>52</v>
      </c>
      <c r="J225" t="s">
        <v>114</v>
      </c>
      <c r="K225" t="s">
        <v>54</v>
      </c>
      <c r="L225" t="s">
        <v>102</v>
      </c>
      <c r="O225" t="s">
        <v>103</v>
      </c>
      <c r="P225" t="s">
        <v>104</v>
      </c>
      <c r="Q225" s="6">
        <v>52089.67</v>
      </c>
    </row>
    <row r="226" spans="1:17">
      <c r="A226" t="s">
        <v>554</v>
      </c>
      <c r="B226" s="5">
        <v>46114</v>
      </c>
      <c r="C226" t="s">
        <v>555</v>
      </c>
      <c r="D226" t="s">
        <v>17</v>
      </c>
      <c r="E226" t="s">
        <v>2</v>
      </c>
      <c r="F226" t="s">
        <v>149</v>
      </c>
      <c r="G226" t="s">
        <v>72</v>
      </c>
      <c r="H226" s="6">
        <v>170.91</v>
      </c>
      <c r="I226" t="s">
        <v>52</v>
      </c>
      <c r="J226" t="s">
        <v>150</v>
      </c>
      <c r="K226" t="s">
        <v>54</v>
      </c>
      <c r="L226" t="s">
        <v>74</v>
      </c>
      <c r="O226" t="s">
        <v>75</v>
      </c>
      <c r="P226" t="s">
        <v>76</v>
      </c>
      <c r="Q226" s="6">
        <v>51989.33</v>
      </c>
    </row>
    <row r="227" spans="1:17">
      <c r="A227" t="s">
        <v>556</v>
      </c>
      <c r="B227" s="5">
        <v>46114</v>
      </c>
      <c r="C227" t="s">
        <v>557</v>
      </c>
      <c r="D227" t="s">
        <v>17</v>
      </c>
      <c r="E227" t="s">
        <v>2</v>
      </c>
      <c r="F227" t="s">
        <v>50</v>
      </c>
      <c r="G227" t="s">
        <v>51</v>
      </c>
      <c r="H227" s="6">
        <v>12.18</v>
      </c>
      <c r="I227" t="s">
        <v>52</v>
      </c>
      <c r="J227" t="s">
        <v>53</v>
      </c>
      <c r="K227" t="s">
        <v>54</v>
      </c>
      <c r="L227" t="s">
        <v>55</v>
      </c>
      <c r="O227" t="s">
        <v>56</v>
      </c>
      <c r="P227" t="s">
        <v>57</v>
      </c>
      <c r="Q227" s="6">
        <v>51818.42</v>
      </c>
    </row>
    <row r="228" spans="1:17">
      <c r="A228" t="s">
        <v>558</v>
      </c>
      <c r="B228" s="5">
        <v>46114</v>
      </c>
      <c r="C228" t="s">
        <v>559</v>
      </c>
      <c r="D228" t="s">
        <v>17</v>
      </c>
      <c r="E228" t="s">
        <v>2</v>
      </c>
      <c r="F228" t="s">
        <v>50</v>
      </c>
      <c r="G228" t="s">
        <v>100</v>
      </c>
      <c r="H228" s="6">
        <v>11.85</v>
      </c>
      <c r="I228" t="s">
        <v>52</v>
      </c>
      <c r="J228" t="s">
        <v>114</v>
      </c>
      <c r="K228" t="s">
        <v>54</v>
      </c>
      <c r="L228" t="s">
        <v>102</v>
      </c>
      <c r="O228" t="s">
        <v>103</v>
      </c>
      <c r="P228" t="s">
        <v>104</v>
      </c>
      <c r="Q228" s="6">
        <v>51830.6</v>
      </c>
    </row>
    <row r="229" spans="1:17">
      <c r="A229" t="s">
        <v>560</v>
      </c>
      <c r="B229" s="5">
        <v>46114</v>
      </c>
      <c r="C229" t="s">
        <v>561</v>
      </c>
      <c r="D229" t="s">
        <v>17</v>
      </c>
      <c r="E229" t="s">
        <v>2</v>
      </c>
      <c r="F229" t="s">
        <v>50</v>
      </c>
      <c r="G229" t="s">
        <v>100</v>
      </c>
      <c r="H229" s="6">
        <v>15.49</v>
      </c>
      <c r="I229" t="s">
        <v>52</v>
      </c>
      <c r="J229" t="s">
        <v>114</v>
      </c>
      <c r="K229" t="s">
        <v>54</v>
      </c>
      <c r="L229" t="s">
        <v>102</v>
      </c>
      <c r="O229" t="s">
        <v>103</v>
      </c>
      <c r="P229" t="s">
        <v>104</v>
      </c>
      <c r="Q229" s="6">
        <v>51842.45</v>
      </c>
    </row>
    <row r="230" spans="1:17">
      <c r="A230" t="s">
        <v>562</v>
      </c>
      <c r="B230" s="5">
        <v>46114</v>
      </c>
      <c r="C230" t="s">
        <v>563</v>
      </c>
      <c r="D230" t="s">
        <v>17</v>
      </c>
      <c r="E230" t="s">
        <v>2</v>
      </c>
      <c r="F230" t="s">
        <v>50</v>
      </c>
      <c r="G230" t="s">
        <v>51</v>
      </c>
      <c r="H230" s="6">
        <v>165.11</v>
      </c>
      <c r="I230" t="s">
        <v>52</v>
      </c>
      <c r="J230" t="s">
        <v>196</v>
      </c>
      <c r="K230" t="s">
        <v>54</v>
      </c>
      <c r="L230" t="s">
        <v>55</v>
      </c>
      <c r="O230" t="s">
        <v>197</v>
      </c>
      <c r="P230" t="s">
        <v>198</v>
      </c>
      <c r="Q230" s="6">
        <v>51857.94</v>
      </c>
    </row>
    <row r="231" spans="1:17">
      <c r="A231" t="s">
        <v>564</v>
      </c>
      <c r="B231" s="5">
        <v>46114</v>
      </c>
      <c r="C231" t="s">
        <v>565</v>
      </c>
      <c r="D231" t="s">
        <v>17</v>
      </c>
      <c r="E231" t="s">
        <v>2</v>
      </c>
      <c r="F231" t="s">
        <v>50</v>
      </c>
      <c r="G231" t="s">
        <v>51</v>
      </c>
      <c r="H231" s="6">
        <v>49.82</v>
      </c>
      <c r="I231" t="s">
        <v>52</v>
      </c>
      <c r="J231" t="s">
        <v>81</v>
      </c>
      <c r="K231" t="s">
        <v>54</v>
      </c>
      <c r="L231" t="s">
        <v>55</v>
      </c>
      <c r="O231" t="s">
        <v>82</v>
      </c>
      <c r="P231" t="s">
        <v>83</v>
      </c>
      <c r="Q231" s="6">
        <v>52023.05</v>
      </c>
    </row>
    <row r="232" spans="1:17">
      <c r="A232" t="s">
        <v>566</v>
      </c>
      <c r="B232" s="5">
        <v>46114</v>
      </c>
      <c r="C232" t="s">
        <v>567</v>
      </c>
      <c r="D232" t="s">
        <v>17</v>
      </c>
      <c r="E232" t="s">
        <v>2</v>
      </c>
      <c r="F232" t="s">
        <v>50</v>
      </c>
      <c r="G232" t="s">
        <v>51</v>
      </c>
      <c r="H232" s="6">
        <v>16.8</v>
      </c>
      <c r="I232" t="s">
        <v>52</v>
      </c>
      <c r="J232" t="s">
        <v>53</v>
      </c>
      <c r="K232" t="s">
        <v>54</v>
      </c>
      <c r="L232" t="s">
        <v>55</v>
      </c>
      <c r="O232" t="s">
        <v>56</v>
      </c>
      <c r="P232" t="s">
        <v>57</v>
      </c>
      <c r="Q232" s="6">
        <v>52072.87</v>
      </c>
    </row>
    <row r="233" spans="1:17">
      <c r="A233" t="s">
        <v>568</v>
      </c>
      <c r="B233" s="5">
        <v>46115</v>
      </c>
      <c r="C233" t="s">
        <v>569</v>
      </c>
      <c r="D233" t="s">
        <v>17</v>
      </c>
      <c r="E233" t="s">
        <v>2</v>
      </c>
      <c r="F233" t="s">
        <v>50</v>
      </c>
      <c r="G233" t="s">
        <v>51</v>
      </c>
      <c r="H233" s="6">
        <v>28.99</v>
      </c>
      <c r="I233" t="s">
        <v>52</v>
      </c>
      <c r="J233" t="s">
        <v>60</v>
      </c>
      <c r="K233" t="s">
        <v>54</v>
      </c>
      <c r="L233" t="s">
        <v>55</v>
      </c>
      <c r="O233" t="s">
        <v>61</v>
      </c>
      <c r="P233" t="s">
        <v>62</v>
      </c>
      <c r="Q233" s="6">
        <v>51945.34</v>
      </c>
    </row>
    <row r="234" spans="1:17">
      <c r="A234" t="s">
        <v>570</v>
      </c>
      <c r="B234" s="5">
        <v>46115</v>
      </c>
      <c r="C234" t="s">
        <v>571</v>
      </c>
      <c r="D234" t="s">
        <v>17</v>
      </c>
      <c r="E234" t="s">
        <v>2</v>
      </c>
      <c r="F234" t="s">
        <v>50</v>
      </c>
      <c r="G234" t="s">
        <v>51</v>
      </c>
      <c r="H234" s="6">
        <v>43.42</v>
      </c>
      <c r="I234" t="s">
        <v>52</v>
      </c>
      <c r="J234" t="s">
        <v>126</v>
      </c>
      <c r="K234" t="s">
        <v>54</v>
      </c>
      <c r="L234" t="s">
        <v>55</v>
      </c>
      <c r="O234" t="s">
        <v>56</v>
      </c>
      <c r="P234" t="s">
        <v>57</v>
      </c>
      <c r="Q234" s="6">
        <v>51832.19</v>
      </c>
    </row>
    <row r="235" spans="1:17">
      <c r="A235" t="s">
        <v>572</v>
      </c>
      <c r="B235" s="5">
        <v>46115</v>
      </c>
      <c r="C235" t="s">
        <v>573</v>
      </c>
      <c r="D235" t="s">
        <v>17</v>
      </c>
      <c r="E235" t="s">
        <v>2</v>
      </c>
      <c r="F235" t="s">
        <v>50</v>
      </c>
      <c r="G235" t="s">
        <v>51</v>
      </c>
      <c r="H235" s="6">
        <v>26.86</v>
      </c>
      <c r="I235" t="s">
        <v>52</v>
      </c>
      <c r="J235" t="s">
        <v>60</v>
      </c>
      <c r="K235" t="s">
        <v>54</v>
      </c>
      <c r="L235" t="s">
        <v>55</v>
      </c>
      <c r="O235" t="s">
        <v>61</v>
      </c>
      <c r="P235" t="s">
        <v>62</v>
      </c>
      <c r="Q235" s="6">
        <v>51918.48</v>
      </c>
    </row>
    <row r="236" spans="1:17">
      <c r="A236" t="s">
        <v>574</v>
      </c>
      <c r="B236" s="5">
        <v>46115</v>
      </c>
      <c r="C236" t="s">
        <v>575</v>
      </c>
      <c r="D236" t="s">
        <v>17</v>
      </c>
      <c r="E236" t="s">
        <v>2</v>
      </c>
      <c r="F236" t="s">
        <v>50</v>
      </c>
      <c r="G236" t="s">
        <v>100</v>
      </c>
      <c r="H236" s="6">
        <v>15</v>
      </c>
      <c r="I236" t="s">
        <v>52</v>
      </c>
      <c r="J236" t="s">
        <v>101</v>
      </c>
      <c r="K236" t="s">
        <v>54</v>
      </c>
      <c r="L236" t="s">
        <v>102</v>
      </c>
      <c r="O236" t="s">
        <v>103</v>
      </c>
      <c r="P236" t="s">
        <v>104</v>
      </c>
      <c r="Q236" s="6">
        <v>51974.33</v>
      </c>
    </row>
    <row r="237" spans="1:17">
      <c r="A237" t="s">
        <v>576</v>
      </c>
      <c r="B237" s="5">
        <v>46115</v>
      </c>
      <c r="C237" t="s">
        <v>577</v>
      </c>
      <c r="D237" t="s">
        <v>17</v>
      </c>
      <c r="E237" t="s">
        <v>2</v>
      </c>
      <c r="F237" t="s">
        <v>50</v>
      </c>
      <c r="G237" t="s">
        <v>51</v>
      </c>
      <c r="H237" s="6">
        <v>42.87</v>
      </c>
      <c r="I237" t="s">
        <v>52</v>
      </c>
      <c r="J237" t="s">
        <v>81</v>
      </c>
      <c r="K237" t="s">
        <v>54</v>
      </c>
      <c r="L237" t="s">
        <v>55</v>
      </c>
      <c r="O237" t="s">
        <v>82</v>
      </c>
      <c r="P237" t="s">
        <v>83</v>
      </c>
      <c r="Q237" s="6">
        <v>51875.61</v>
      </c>
    </row>
    <row r="238" spans="1:17">
      <c r="A238" t="s">
        <v>578</v>
      </c>
      <c r="B238" s="5">
        <v>46116</v>
      </c>
      <c r="C238" t="s">
        <v>579</v>
      </c>
      <c r="D238" t="s">
        <v>17</v>
      </c>
      <c r="E238" t="s">
        <v>2</v>
      </c>
      <c r="F238" t="s">
        <v>50</v>
      </c>
      <c r="G238" t="s">
        <v>51</v>
      </c>
      <c r="H238" s="6">
        <v>164.27</v>
      </c>
      <c r="I238" t="s">
        <v>52</v>
      </c>
      <c r="J238" t="s">
        <v>196</v>
      </c>
      <c r="K238" t="s">
        <v>54</v>
      </c>
      <c r="L238" t="s">
        <v>55</v>
      </c>
      <c r="O238" t="s">
        <v>197</v>
      </c>
      <c r="P238" t="s">
        <v>198</v>
      </c>
      <c r="Q238" s="6">
        <v>51562.25</v>
      </c>
    </row>
    <row r="239" spans="1:17">
      <c r="A239" t="s">
        <v>580</v>
      </c>
      <c r="B239" s="5">
        <v>46116</v>
      </c>
      <c r="C239" t="s">
        <v>581</v>
      </c>
      <c r="D239" t="s">
        <v>17</v>
      </c>
      <c r="E239" t="s">
        <v>2</v>
      </c>
      <c r="F239" t="s">
        <v>50</v>
      </c>
      <c r="G239" t="s">
        <v>51</v>
      </c>
      <c r="H239" s="6">
        <v>6.66</v>
      </c>
      <c r="I239" t="s">
        <v>52</v>
      </c>
      <c r="J239" t="s">
        <v>53</v>
      </c>
      <c r="K239" t="s">
        <v>54</v>
      </c>
      <c r="L239" t="s">
        <v>55</v>
      </c>
      <c r="O239" t="s">
        <v>56</v>
      </c>
      <c r="P239" t="s">
        <v>57</v>
      </c>
      <c r="Q239" s="6">
        <v>51532.06</v>
      </c>
    </row>
    <row r="240" spans="1:17">
      <c r="A240" t="s">
        <v>582</v>
      </c>
      <c r="B240" s="5">
        <v>46116</v>
      </c>
      <c r="C240" t="s">
        <v>583</v>
      </c>
      <c r="D240" t="s">
        <v>17</v>
      </c>
      <c r="E240" t="s">
        <v>2</v>
      </c>
      <c r="F240" t="s">
        <v>50</v>
      </c>
      <c r="G240" t="s">
        <v>51</v>
      </c>
      <c r="H240" s="6">
        <v>105.67</v>
      </c>
      <c r="I240" t="s">
        <v>52</v>
      </c>
      <c r="J240" t="s">
        <v>65</v>
      </c>
      <c r="K240" t="s">
        <v>54</v>
      </c>
      <c r="L240" t="s">
        <v>55</v>
      </c>
      <c r="O240" t="s">
        <v>66</v>
      </c>
      <c r="P240" t="s">
        <v>67</v>
      </c>
      <c r="Q240" s="6">
        <v>51726.52</v>
      </c>
    </row>
    <row r="241" spans="1:17">
      <c r="A241" t="s">
        <v>584</v>
      </c>
      <c r="B241" s="5">
        <v>46116</v>
      </c>
      <c r="C241" t="s">
        <v>585</v>
      </c>
      <c r="D241" t="s">
        <v>17</v>
      </c>
      <c r="E241" t="s">
        <v>2</v>
      </c>
      <c r="F241" t="s">
        <v>50</v>
      </c>
      <c r="G241" t="s">
        <v>51</v>
      </c>
      <c r="H241" s="6">
        <v>24.21</v>
      </c>
      <c r="I241" t="s">
        <v>52</v>
      </c>
      <c r="J241" t="s">
        <v>196</v>
      </c>
      <c r="K241" t="s">
        <v>54</v>
      </c>
      <c r="L241" t="s">
        <v>55</v>
      </c>
      <c r="O241" t="s">
        <v>197</v>
      </c>
      <c r="P241" t="s">
        <v>198</v>
      </c>
      <c r="Q241" s="6">
        <v>51468.43</v>
      </c>
    </row>
    <row r="242" spans="1:17">
      <c r="A242" t="s">
        <v>586</v>
      </c>
      <c r="B242" s="5">
        <v>46116</v>
      </c>
      <c r="C242" t="s">
        <v>587</v>
      </c>
      <c r="D242" t="s">
        <v>17</v>
      </c>
      <c r="E242" t="s">
        <v>2</v>
      </c>
      <c r="F242" t="s">
        <v>50</v>
      </c>
      <c r="G242" t="s">
        <v>100</v>
      </c>
      <c r="H242" s="6">
        <v>15</v>
      </c>
      <c r="I242" t="s">
        <v>52</v>
      </c>
      <c r="J242" t="s">
        <v>101</v>
      </c>
      <c r="K242" t="s">
        <v>54</v>
      </c>
      <c r="L242" t="s">
        <v>102</v>
      </c>
      <c r="O242" t="s">
        <v>103</v>
      </c>
      <c r="P242" t="s">
        <v>104</v>
      </c>
      <c r="Q242" s="6">
        <v>51517.06</v>
      </c>
    </row>
    <row r="243" spans="1:17">
      <c r="A243" t="s">
        <v>588</v>
      </c>
      <c r="B243" s="5">
        <v>46116</v>
      </c>
      <c r="C243" t="s">
        <v>589</v>
      </c>
      <c r="D243" t="s">
        <v>17</v>
      </c>
      <c r="E243" t="s">
        <v>2</v>
      </c>
      <c r="F243" t="s">
        <v>50</v>
      </c>
      <c r="G243" t="s">
        <v>51</v>
      </c>
      <c r="H243" s="6">
        <v>24.42</v>
      </c>
      <c r="I243" t="s">
        <v>52</v>
      </c>
      <c r="J243" t="s">
        <v>65</v>
      </c>
      <c r="K243" t="s">
        <v>54</v>
      </c>
      <c r="L243" t="s">
        <v>55</v>
      </c>
      <c r="O243" t="s">
        <v>66</v>
      </c>
      <c r="P243" t="s">
        <v>67</v>
      </c>
      <c r="Q243" s="6">
        <v>51492.639999999999</v>
      </c>
    </row>
    <row r="244" spans="1:17">
      <c r="A244" t="s">
        <v>590</v>
      </c>
      <c r="B244" s="5">
        <v>46116</v>
      </c>
      <c r="C244" t="s">
        <v>591</v>
      </c>
      <c r="D244" t="s">
        <v>17</v>
      </c>
      <c r="E244" t="s">
        <v>2</v>
      </c>
      <c r="F244" t="s">
        <v>50</v>
      </c>
      <c r="G244" t="s">
        <v>100</v>
      </c>
      <c r="H244" s="6">
        <v>23.53</v>
      </c>
      <c r="I244" t="s">
        <v>52</v>
      </c>
      <c r="J244" t="s">
        <v>114</v>
      </c>
      <c r="K244" t="s">
        <v>54</v>
      </c>
      <c r="L244" t="s">
        <v>102</v>
      </c>
      <c r="O244" t="s">
        <v>103</v>
      </c>
      <c r="P244" t="s">
        <v>104</v>
      </c>
      <c r="Q244" s="6">
        <v>51538.720000000001</v>
      </c>
    </row>
    <row r="245" spans="1:17">
      <c r="A245" t="s">
        <v>592</v>
      </c>
      <c r="B245" s="5">
        <v>46117</v>
      </c>
      <c r="C245" t="s">
        <v>593</v>
      </c>
      <c r="D245" t="s">
        <v>17</v>
      </c>
      <c r="E245" t="s">
        <v>2</v>
      </c>
      <c r="F245" t="s">
        <v>50</v>
      </c>
      <c r="G245" t="s">
        <v>51</v>
      </c>
      <c r="H245" s="6">
        <v>116.82</v>
      </c>
      <c r="I245" t="s">
        <v>52</v>
      </c>
      <c r="J245" t="s">
        <v>196</v>
      </c>
      <c r="K245" t="s">
        <v>54</v>
      </c>
      <c r="L245" t="s">
        <v>55</v>
      </c>
      <c r="O245" t="s">
        <v>197</v>
      </c>
      <c r="P245" t="s">
        <v>198</v>
      </c>
      <c r="Q245" s="6">
        <v>51248.480000000003</v>
      </c>
    </row>
    <row r="246" spans="1:17">
      <c r="A246" t="s">
        <v>594</v>
      </c>
      <c r="B246" s="5">
        <v>46117</v>
      </c>
      <c r="C246" t="s">
        <v>595</v>
      </c>
      <c r="D246" t="s">
        <v>17</v>
      </c>
      <c r="E246" t="s">
        <v>2</v>
      </c>
      <c r="F246" t="s">
        <v>50</v>
      </c>
      <c r="G246" t="s">
        <v>51</v>
      </c>
      <c r="H246" s="6">
        <v>15.18</v>
      </c>
      <c r="I246" t="s">
        <v>52</v>
      </c>
      <c r="J246" t="s">
        <v>53</v>
      </c>
      <c r="K246" t="s">
        <v>54</v>
      </c>
      <c r="L246" t="s">
        <v>55</v>
      </c>
      <c r="O246" t="s">
        <v>56</v>
      </c>
      <c r="P246" t="s">
        <v>57</v>
      </c>
      <c r="Q246" s="6">
        <v>51400.04</v>
      </c>
    </row>
    <row r="247" spans="1:17">
      <c r="A247" t="s">
        <v>596</v>
      </c>
      <c r="B247" s="5">
        <v>46117</v>
      </c>
      <c r="C247" t="s">
        <v>597</v>
      </c>
      <c r="D247" t="s">
        <v>17</v>
      </c>
      <c r="E247" t="s">
        <v>2</v>
      </c>
      <c r="F247" t="s">
        <v>50</v>
      </c>
      <c r="G247" t="s">
        <v>51</v>
      </c>
      <c r="H247" s="6">
        <v>53.21</v>
      </c>
      <c r="I247" t="s">
        <v>52</v>
      </c>
      <c r="J247" t="s">
        <v>65</v>
      </c>
      <c r="K247" t="s">
        <v>54</v>
      </c>
      <c r="L247" t="s">
        <v>55</v>
      </c>
      <c r="O247" t="s">
        <v>66</v>
      </c>
      <c r="P247" t="s">
        <v>67</v>
      </c>
      <c r="Q247" s="6">
        <v>51415.22</v>
      </c>
    </row>
    <row r="248" spans="1:17">
      <c r="A248" t="s">
        <v>598</v>
      </c>
      <c r="B248" s="5">
        <v>46117</v>
      </c>
      <c r="C248" t="s">
        <v>599</v>
      </c>
      <c r="D248" t="s">
        <v>17</v>
      </c>
      <c r="E248" t="s">
        <v>2</v>
      </c>
      <c r="F248" t="s">
        <v>50</v>
      </c>
      <c r="G248" t="s">
        <v>51</v>
      </c>
      <c r="H248" s="6">
        <v>45.81</v>
      </c>
      <c r="I248" t="s">
        <v>52</v>
      </c>
      <c r="J248" t="s">
        <v>60</v>
      </c>
      <c r="K248" t="s">
        <v>54</v>
      </c>
      <c r="L248" t="s">
        <v>55</v>
      </c>
      <c r="O248" t="s">
        <v>61</v>
      </c>
      <c r="P248" t="s">
        <v>62</v>
      </c>
      <c r="Q248" s="6">
        <v>51168.57</v>
      </c>
    </row>
    <row r="249" spans="1:17">
      <c r="A249" t="s">
        <v>600</v>
      </c>
      <c r="B249" s="5">
        <v>46117</v>
      </c>
      <c r="C249" t="s">
        <v>601</v>
      </c>
      <c r="D249" t="s">
        <v>17</v>
      </c>
      <c r="E249" t="s">
        <v>2</v>
      </c>
      <c r="F249" t="s">
        <v>50</v>
      </c>
      <c r="G249" t="s">
        <v>51</v>
      </c>
      <c r="H249" s="6">
        <v>34.74</v>
      </c>
      <c r="I249" t="s">
        <v>52</v>
      </c>
      <c r="J249" t="s">
        <v>65</v>
      </c>
      <c r="K249" t="s">
        <v>54</v>
      </c>
      <c r="L249" t="s">
        <v>55</v>
      </c>
      <c r="O249" t="s">
        <v>66</v>
      </c>
      <c r="P249" t="s">
        <v>67</v>
      </c>
      <c r="Q249" s="6">
        <v>51365.3</v>
      </c>
    </row>
    <row r="250" spans="1:17">
      <c r="A250" t="s">
        <v>602</v>
      </c>
      <c r="B250" s="5">
        <v>46117</v>
      </c>
      <c r="C250" t="s">
        <v>603</v>
      </c>
      <c r="D250" t="s">
        <v>17</v>
      </c>
      <c r="E250" t="s">
        <v>2</v>
      </c>
      <c r="F250" t="s">
        <v>50</v>
      </c>
      <c r="G250" t="s">
        <v>51</v>
      </c>
      <c r="H250" s="6">
        <v>34.1</v>
      </c>
      <c r="I250" t="s">
        <v>52</v>
      </c>
      <c r="J250" t="s">
        <v>65</v>
      </c>
      <c r="K250" t="s">
        <v>54</v>
      </c>
      <c r="L250" t="s">
        <v>55</v>
      </c>
      <c r="O250" t="s">
        <v>66</v>
      </c>
      <c r="P250" t="s">
        <v>67</v>
      </c>
      <c r="Q250" s="6">
        <v>51214.38</v>
      </c>
    </row>
    <row r="251" spans="1:17">
      <c r="A251" t="s">
        <v>604</v>
      </c>
      <c r="B251" s="5">
        <v>46117</v>
      </c>
      <c r="C251" t="s">
        <v>605</v>
      </c>
      <c r="D251" t="s">
        <v>17</v>
      </c>
      <c r="E251" t="s">
        <v>2</v>
      </c>
      <c r="F251" t="s">
        <v>50</v>
      </c>
      <c r="G251" t="s">
        <v>72</v>
      </c>
      <c r="H251" s="6">
        <v>118.42</v>
      </c>
      <c r="I251" t="s">
        <v>52</v>
      </c>
      <c r="J251" t="s">
        <v>606</v>
      </c>
      <c r="K251" t="s">
        <v>54</v>
      </c>
      <c r="L251" t="s">
        <v>74</v>
      </c>
      <c r="O251" t="s">
        <v>75</v>
      </c>
      <c r="P251" t="s">
        <v>76</v>
      </c>
      <c r="Q251" s="6">
        <v>51050.15</v>
      </c>
    </row>
    <row r="252" spans="1:17">
      <c r="A252" t="s">
        <v>607</v>
      </c>
      <c r="B252" s="5">
        <v>46118</v>
      </c>
      <c r="C252" t="s">
        <v>608</v>
      </c>
      <c r="D252" t="s">
        <v>17</v>
      </c>
      <c r="E252" t="s">
        <v>2</v>
      </c>
      <c r="F252" t="s">
        <v>50</v>
      </c>
      <c r="G252" t="s">
        <v>51</v>
      </c>
      <c r="H252" s="6">
        <v>38.11</v>
      </c>
      <c r="I252" t="s">
        <v>52</v>
      </c>
      <c r="J252" t="s">
        <v>60</v>
      </c>
      <c r="K252" t="s">
        <v>54</v>
      </c>
      <c r="L252" t="s">
        <v>55</v>
      </c>
      <c r="O252" t="s">
        <v>61</v>
      </c>
      <c r="P252" t="s">
        <v>62</v>
      </c>
      <c r="Q252" s="6">
        <v>50820.71</v>
      </c>
    </row>
    <row r="253" spans="1:17">
      <c r="A253" t="s">
        <v>609</v>
      </c>
      <c r="B253" s="5">
        <v>46118</v>
      </c>
      <c r="C253" t="s">
        <v>610</v>
      </c>
      <c r="D253" t="s">
        <v>17</v>
      </c>
      <c r="E253" t="s">
        <v>2</v>
      </c>
      <c r="F253" t="s">
        <v>50</v>
      </c>
      <c r="G253" t="s">
        <v>72</v>
      </c>
      <c r="H253" s="6">
        <v>124.75</v>
      </c>
      <c r="I253" t="s">
        <v>52</v>
      </c>
      <c r="J253" t="s">
        <v>611</v>
      </c>
      <c r="K253" t="s">
        <v>54</v>
      </c>
      <c r="L253" t="s">
        <v>74</v>
      </c>
      <c r="O253" t="s">
        <v>75</v>
      </c>
      <c r="P253" t="s">
        <v>76</v>
      </c>
      <c r="Q253" s="6">
        <v>50668.800000000003</v>
      </c>
    </row>
    <row r="254" spans="1:17">
      <c r="A254" t="s">
        <v>612</v>
      </c>
      <c r="B254" s="5">
        <v>46118</v>
      </c>
      <c r="C254" t="s">
        <v>613</v>
      </c>
      <c r="D254" t="s">
        <v>17</v>
      </c>
      <c r="E254" t="s">
        <v>2</v>
      </c>
      <c r="F254" t="s">
        <v>50</v>
      </c>
      <c r="G254" t="s">
        <v>51</v>
      </c>
      <c r="H254" s="6">
        <v>12.74</v>
      </c>
      <c r="I254" t="s">
        <v>52</v>
      </c>
      <c r="J254" t="s">
        <v>53</v>
      </c>
      <c r="K254" t="s">
        <v>54</v>
      </c>
      <c r="L254" t="s">
        <v>55</v>
      </c>
      <c r="O254" t="s">
        <v>56</v>
      </c>
      <c r="P254" t="s">
        <v>57</v>
      </c>
      <c r="Q254" s="6">
        <v>50807.97</v>
      </c>
    </row>
    <row r="255" spans="1:17">
      <c r="A255" t="s">
        <v>614</v>
      </c>
      <c r="B255" s="5">
        <v>46118</v>
      </c>
      <c r="C255" t="s">
        <v>615</v>
      </c>
      <c r="D255" t="s">
        <v>17</v>
      </c>
      <c r="E255" t="s">
        <v>2</v>
      </c>
      <c r="F255" t="s">
        <v>50</v>
      </c>
      <c r="G255" t="s">
        <v>51</v>
      </c>
      <c r="H255" s="6">
        <v>144.82</v>
      </c>
      <c r="I255" t="s">
        <v>52</v>
      </c>
      <c r="J255" t="s">
        <v>65</v>
      </c>
      <c r="K255" t="s">
        <v>54</v>
      </c>
      <c r="L255" t="s">
        <v>55</v>
      </c>
      <c r="O255" t="s">
        <v>66</v>
      </c>
      <c r="P255" t="s">
        <v>67</v>
      </c>
      <c r="Q255" s="6">
        <v>50905.33</v>
      </c>
    </row>
    <row r="256" spans="1:17">
      <c r="A256" t="s">
        <v>616</v>
      </c>
      <c r="B256" s="5">
        <v>46118</v>
      </c>
      <c r="C256" t="s">
        <v>617</v>
      </c>
      <c r="D256" t="s">
        <v>17</v>
      </c>
      <c r="E256" t="s">
        <v>2</v>
      </c>
      <c r="F256" t="s">
        <v>50</v>
      </c>
      <c r="G256" t="s">
        <v>51</v>
      </c>
      <c r="H256" s="6">
        <v>46.51</v>
      </c>
      <c r="I256" t="s">
        <v>52</v>
      </c>
      <c r="J256" t="s">
        <v>60</v>
      </c>
      <c r="K256" t="s">
        <v>54</v>
      </c>
      <c r="L256" t="s">
        <v>55</v>
      </c>
      <c r="O256" t="s">
        <v>61</v>
      </c>
      <c r="P256" t="s">
        <v>62</v>
      </c>
      <c r="Q256" s="6">
        <v>50858.82</v>
      </c>
    </row>
    <row r="257" spans="1:17">
      <c r="A257" t="s">
        <v>618</v>
      </c>
      <c r="B257" s="5">
        <v>46118</v>
      </c>
      <c r="C257" t="s">
        <v>619</v>
      </c>
      <c r="D257" t="s">
        <v>17</v>
      </c>
      <c r="E257" t="s">
        <v>2</v>
      </c>
      <c r="F257" t="s">
        <v>50</v>
      </c>
      <c r="G257" t="s">
        <v>100</v>
      </c>
      <c r="H257" s="6">
        <v>14.42</v>
      </c>
      <c r="I257" t="s">
        <v>52</v>
      </c>
      <c r="J257" t="s">
        <v>114</v>
      </c>
      <c r="K257" t="s">
        <v>54</v>
      </c>
      <c r="L257" t="s">
        <v>102</v>
      </c>
      <c r="O257" t="s">
        <v>103</v>
      </c>
      <c r="P257" t="s">
        <v>104</v>
      </c>
      <c r="Q257" s="6">
        <v>50793.55</v>
      </c>
    </row>
    <row r="258" spans="1:17">
      <c r="A258" t="s">
        <v>620</v>
      </c>
      <c r="B258" s="5">
        <v>46119</v>
      </c>
      <c r="C258" t="s">
        <v>621</v>
      </c>
      <c r="D258" t="s">
        <v>17</v>
      </c>
      <c r="E258" t="s">
        <v>2</v>
      </c>
      <c r="F258" t="s">
        <v>50</v>
      </c>
      <c r="G258" t="s">
        <v>51</v>
      </c>
      <c r="H258" s="6">
        <v>19.489999999999998</v>
      </c>
      <c r="I258" t="s">
        <v>52</v>
      </c>
      <c r="J258" t="s">
        <v>121</v>
      </c>
      <c r="K258" t="s">
        <v>54</v>
      </c>
      <c r="L258" t="s">
        <v>55</v>
      </c>
      <c r="O258" t="s">
        <v>122</v>
      </c>
      <c r="P258" t="s">
        <v>123</v>
      </c>
      <c r="Q258" s="6">
        <v>50411.25</v>
      </c>
    </row>
    <row r="259" spans="1:17">
      <c r="A259" t="s">
        <v>622</v>
      </c>
      <c r="B259" s="5">
        <v>46119</v>
      </c>
      <c r="C259" t="s">
        <v>623</v>
      </c>
      <c r="D259" t="s">
        <v>17</v>
      </c>
      <c r="E259" t="s">
        <v>2</v>
      </c>
      <c r="F259" t="s">
        <v>50</v>
      </c>
      <c r="G259" t="s">
        <v>51</v>
      </c>
      <c r="H259" s="6">
        <v>50.21</v>
      </c>
      <c r="I259" t="s">
        <v>52</v>
      </c>
      <c r="J259" t="s">
        <v>81</v>
      </c>
      <c r="K259" t="s">
        <v>54</v>
      </c>
      <c r="L259" t="s">
        <v>55</v>
      </c>
      <c r="O259" t="s">
        <v>82</v>
      </c>
      <c r="P259" t="s">
        <v>83</v>
      </c>
      <c r="Q259" s="6">
        <v>50445.68</v>
      </c>
    </row>
    <row r="260" spans="1:17">
      <c r="A260" t="s">
        <v>624</v>
      </c>
      <c r="B260" s="5">
        <v>46119</v>
      </c>
      <c r="C260" t="s">
        <v>625</v>
      </c>
      <c r="D260" t="s">
        <v>17</v>
      </c>
      <c r="E260" t="s">
        <v>2</v>
      </c>
      <c r="F260" t="s">
        <v>50</v>
      </c>
      <c r="G260" t="s">
        <v>100</v>
      </c>
      <c r="H260" s="6">
        <v>14.94</v>
      </c>
      <c r="I260" t="s">
        <v>52</v>
      </c>
      <c r="J260" t="s">
        <v>114</v>
      </c>
      <c r="K260" t="s">
        <v>54</v>
      </c>
      <c r="L260" t="s">
        <v>102</v>
      </c>
      <c r="O260" t="s">
        <v>103</v>
      </c>
      <c r="P260" t="s">
        <v>104</v>
      </c>
      <c r="Q260" s="6">
        <v>50430.74</v>
      </c>
    </row>
    <row r="261" spans="1:17">
      <c r="A261" t="s">
        <v>626</v>
      </c>
      <c r="B261" s="5">
        <v>46119</v>
      </c>
      <c r="C261" t="s">
        <v>627</v>
      </c>
      <c r="D261" t="s">
        <v>17</v>
      </c>
      <c r="E261" t="s">
        <v>2</v>
      </c>
      <c r="F261" t="s">
        <v>50</v>
      </c>
      <c r="G261" t="s">
        <v>51</v>
      </c>
      <c r="H261" s="6">
        <v>26.66</v>
      </c>
      <c r="I261" t="s">
        <v>52</v>
      </c>
      <c r="J261" t="s">
        <v>60</v>
      </c>
      <c r="K261" t="s">
        <v>54</v>
      </c>
      <c r="L261" t="s">
        <v>55</v>
      </c>
      <c r="O261" t="s">
        <v>61</v>
      </c>
      <c r="P261" t="s">
        <v>62</v>
      </c>
      <c r="Q261" s="6">
        <v>50495.89</v>
      </c>
    </row>
    <row r="262" spans="1:17">
      <c r="A262" t="s">
        <v>628</v>
      </c>
      <c r="B262" s="5">
        <v>46119</v>
      </c>
      <c r="C262" t="s">
        <v>629</v>
      </c>
      <c r="D262" t="s">
        <v>17</v>
      </c>
      <c r="E262" t="s">
        <v>2</v>
      </c>
      <c r="F262" t="s">
        <v>50</v>
      </c>
      <c r="G262" t="s">
        <v>51</v>
      </c>
      <c r="H262" s="6">
        <v>37.630000000000003</v>
      </c>
      <c r="I262" t="s">
        <v>52</v>
      </c>
      <c r="J262" t="s">
        <v>60</v>
      </c>
      <c r="K262" t="s">
        <v>54</v>
      </c>
      <c r="L262" t="s">
        <v>55</v>
      </c>
      <c r="O262" t="s">
        <v>61</v>
      </c>
      <c r="P262" t="s">
        <v>62</v>
      </c>
      <c r="Q262" s="6">
        <v>50580.14</v>
      </c>
    </row>
    <row r="263" spans="1:17">
      <c r="A263" t="s">
        <v>630</v>
      </c>
      <c r="B263" s="5">
        <v>46119</v>
      </c>
      <c r="C263" t="s">
        <v>631</v>
      </c>
      <c r="D263" t="s">
        <v>17</v>
      </c>
      <c r="E263" t="s">
        <v>2</v>
      </c>
      <c r="F263" t="s">
        <v>50</v>
      </c>
      <c r="G263" t="s">
        <v>51</v>
      </c>
      <c r="H263" s="6">
        <v>51.03</v>
      </c>
      <c r="I263" t="s">
        <v>52</v>
      </c>
      <c r="J263" t="s">
        <v>81</v>
      </c>
      <c r="K263" t="s">
        <v>54</v>
      </c>
      <c r="L263" t="s">
        <v>55</v>
      </c>
      <c r="O263" t="s">
        <v>82</v>
      </c>
      <c r="P263" t="s">
        <v>83</v>
      </c>
      <c r="Q263" s="6">
        <v>50617.77</v>
      </c>
    </row>
    <row r="264" spans="1:17">
      <c r="A264" t="s">
        <v>632</v>
      </c>
      <c r="B264" s="5">
        <v>46119</v>
      </c>
      <c r="C264" t="s">
        <v>633</v>
      </c>
      <c r="D264" t="s">
        <v>17</v>
      </c>
      <c r="E264" t="s">
        <v>2</v>
      </c>
      <c r="F264" t="s">
        <v>50</v>
      </c>
      <c r="G264" t="s">
        <v>51</v>
      </c>
      <c r="H264" s="6">
        <v>57.59</v>
      </c>
      <c r="I264" t="s">
        <v>52</v>
      </c>
      <c r="J264" t="s">
        <v>81</v>
      </c>
      <c r="K264" t="s">
        <v>54</v>
      </c>
      <c r="L264" t="s">
        <v>55</v>
      </c>
      <c r="O264" t="s">
        <v>82</v>
      </c>
      <c r="P264" t="s">
        <v>83</v>
      </c>
      <c r="Q264" s="6">
        <v>50522.55</v>
      </c>
    </row>
    <row r="265" spans="1:17">
      <c r="A265" t="s">
        <v>634</v>
      </c>
      <c r="B265" s="5">
        <v>46119</v>
      </c>
      <c r="C265" t="s">
        <v>635</v>
      </c>
      <c r="D265" t="s">
        <v>17</v>
      </c>
      <c r="E265" t="s">
        <v>2</v>
      </c>
      <c r="F265" t="s">
        <v>50</v>
      </c>
      <c r="G265" t="s">
        <v>51</v>
      </c>
      <c r="H265" s="6">
        <v>8.92</v>
      </c>
      <c r="I265" t="s">
        <v>52</v>
      </c>
      <c r="J265" t="s">
        <v>53</v>
      </c>
      <c r="K265" t="s">
        <v>54</v>
      </c>
      <c r="L265" t="s">
        <v>55</v>
      </c>
      <c r="O265" t="s">
        <v>56</v>
      </c>
      <c r="P265" t="s">
        <v>57</v>
      </c>
      <c r="Q265" s="6">
        <v>50402.33</v>
      </c>
    </row>
    <row r="266" spans="1:17">
      <c r="A266" t="s">
        <v>636</v>
      </c>
      <c r="B266" s="5">
        <v>46120</v>
      </c>
      <c r="C266" t="s">
        <v>637</v>
      </c>
      <c r="D266" t="s">
        <v>17</v>
      </c>
      <c r="E266" t="s">
        <v>2</v>
      </c>
      <c r="F266" t="s">
        <v>149</v>
      </c>
      <c r="G266" t="s">
        <v>72</v>
      </c>
      <c r="H266" s="6">
        <v>175.49</v>
      </c>
      <c r="I266" t="s">
        <v>52</v>
      </c>
      <c r="J266" t="s">
        <v>638</v>
      </c>
      <c r="K266" t="s">
        <v>54</v>
      </c>
      <c r="L266" t="s">
        <v>74</v>
      </c>
      <c r="O266" t="s">
        <v>75</v>
      </c>
      <c r="P266" t="s">
        <v>76</v>
      </c>
      <c r="Q266" s="6">
        <v>50481.27</v>
      </c>
    </row>
    <row r="267" spans="1:17">
      <c r="A267" t="s">
        <v>639</v>
      </c>
      <c r="B267" s="5">
        <v>46120</v>
      </c>
      <c r="C267" t="s">
        <v>640</v>
      </c>
      <c r="D267" t="s">
        <v>17</v>
      </c>
      <c r="E267" t="s">
        <v>2</v>
      </c>
      <c r="F267" t="s">
        <v>50</v>
      </c>
      <c r="G267" t="s">
        <v>51</v>
      </c>
      <c r="H267" s="6">
        <v>8.32</v>
      </c>
      <c r="I267" t="s">
        <v>52</v>
      </c>
      <c r="J267" t="s">
        <v>81</v>
      </c>
      <c r="K267" t="s">
        <v>54</v>
      </c>
      <c r="L267" t="s">
        <v>55</v>
      </c>
      <c r="O267" t="s">
        <v>82</v>
      </c>
      <c r="P267" t="s">
        <v>83</v>
      </c>
      <c r="Q267" s="6">
        <v>50305.78</v>
      </c>
    </row>
    <row r="268" spans="1:17">
      <c r="A268" t="s">
        <v>641</v>
      </c>
      <c r="B268" s="5">
        <v>46120</v>
      </c>
      <c r="C268" t="s">
        <v>642</v>
      </c>
      <c r="D268" t="s">
        <v>17</v>
      </c>
      <c r="E268" t="s">
        <v>2</v>
      </c>
      <c r="F268" t="s">
        <v>50</v>
      </c>
      <c r="G268" t="s">
        <v>100</v>
      </c>
      <c r="H268" s="6">
        <v>10.39</v>
      </c>
      <c r="I268" t="s">
        <v>52</v>
      </c>
      <c r="J268" t="s">
        <v>114</v>
      </c>
      <c r="K268" t="s">
        <v>54</v>
      </c>
      <c r="L268" t="s">
        <v>102</v>
      </c>
      <c r="O268" t="s">
        <v>103</v>
      </c>
      <c r="P268" t="s">
        <v>104</v>
      </c>
      <c r="Q268" s="6">
        <v>50327.94</v>
      </c>
    </row>
    <row r="269" spans="1:17">
      <c r="A269" t="s">
        <v>643</v>
      </c>
      <c r="B269" s="5">
        <v>46120</v>
      </c>
      <c r="C269" t="s">
        <v>644</v>
      </c>
      <c r="D269" t="s">
        <v>17</v>
      </c>
      <c r="E269" t="s">
        <v>2</v>
      </c>
      <c r="F269" t="s">
        <v>50</v>
      </c>
      <c r="G269" t="s">
        <v>51</v>
      </c>
      <c r="H269" s="6">
        <v>13.84</v>
      </c>
      <c r="I269" t="s">
        <v>52</v>
      </c>
      <c r="J269" t="s">
        <v>53</v>
      </c>
      <c r="K269" t="s">
        <v>54</v>
      </c>
      <c r="L269" t="s">
        <v>55</v>
      </c>
      <c r="O269" t="s">
        <v>56</v>
      </c>
      <c r="P269" t="s">
        <v>57</v>
      </c>
      <c r="Q269" s="6">
        <v>50314.1</v>
      </c>
    </row>
    <row r="270" spans="1:17">
      <c r="A270" t="s">
        <v>645</v>
      </c>
      <c r="B270" s="5">
        <v>46120</v>
      </c>
      <c r="C270" t="s">
        <v>646</v>
      </c>
      <c r="D270" t="s">
        <v>17</v>
      </c>
      <c r="E270" t="s">
        <v>2</v>
      </c>
      <c r="F270" t="s">
        <v>50</v>
      </c>
      <c r="G270" t="s">
        <v>51</v>
      </c>
      <c r="H270" s="6">
        <v>51.96</v>
      </c>
      <c r="I270" t="s">
        <v>52</v>
      </c>
      <c r="J270" t="s">
        <v>81</v>
      </c>
      <c r="K270" t="s">
        <v>54</v>
      </c>
      <c r="L270" t="s">
        <v>55</v>
      </c>
      <c r="O270" t="s">
        <v>82</v>
      </c>
      <c r="P270" t="s">
        <v>83</v>
      </c>
      <c r="Q270" s="6">
        <v>50350.37</v>
      </c>
    </row>
    <row r="271" spans="1:17">
      <c r="A271" t="s">
        <v>647</v>
      </c>
      <c r="B271" s="5">
        <v>46120</v>
      </c>
      <c r="C271" t="s">
        <v>648</v>
      </c>
      <c r="D271" t="s">
        <v>17</v>
      </c>
      <c r="E271" t="s">
        <v>2</v>
      </c>
      <c r="F271" t="s">
        <v>50</v>
      </c>
      <c r="G271" t="s">
        <v>51</v>
      </c>
      <c r="H271" s="6">
        <v>12.04</v>
      </c>
      <c r="I271" t="s">
        <v>52</v>
      </c>
      <c r="J271" t="s">
        <v>53</v>
      </c>
      <c r="K271" t="s">
        <v>54</v>
      </c>
      <c r="L271" t="s">
        <v>55</v>
      </c>
      <c r="O271" t="s">
        <v>56</v>
      </c>
      <c r="P271" t="s">
        <v>57</v>
      </c>
      <c r="Q271" s="6">
        <v>50338.33</v>
      </c>
    </row>
    <row r="272" spans="1:17">
      <c r="A272" t="s">
        <v>649</v>
      </c>
      <c r="B272" s="5">
        <v>46121</v>
      </c>
      <c r="C272" t="s">
        <v>650</v>
      </c>
      <c r="D272" t="s">
        <v>17</v>
      </c>
      <c r="E272" t="s">
        <v>2</v>
      </c>
      <c r="F272" t="s">
        <v>50</v>
      </c>
      <c r="G272" t="s">
        <v>51</v>
      </c>
      <c r="H272" s="6">
        <v>21.7</v>
      </c>
      <c r="I272" t="s">
        <v>52</v>
      </c>
      <c r="J272" t="s">
        <v>121</v>
      </c>
      <c r="K272" t="s">
        <v>54</v>
      </c>
      <c r="L272" t="s">
        <v>55</v>
      </c>
      <c r="O272" t="s">
        <v>122</v>
      </c>
      <c r="P272" t="s">
        <v>123</v>
      </c>
      <c r="Q272" s="6">
        <v>50302.41</v>
      </c>
    </row>
    <row r="273" spans="1:17">
      <c r="A273" t="s">
        <v>651</v>
      </c>
      <c r="B273" s="5">
        <v>46121</v>
      </c>
      <c r="C273" t="s">
        <v>652</v>
      </c>
      <c r="D273" t="s">
        <v>17</v>
      </c>
      <c r="E273" t="s">
        <v>2</v>
      </c>
      <c r="F273" t="s">
        <v>50</v>
      </c>
      <c r="G273" t="s">
        <v>51</v>
      </c>
      <c r="H273" s="6">
        <v>14.3</v>
      </c>
      <c r="I273" t="s">
        <v>52</v>
      </c>
      <c r="J273" t="s">
        <v>126</v>
      </c>
      <c r="K273" t="s">
        <v>54</v>
      </c>
      <c r="L273" t="s">
        <v>55</v>
      </c>
      <c r="O273" t="s">
        <v>56</v>
      </c>
      <c r="P273" t="s">
        <v>57</v>
      </c>
      <c r="Q273" s="6">
        <v>50403.57</v>
      </c>
    </row>
    <row r="274" spans="1:17">
      <c r="A274" t="s">
        <v>653</v>
      </c>
      <c r="B274" s="5">
        <v>46121</v>
      </c>
      <c r="C274" t="s">
        <v>654</v>
      </c>
      <c r="D274" t="s">
        <v>17</v>
      </c>
      <c r="E274" t="s">
        <v>2</v>
      </c>
      <c r="F274" t="s">
        <v>50</v>
      </c>
      <c r="G274" t="s">
        <v>51</v>
      </c>
      <c r="H274" s="6">
        <v>48.4</v>
      </c>
      <c r="I274" t="s">
        <v>52</v>
      </c>
      <c r="J274" t="s">
        <v>81</v>
      </c>
      <c r="K274" t="s">
        <v>54</v>
      </c>
      <c r="L274" t="s">
        <v>55</v>
      </c>
      <c r="O274" t="s">
        <v>82</v>
      </c>
      <c r="P274" t="s">
        <v>83</v>
      </c>
      <c r="Q274" s="6">
        <v>50417.87</v>
      </c>
    </row>
    <row r="275" spans="1:17">
      <c r="A275" t="s">
        <v>655</v>
      </c>
      <c r="B275" s="5">
        <v>46121</v>
      </c>
      <c r="C275" t="s">
        <v>656</v>
      </c>
      <c r="D275" t="s">
        <v>17</v>
      </c>
      <c r="E275" t="s">
        <v>2</v>
      </c>
      <c r="F275" t="s">
        <v>50</v>
      </c>
      <c r="G275" t="s">
        <v>51</v>
      </c>
      <c r="H275" s="6">
        <v>39.26</v>
      </c>
      <c r="I275" t="s">
        <v>52</v>
      </c>
      <c r="J275" t="s">
        <v>60</v>
      </c>
      <c r="K275" t="s">
        <v>54</v>
      </c>
      <c r="L275" t="s">
        <v>55</v>
      </c>
      <c r="O275" t="s">
        <v>61</v>
      </c>
      <c r="P275" t="s">
        <v>62</v>
      </c>
      <c r="Q275" s="6">
        <v>50339.11</v>
      </c>
    </row>
    <row r="276" spans="1:17">
      <c r="A276" t="s">
        <v>657</v>
      </c>
      <c r="B276" s="5">
        <v>46121</v>
      </c>
      <c r="C276" t="s">
        <v>658</v>
      </c>
      <c r="D276" t="s">
        <v>17</v>
      </c>
      <c r="E276" t="s">
        <v>2</v>
      </c>
      <c r="F276" t="s">
        <v>50</v>
      </c>
      <c r="G276" t="s">
        <v>100</v>
      </c>
      <c r="H276" s="6">
        <v>15</v>
      </c>
      <c r="I276" t="s">
        <v>52</v>
      </c>
      <c r="J276" t="s">
        <v>101</v>
      </c>
      <c r="K276" t="s">
        <v>54</v>
      </c>
      <c r="L276" t="s">
        <v>102</v>
      </c>
      <c r="O276" t="s">
        <v>103</v>
      </c>
      <c r="P276" t="s">
        <v>104</v>
      </c>
      <c r="Q276" s="6">
        <v>50378.37</v>
      </c>
    </row>
    <row r="277" spans="1:17">
      <c r="A277" t="s">
        <v>659</v>
      </c>
      <c r="B277" s="5">
        <v>46121</v>
      </c>
      <c r="C277" t="s">
        <v>660</v>
      </c>
      <c r="D277" t="s">
        <v>17</v>
      </c>
      <c r="E277" t="s">
        <v>2</v>
      </c>
      <c r="F277" t="s">
        <v>50</v>
      </c>
      <c r="G277" t="s">
        <v>100</v>
      </c>
      <c r="H277" s="6">
        <v>182.45</v>
      </c>
      <c r="I277" t="s">
        <v>52</v>
      </c>
      <c r="J277" t="s">
        <v>177</v>
      </c>
      <c r="K277" t="s">
        <v>54</v>
      </c>
      <c r="L277" t="s">
        <v>102</v>
      </c>
      <c r="O277" t="s">
        <v>178</v>
      </c>
      <c r="P277" t="s">
        <v>179</v>
      </c>
      <c r="Q277" s="6">
        <v>46871.8</v>
      </c>
    </row>
    <row r="278" spans="1:17">
      <c r="A278" t="s">
        <v>661</v>
      </c>
      <c r="B278" s="5">
        <v>46121</v>
      </c>
      <c r="C278" t="s">
        <v>662</v>
      </c>
      <c r="D278" t="s">
        <v>17</v>
      </c>
      <c r="E278" t="s">
        <v>2</v>
      </c>
      <c r="F278" t="s">
        <v>50</v>
      </c>
      <c r="G278" t="s">
        <v>100</v>
      </c>
      <c r="H278" s="6">
        <v>15</v>
      </c>
      <c r="I278" t="s">
        <v>52</v>
      </c>
      <c r="J278" t="s">
        <v>101</v>
      </c>
      <c r="K278" t="s">
        <v>54</v>
      </c>
      <c r="L278" t="s">
        <v>102</v>
      </c>
      <c r="O278" t="s">
        <v>103</v>
      </c>
      <c r="P278" t="s">
        <v>104</v>
      </c>
      <c r="Q278" s="6">
        <v>50324.11</v>
      </c>
    </row>
    <row r="279" spans="1:17">
      <c r="A279" t="s">
        <v>663</v>
      </c>
      <c r="B279" s="5">
        <v>46121</v>
      </c>
      <c r="C279" t="s">
        <v>664</v>
      </c>
      <c r="D279" t="s">
        <v>17</v>
      </c>
      <c r="E279" t="s">
        <v>2</v>
      </c>
      <c r="F279" t="s">
        <v>149</v>
      </c>
      <c r="G279" t="s">
        <v>72</v>
      </c>
      <c r="H279" s="6">
        <v>142.27000000000001</v>
      </c>
      <c r="I279" t="s">
        <v>52</v>
      </c>
      <c r="J279" t="s">
        <v>638</v>
      </c>
      <c r="K279" t="s">
        <v>54</v>
      </c>
      <c r="L279" t="s">
        <v>74</v>
      </c>
      <c r="O279" t="s">
        <v>75</v>
      </c>
      <c r="P279" t="s">
        <v>76</v>
      </c>
      <c r="Q279" s="6">
        <v>50444.68</v>
      </c>
    </row>
    <row r="280" spans="1:17">
      <c r="A280" t="s">
        <v>665</v>
      </c>
      <c r="B280" s="5">
        <v>46121</v>
      </c>
      <c r="C280" t="s">
        <v>666</v>
      </c>
      <c r="D280" t="s">
        <v>17</v>
      </c>
      <c r="E280" t="s">
        <v>2</v>
      </c>
      <c r="F280" t="s">
        <v>50</v>
      </c>
      <c r="G280" t="s">
        <v>100</v>
      </c>
      <c r="H280" s="6">
        <v>15</v>
      </c>
      <c r="I280" t="s">
        <v>52</v>
      </c>
      <c r="J280" t="s">
        <v>101</v>
      </c>
      <c r="K280" t="s">
        <v>54</v>
      </c>
      <c r="L280" t="s">
        <v>102</v>
      </c>
      <c r="O280" t="s">
        <v>103</v>
      </c>
      <c r="P280" t="s">
        <v>104</v>
      </c>
      <c r="Q280" s="6">
        <v>50466.27</v>
      </c>
    </row>
    <row r="281" spans="1:17">
      <c r="A281" t="s">
        <v>667</v>
      </c>
      <c r="B281" s="5">
        <v>46121</v>
      </c>
      <c r="C281" t="s">
        <v>668</v>
      </c>
      <c r="D281" t="s">
        <v>17</v>
      </c>
      <c r="E281" t="s">
        <v>2</v>
      </c>
      <c r="F281" t="s">
        <v>50</v>
      </c>
      <c r="G281" t="s">
        <v>88</v>
      </c>
      <c r="H281" s="6">
        <v>160</v>
      </c>
      <c r="I281" t="s">
        <v>52</v>
      </c>
      <c r="J281" t="s">
        <v>89</v>
      </c>
      <c r="K281" t="s">
        <v>54</v>
      </c>
      <c r="L281" t="s">
        <v>90</v>
      </c>
      <c r="M281" t="s">
        <v>91</v>
      </c>
      <c r="N281" t="s">
        <v>12</v>
      </c>
      <c r="O281" t="s">
        <v>92</v>
      </c>
      <c r="P281" t="s">
        <v>93</v>
      </c>
      <c r="Q281" s="6">
        <v>50284.68</v>
      </c>
    </row>
    <row r="282" spans="1:17">
      <c r="A282" t="s">
        <v>669</v>
      </c>
      <c r="B282" s="5">
        <v>46121</v>
      </c>
      <c r="C282" t="s">
        <v>670</v>
      </c>
      <c r="D282" t="s">
        <v>17</v>
      </c>
      <c r="E282" t="s">
        <v>2</v>
      </c>
      <c r="F282" t="s">
        <v>50</v>
      </c>
      <c r="G282" t="s">
        <v>51</v>
      </c>
      <c r="H282" s="6">
        <v>10.199999999999999</v>
      </c>
      <c r="I282" t="s">
        <v>52</v>
      </c>
      <c r="J282" t="s">
        <v>53</v>
      </c>
      <c r="K282" t="s">
        <v>54</v>
      </c>
      <c r="L282" t="s">
        <v>55</v>
      </c>
      <c r="O282" t="s">
        <v>56</v>
      </c>
      <c r="P282" t="s">
        <v>57</v>
      </c>
      <c r="Q282" s="6">
        <v>50393.37</v>
      </c>
    </row>
    <row r="283" spans="1:17">
      <c r="A283" t="s">
        <v>671</v>
      </c>
      <c r="B283" s="5">
        <v>46122</v>
      </c>
      <c r="C283" t="s">
        <v>672</v>
      </c>
      <c r="D283" t="s">
        <v>17</v>
      </c>
      <c r="E283" t="s">
        <v>2</v>
      </c>
      <c r="F283" t="s">
        <v>50</v>
      </c>
      <c r="G283" t="s">
        <v>51</v>
      </c>
      <c r="H283" s="6">
        <v>11.75</v>
      </c>
      <c r="I283" t="s">
        <v>52</v>
      </c>
      <c r="J283" t="s">
        <v>81</v>
      </c>
      <c r="K283" t="s">
        <v>54</v>
      </c>
      <c r="L283" t="s">
        <v>55</v>
      </c>
      <c r="O283" t="s">
        <v>82</v>
      </c>
      <c r="P283" t="s">
        <v>83</v>
      </c>
      <c r="Q283" s="6">
        <v>50252.37</v>
      </c>
    </row>
    <row r="284" spans="1:17">
      <c r="A284" t="s">
        <v>673</v>
      </c>
      <c r="B284" s="5">
        <v>46122</v>
      </c>
      <c r="C284" t="s">
        <v>674</v>
      </c>
      <c r="D284" t="s">
        <v>17</v>
      </c>
      <c r="E284" t="s">
        <v>2</v>
      </c>
      <c r="F284" t="s">
        <v>50</v>
      </c>
      <c r="G284" t="s">
        <v>88</v>
      </c>
      <c r="H284" s="6">
        <v>160</v>
      </c>
      <c r="I284" t="s">
        <v>52</v>
      </c>
      <c r="J284" t="s">
        <v>89</v>
      </c>
      <c r="K284" t="s">
        <v>54</v>
      </c>
      <c r="L284" t="s">
        <v>90</v>
      </c>
      <c r="M284" t="s">
        <v>91</v>
      </c>
      <c r="N284" t="s">
        <v>12</v>
      </c>
      <c r="O284" t="s">
        <v>92</v>
      </c>
      <c r="P284" t="s">
        <v>93</v>
      </c>
      <c r="Q284" s="6">
        <v>49988.78</v>
      </c>
    </row>
    <row r="285" spans="1:17">
      <c r="A285" t="s">
        <v>675</v>
      </c>
      <c r="B285" s="5">
        <v>46122</v>
      </c>
      <c r="C285" t="s">
        <v>676</v>
      </c>
      <c r="D285" t="s">
        <v>17</v>
      </c>
      <c r="E285" t="s">
        <v>2</v>
      </c>
      <c r="F285" t="s">
        <v>50</v>
      </c>
      <c r="G285" t="s">
        <v>51</v>
      </c>
      <c r="H285" s="6">
        <v>3.4</v>
      </c>
      <c r="I285" t="s">
        <v>52</v>
      </c>
      <c r="J285" t="s">
        <v>121</v>
      </c>
      <c r="K285" t="s">
        <v>54</v>
      </c>
      <c r="L285" t="s">
        <v>55</v>
      </c>
      <c r="O285" t="s">
        <v>122</v>
      </c>
      <c r="P285" t="s">
        <v>123</v>
      </c>
      <c r="Q285" s="6">
        <v>50217.49</v>
      </c>
    </row>
    <row r="286" spans="1:17">
      <c r="A286" t="s">
        <v>677</v>
      </c>
      <c r="B286" s="5">
        <v>46122</v>
      </c>
      <c r="C286" t="s">
        <v>678</v>
      </c>
      <c r="D286" t="s">
        <v>17</v>
      </c>
      <c r="E286" t="s">
        <v>2</v>
      </c>
      <c r="F286" t="s">
        <v>50</v>
      </c>
      <c r="G286" t="s">
        <v>51</v>
      </c>
      <c r="H286" s="6">
        <v>19.54</v>
      </c>
      <c r="I286" t="s">
        <v>52</v>
      </c>
      <c r="J286" t="s">
        <v>121</v>
      </c>
      <c r="K286" t="s">
        <v>54</v>
      </c>
      <c r="L286" t="s">
        <v>55</v>
      </c>
      <c r="O286" t="s">
        <v>122</v>
      </c>
      <c r="P286" t="s">
        <v>123</v>
      </c>
      <c r="Q286" s="6">
        <v>50148.78</v>
      </c>
    </row>
    <row r="287" spans="1:17">
      <c r="A287" t="s">
        <v>679</v>
      </c>
      <c r="B287" s="5">
        <v>46122</v>
      </c>
      <c r="C287" t="s">
        <v>680</v>
      </c>
      <c r="D287" t="s">
        <v>17</v>
      </c>
      <c r="E287" t="s">
        <v>2</v>
      </c>
      <c r="F287" t="s">
        <v>50</v>
      </c>
      <c r="G287" t="s">
        <v>100</v>
      </c>
      <c r="H287" s="6">
        <v>15</v>
      </c>
      <c r="I287" t="s">
        <v>52</v>
      </c>
      <c r="J287" t="s">
        <v>101</v>
      </c>
      <c r="K287" t="s">
        <v>54</v>
      </c>
      <c r="L287" t="s">
        <v>102</v>
      </c>
      <c r="O287" t="s">
        <v>103</v>
      </c>
      <c r="P287" t="s">
        <v>104</v>
      </c>
      <c r="Q287" s="6">
        <v>50237.37</v>
      </c>
    </row>
    <row r="288" spans="1:17">
      <c r="A288" t="s">
        <v>681</v>
      </c>
      <c r="B288" s="5">
        <v>46122</v>
      </c>
      <c r="C288" t="s">
        <v>682</v>
      </c>
      <c r="D288" t="s">
        <v>17</v>
      </c>
      <c r="E288" t="s">
        <v>2</v>
      </c>
      <c r="F288" t="s">
        <v>50</v>
      </c>
      <c r="G288" t="s">
        <v>100</v>
      </c>
      <c r="H288" s="6">
        <v>15</v>
      </c>
      <c r="I288" t="s">
        <v>52</v>
      </c>
      <c r="J288" t="s">
        <v>101</v>
      </c>
      <c r="K288" t="s">
        <v>54</v>
      </c>
      <c r="L288" t="s">
        <v>102</v>
      </c>
      <c r="O288" t="s">
        <v>103</v>
      </c>
      <c r="P288" t="s">
        <v>104</v>
      </c>
      <c r="Q288" s="6">
        <v>50202.49</v>
      </c>
    </row>
    <row r="289" spans="1:17">
      <c r="A289" t="s">
        <v>683</v>
      </c>
      <c r="B289" s="5">
        <v>46122</v>
      </c>
      <c r="C289" t="s">
        <v>684</v>
      </c>
      <c r="D289" t="s">
        <v>17</v>
      </c>
      <c r="E289" t="s">
        <v>2</v>
      </c>
      <c r="F289" t="s">
        <v>50</v>
      </c>
      <c r="G289" t="s">
        <v>51</v>
      </c>
      <c r="H289" s="6">
        <v>34.17</v>
      </c>
      <c r="I289" t="s">
        <v>52</v>
      </c>
      <c r="J289" t="s">
        <v>60</v>
      </c>
      <c r="K289" t="s">
        <v>54</v>
      </c>
      <c r="L289" t="s">
        <v>55</v>
      </c>
      <c r="O289" t="s">
        <v>61</v>
      </c>
      <c r="P289" t="s">
        <v>62</v>
      </c>
      <c r="Q289" s="6">
        <v>50168.32</v>
      </c>
    </row>
    <row r="290" spans="1:17">
      <c r="A290" t="s">
        <v>685</v>
      </c>
      <c r="B290" s="5">
        <v>46122</v>
      </c>
      <c r="C290" t="s">
        <v>686</v>
      </c>
      <c r="D290" t="s">
        <v>17</v>
      </c>
      <c r="E290" t="s">
        <v>2</v>
      </c>
      <c r="F290" t="s">
        <v>50</v>
      </c>
      <c r="G290" t="s">
        <v>51</v>
      </c>
      <c r="H290" s="6">
        <v>16.48</v>
      </c>
      <c r="I290" t="s">
        <v>52</v>
      </c>
      <c r="J290" t="s">
        <v>121</v>
      </c>
      <c r="K290" t="s">
        <v>54</v>
      </c>
      <c r="L290" t="s">
        <v>55</v>
      </c>
      <c r="O290" t="s">
        <v>122</v>
      </c>
      <c r="P290" t="s">
        <v>123</v>
      </c>
      <c r="Q290" s="6">
        <v>50220.89</v>
      </c>
    </row>
    <row r="291" spans="1:17">
      <c r="A291" t="s">
        <v>687</v>
      </c>
      <c r="B291" s="5">
        <v>46122</v>
      </c>
      <c r="C291" t="s">
        <v>688</v>
      </c>
      <c r="D291" t="s">
        <v>17</v>
      </c>
      <c r="E291" t="s">
        <v>2</v>
      </c>
      <c r="F291" t="s">
        <v>50</v>
      </c>
      <c r="G291" t="s">
        <v>100</v>
      </c>
      <c r="H291" s="6">
        <v>20.56</v>
      </c>
      <c r="I291" t="s">
        <v>52</v>
      </c>
      <c r="J291" t="s">
        <v>114</v>
      </c>
      <c r="K291" t="s">
        <v>54</v>
      </c>
      <c r="L291" t="s">
        <v>102</v>
      </c>
      <c r="O291" t="s">
        <v>103</v>
      </c>
      <c r="P291" t="s">
        <v>104</v>
      </c>
      <c r="Q291" s="6">
        <v>50264.12</v>
      </c>
    </row>
    <row r="292" spans="1:17">
      <c r="A292" t="s">
        <v>689</v>
      </c>
      <c r="B292" s="5">
        <v>46123</v>
      </c>
      <c r="C292" t="s">
        <v>690</v>
      </c>
      <c r="D292" t="s">
        <v>17</v>
      </c>
      <c r="E292" t="s">
        <v>2</v>
      </c>
      <c r="F292" t="s">
        <v>50</v>
      </c>
      <c r="G292" t="s">
        <v>51</v>
      </c>
      <c r="H292" s="6">
        <v>15.15</v>
      </c>
      <c r="I292" t="s">
        <v>52</v>
      </c>
      <c r="J292" t="s">
        <v>53</v>
      </c>
      <c r="K292" t="s">
        <v>54</v>
      </c>
      <c r="L292" t="s">
        <v>55</v>
      </c>
      <c r="O292" t="s">
        <v>56</v>
      </c>
      <c r="P292" t="s">
        <v>57</v>
      </c>
      <c r="Q292" s="6">
        <v>49867.42</v>
      </c>
    </row>
    <row r="293" spans="1:17">
      <c r="A293" t="s">
        <v>691</v>
      </c>
      <c r="B293" s="5">
        <v>46123</v>
      </c>
      <c r="C293" t="s">
        <v>692</v>
      </c>
      <c r="D293" t="s">
        <v>17</v>
      </c>
      <c r="E293" t="s">
        <v>2</v>
      </c>
      <c r="F293" t="s">
        <v>50</v>
      </c>
      <c r="G293" t="s">
        <v>51</v>
      </c>
      <c r="H293" s="6">
        <v>15.85</v>
      </c>
      <c r="I293" t="s">
        <v>52</v>
      </c>
      <c r="J293" t="s">
        <v>81</v>
      </c>
      <c r="K293" t="s">
        <v>54</v>
      </c>
      <c r="L293" t="s">
        <v>55</v>
      </c>
      <c r="O293" t="s">
        <v>82</v>
      </c>
      <c r="P293" t="s">
        <v>83</v>
      </c>
      <c r="Q293" s="6">
        <v>49882.57</v>
      </c>
    </row>
    <row r="294" spans="1:17">
      <c r="A294" t="s">
        <v>693</v>
      </c>
      <c r="B294" s="5">
        <v>46123</v>
      </c>
      <c r="C294" t="s">
        <v>694</v>
      </c>
      <c r="D294" t="s">
        <v>17</v>
      </c>
      <c r="E294" t="s">
        <v>2</v>
      </c>
      <c r="F294" t="s">
        <v>50</v>
      </c>
      <c r="G294" t="s">
        <v>51</v>
      </c>
      <c r="H294" s="6">
        <v>26.26</v>
      </c>
      <c r="I294" t="s">
        <v>52</v>
      </c>
      <c r="J294" t="s">
        <v>81</v>
      </c>
      <c r="K294" t="s">
        <v>54</v>
      </c>
      <c r="L294" t="s">
        <v>55</v>
      </c>
      <c r="O294" t="s">
        <v>82</v>
      </c>
      <c r="P294" t="s">
        <v>83</v>
      </c>
      <c r="Q294" s="6">
        <v>49962.52</v>
      </c>
    </row>
    <row r="295" spans="1:17">
      <c r="A295" t="s">
        <v>695</v>
      </c>
      <c r="B295" s="5">
        <v>46123</v>
      </c>
      <c r="C295" t="s">
        <v>696</v>
      </c>
      <c r="D295" t="s">
        <v>17</v>
      </c>
      <c r="E295" t="s">
        <v>2</v>
      </c>
      <c r="F295" t="s">
        <v>50</v>
      </c>
      <c r="G295" t="s">
        <v>51</v>
      </c>
      <c r="H295" s="6">
        <v>18.239999999999998</v>
      </c>
      <c r="I295" t="s">
        <v>52</v>
      </c>
      <c r="J295" t="s">
        <v>126</v>
      </c>
      <c r="K295" t="s">
        <v>54</v>
      </c>
      <c r="L295" t="s">
        <v>55</v>
      </c>
      <c r="O295" t="s">
        <v>56</v>
      </c>
      <c r="P295" t="s">
        <v>57</v>
      </c>
      <c r="Q295" s="6">
        <v>49944.28</v>
      </c>
    </row>
    <row r="296" spans="1:17">
      <c r="A296" t="s">
        <v>697</v>
      </c>
      <c r="B296" s="5">
        <v>46123</v>
      </c>
      <c r="C296" t="s">
        <v>698</v>
      </c>
      <c r="D296" t="s">
        <v>17</v>
      </c>
      <c r="E296" t="s">
        <v>2</v>
      </c>
      <c r="F296" t="s">
        <v>50</v>
      </c>
      <c r="G296" t="s">
        <v>72</v>
      </c>
      <c r="H296" s="6">
        <v>29.1</v>
      </c>
      <c r="I296" t="s">
        <v>52</v>
      </c>
      <c r="J296" t="s">
        <v>73</v>
      </c>
      <c r="K296" t="s">
        <v>54</v>
      </c>
      <c r="L296" t="s">
        <v>74</v>
      </c>
      <c r="O296" t="s">
        <v>75</v>
      </c>
      <c r="P296" t="s">
        <v>76</v>
      </c>
      <c r="Q296" s="6">
        <v>49838.32</v>
      </c>
    </row>
    <row r="297" spans="1:17">
      <c r="A297" t="s">
        <v>699</v>
      </c>
      <c r="B297" s="5">
        <v>46123</v>
      </c>
      <c r="C297" t="s">
        <v>700</v>
      </c>
      <c r="D297" t="s">
        <v>17</v>
      </c>
      <c r="E297" t="s">
        <v>2</v>
      </c>
      <c r="F297" t="s">
        <v>50</v>
      </c>
      <c r="G297" t="s">
        <v>100</v>
      </c>
      <c r="H297" s="6">
        <v>15</v>
      </c>
      <c r="I297" t="s">
        <v>52</v>
      </c>
      <c r="J297" t="s">
        <v>101</v>
      </c>
      <c r="K297" t="s">
        <v>54</v>
      </c>
      <c r="L297" t="s">
        <v>102</v>
      </c>
      <c r="O297" t="s">
        <v>103</v>
      </c>
      <c r="P297" t="s">
        <v>104</v>
      </c>
      <c r="Q297" s="6">
        <v>49898.42</v>
      </c>
    </row>
    <row r="298" spans="1:17">
      <c r="A298" t="s">
        <v>701</v>
      </c>
      <c r="B298" s="5">
        <v>46123</v>
      </c>
      <c r="C298" t="s">
        <v>702</v>
      </c>
      <c r="D298" t="s">
        <v>17</v>
      </c>
      <c r="E298" t="s">
        <v>2</v>
      </c>
      <c r="F298" t="s">
        <v>50</v>
      </c>
      <c r="G298" t="s">
        <v>51</v>
      </c>
      <c r="H298" s="6">
        <v>30.86</v>
      </c>
      <c r="I298" t="s">
        <v>52</v>
      </c>
      <c r="J298" t="s">
        <v>60</v>
      </c>
      <c r="K298" t="s">
        <v>54</v>
      </c>
      <c r="L298" t="s">
        <v>55</v>
      </c>
      <c r="O298" t="s">
        <v>61</v>
      </c>
      <c r="P298" t="s">
        <v>62</v>
      </c>
      <c r="Q298" s="6">
        <v>49913.42</v>
      </c>
    </row>
    <row r="299" spans="1:17">
      <c r="A299" t="s">
        <v>703</v>
      </c>
      <c r="B299" s="5">
        <v>46124</v>
      </c>
      <c r="C299" t="s">
        <v>704</v>
      </c>
      <c r="D299" t="s">
        <v>17</v>
      </c>
      <c r="E299" t="s">
        <v>2</v>
      </c>
      <c r="F299" t="s">
        <v>50</v>
      </c>
      <c r="G299" t="s">
        <v>100</v>
      </c>
      <c r="H299" s="6">
        <v>19.690000000000001</v>
      </c>
      <c r="I299" t="s">
        <v>52</v>
      </c>
      <c r="J299" t="s">
        <v>114</v>
      </c>
      <c r="K299" t="s">
        <v>54</v>
      </c>
      <c r="L299" t="s">
        <v>102</v>
      </c>
      <c r="O299" t="s">
        <v>103</v>
      </c>
      <c r="P299" t="s">
        <v>104</v>
      </c>
      <c r="Q299" s="6">
        <v>49658.41</v>
      </c>
    </row>
    <row r="300" spans="1:17">
      <c r="A300" t="s">
        <v>705</v>
      </c>
      <c r="B300" s="5">
        <v>46124</v>
      </c>
      <c r="C300" t="s">
        <v>706</v>
      </c>
      <c r="D300" t="s">
        <v>17</v>
      </c>
      <c r="E300" t="s">
        <v>2</v>
      </c>
      <c r="F300" t="s">
        <v>50</v>
      </c>
      <c r="G300" t="s">
        <v>100</v>
      </c>
      <c r="H300" s="6">
        <v>15.77</v>
      </c>
      <c r="I300" t="s">
        <v>52</v>
      </c>
      <c r="J300" t="s">
        <v>114</v>
      </c>
      <c r="K300" t="s">
        <v>54</v>
      </c>
      <c r="L300" t="s">
        <v>102</v>
      </c>
      <c r="O300" t="s">
        <v>103</v>
      </c>
      <c r="P300" t="s">
        <v>104</v>
      </c>
      <c r="Q300" s="6">
        <v>49822.55</v>
      </c>
    </row>
    <row r="301" spans="1:17">
      <c r="A301" t="s">
        <v>707</v>
      </c>
      <c r="B301" s="5">
        <v>46124</v>
      </c>
      <c r="C301" t="s">
        <v>708</v>
      </c>
      <c r="D301" t="s">
        <v>17</v>
      </c>
      <c r="E301" t="s">
        <v>2</v>
      </c>
      <c r="F301" t="s">
        <v>50</v>
      </c>
      <c r="G301" t="s">
        <v>88</v>
      </c>
      <c r="H301" s="6">
        <v>160</v>
      </c>
      <c r="I301" t="s">
        <v>52</v>
      </c>
      <c r="J301" t="s">
        <v>89</v>
      </c>
      <c r="K301" t="s">
        <v>54</v>
      </c>
      <c r="L301" t="s">
        <v>90</v>
      </c>
      <c r="M301" t="s">
        <v>91</v>
      </c>
      <c r="N301" t="s">
        <v>12</v>
      </c>
      <c r="O301" t="s">
        <v>92</v>
      </c>
      <c r="P301" t="s">
        <v>93</v>
      </c>
      <c r="Q301" s="6">
        <v>49565.4</v>
      </c>
    </row>
    <row r="302" spans="1:17">
      <c r="A302" t="s">
        <v>709</v>
      </c>
      <c r="B302" s="5">
        <v>46124</v>
      </c>
      <c r="C302" t="s">
        <v>710</v>
      </c>
      <c r="D302" t="s">
        <v>17</v>
      </c>
      <c r="E302" t="s">
        <v>2</v>
      </c>
      <c r="F302" t="s">
        <v>149</v>
      </c>
      <c r="G302" t="s">
        <v>72</v>
      </c>
      <c r="H302" s="6">
        <v>81.99</v>
      </c>
      <c r="I302" t="s">
        <v>52</v>
      </c>
      <c r="J302" t="s">
        <v>233</v>
      </c>
      <c r="K302" t="s">
        <v>54</v>
      </c>
      <c r="L302" t="s">
        <v>74</v>
      </c>
      <c r="O302" t="s">
        <v>75</v>
      </c>
      <c r="P302" t="s">
        <v>76</v>
      </c>
      <c r="Q302" s="6">
        <v>49725.4</v>
      </c>
    </row>
    <row r="303" spans="1:17">
      <c r="A303" t="s">
        <v>711</v>
      </c>
      <c r="B303" s="5">
        <v>46124</v>
      </c>
      <c r="C303" t="s">
        <v>712</v>
      </c>
      <c r="D303" t="s">
        <v>17</v>
      </c>
      <c r="E303" t="s">
        <v>2</v>
      </c>
      <c r="F303" t="s">
        <v>50</v>
      </c>
      <c r="G303" t="s">
        <v>51</v>
      </c>
      <c r="H303" s="6">
        <v>75.22</v>
      </c>
      <c r="I303" t="s">
        <v>52</v>
      </c>
      <c r="J303" t="s">
        <v>65</v>
      </c>
      <c r="K303" t="s">
        <v>54</v>
      </c>
      <c r="L303" t="s">
        <v>55</v>
      </c>
      <c r="O303" t="s">
        <v>66</v>
      </c>
      <c r="P303" t="s">
        <v>67</v>
      </c>
      <c r="Q303" s="6">
        <v>49678.1</v>
      </c>
    </row>
    <row r="304" spans="1:17">
      <c r="A304" t="s">
        <v>713</v>
      </c>
      <c r="B304" s="5">
        <v>46124</v>
      </c>
      <c r="C304" t="s">
        <v>714</v>
      </c>
      <c r="D304" t="s">
        <v>17</v>
      </c>
      <c r="E304" t="s">
        <v>2</v>
      </c>
      <c r="F304" t="s">
        <v>50</v>
      </c>
      <c r="G304" t="s">
        <v>51</v>
      </c>
      <c r="H304" s="6">
        <v>69.23</v>
      </c>
      <c r="I304" t="s">
        <v>52</v>
      </c>
      <c r="J304" t="s">
        <v>196</v>
      </c>
      <c r="K304" t="s">
        <v>54</v>
      </c>
      <c r="L304" t="s">
        <v>55</v>
      </c>
      <c r="O304" t="s">
        <v>197</v>
      </c>
      <c r="P304" t="s">
        <v>198</v>
      </c>
      <c r="Q304" s="6">
        <v>49753.32</v>
      </c>
    </row>
    <row r="305" spans="1:17">
      <c r="A305" t="s">
        <v>715</v>
      </c>
      <c r="B305" s="5">
        <v>46124</v>
      </c>
      <c r="C305" t="s">
        <v>716</v>
      </c>
      <c r="D305" t="s">
        <v>17</v>
      </c>
      <c r="E305" t="s">
        <v>2</v>
      </c>
      <c r="F305" t="s">
        <v>50</v>
      </c>
      <c r="G305" t="s">
        <v>100</v>
      </c>
      <c r="H305" s="6">
        <v>15</v>
      </c>
      <c r="I305" t="s">
        <v>52</v>
      </c>
      <c r="J305" t="s">
        <v>101</v>
      </c>
      <c r="K305" t="s">
        <v>54</v>
      </c>
      <c r="L305" t="s">
        <v>102</v>
      </c>
      <c r="O305" t="s">
        <v>103</v>
      </c>
      <c r="P305" t="s">
        <v>104</v>
      </c>
      <c r="Q305" s="6">
        <v>49643.41</v>
      </c>
    </row>
    <row r="306" spans="1:17">
      <c r="A306" t="s">
        <v>717</v>
      </c>
      <c r="B306" s="5">
        <v>46125</v>
      </c>
      <c r="C306" t="s">
        <v>718</v>
      </c>
      <c r="D306" t="s">
        <v>17</v>
      </c>
      <c r="E306" t="s">
        <v>2</v>
      </c>
      <c r="F306" t="s">
        <v>50</v>
      </c>
      <c r="G306" t="s">
        <v>51</v>
      </c>
      <c r="H306" s="6">
        <v>21.33</v>
      </c>
      <c r="I306" t="s">
        <v>52</v>
      </c>
      <c r="J306" t="s">
        <v>126</v>
      </c>
      <c r="K306" t="s">
        <v>54</v>
      </c>
      <c r="L306" t="s">
        <v>55</v>
      </c>
      <c r="O306" t="s">
        <v>56</v>
      </c>
      <c r="P306" t="s">
        <v>57</v>
      </c>
      <c r="Q306" s="6">
        <v>49523.89</v>
      </c>
    </row>
    <row r="307" spans="1:17">
      <c r="A307" t="s">
        <v>719</v>
      </c>
      <c r="B307" s="5">
        <v>46125</v>
      </c>
      <c r="C307" t="s">
        <v>720</v>
      </c>
      <c r="D307" t="s">
        <v>17</v>
      </c>
      <c r="E307" t="s">
        <v>2</v>
      </c>
      <c r="F307" t="s">
        <v>50</v>
      </c>
      <c r="G307" t="s">
        <v>100</v>
      </c>
      <c r="H307" s="6">
        <v>20.18</v>
      </c>
      <c r="I307" t="s">
        <v>52</v>
      </c>
      <c r="J307" t="s">
        <v>114</v>
      </c>
      <c r="K307" t="s">
        <v>54</v>
      </c>
      <c r="L307" t="s">
        <v>102</v>
      </c>
      <c r="O307" t="s">
        <v>103</v>
      </c>
      <c r="P307" t="s">
        <v>104</v>
      </c>
      <c r="Q307" s="6">
        <v>49545.22</v>
      </c>
    </row>
    <row r="308" spans="1:17">
      <c r="A308" t="s">
        <v>721</v>
      </c>
      <c r="B308" s="5">
        <v>46125</v>
      </c>
      <c r="C308" t="s">
        <v>722</v>
      </c>
      <c r="D308" t="s">
        <v>17</v>
      </c>
      <c r="E308" t="s">
        <v>2</v>
      </c>
      <c r="F308" t="s">
        <v>50</v>
      </c>
      <c r="G308" t="s">
        <v>51</v>
      </c>
      <c r="H308" s="6">
        <v>17.55</v>
      </c>
      <c r="I308" t="s">
        <v>52</v>
      </c>
      <c r="J308" t="s">
        <v>53</v>
      </c>
      <c r="K308" t="s">
        <v>54</v>
      </c>
      <c r="L308" t="s">
        <v>55</v>
      </c>
      <c r="O308" t="s">
        <v>56</v>
      </c>
      <c r="P308" t="s">
        <v>57</v>
      </c>
      <c r="Q308" s="6">
        <v>49506.34</v>
      </c>
    </row>
    <row r="309" spans="1:17">
      <c r="A309" t="s">
        <v>723</v>
      </c>
      <c r="B309" s="5">
        <v>46125</v>
      </c>
      <c r="C309" t="s">
        <v>724</v>
      </c>
      <c r="D309" t="s">
        <v>17</v>
      </c>
      <c r="E309" t="s">
        <v>2</v>
      </c>
      <c r="F309" t="s">
        <v>50</v>
      </c>
      <c r="G309" t="s">
        <v>51</v>
      </c>
      <c r="H309" s="6">
        <v>37.479999999999997</v>
      </c>
      <c r="I309" t="s">
        <v>52</v>
      </c>
      <c r="J309" t="s">
        <v>60</v>
      </c>
      <c r="K309" t="s">
        <v>54</v>
      </c>
      <c r="L309" t="s">
        <v>55</v>
      </c>
      <c r="O309" t="s">
        <v>61</v>
      </c>
      <c r="P309" t="s">
        <v>62</v>
      </c>
      <c r="Q309" s="6">
        <v>49468.86</v>
      </c>
    </row>
    <row r="310" spans="1:17">
      <c r="A310" t="s">
        <v>725</v>
      </c>
      <c r="B310" s="5">
        <v>46125</v>
      </c>
      <c r="C310" t="s">
        <v>726</v>
      </c>
      <c r="D310" t="s">
        <v>17</v>
      </c>
      <c r="E310" t="s">
        <v>2</v>
      </c>
      <c r="F310" t="s">
        <v>50</v>
      </c>
      <c r="G310" t="s">
        <v>51</v>
      </c>
      <c r="H310" s="6">
        <v>50.29</v>
      </c>
      <c r="I310" t="s">
        <v>52</v>
      </c>
      <c r="J310" t="s">
        <v>81</v>
      </c>
      <c r="K310" t="s">
        <v>54</v>
      </c>
      <c r="L310" t="s">
        <v>55</v>
      </c>
      <c r="O310" t="s">
        <v>82</v>
      </c>
      <c r="P310" t="s">
        <v>83</v>
      </c>
      <c r="Q310" s="6">
        <v>49418.57</v>
      </c>
    </row>
    <row r="311" spans="1:17">
      <c r="A311" t="s">
        <v>727</v>
      </c>
      <c r="B311" s="5">
        <v>46126</v>
      </c>
      <c r="C311" t="s">
        <v>728</v>
      </c>
      <c r="D311" t="s">
        <v>17</v>
      </c>
      <c r="E311" t="s">
        <v>2</v>
      </c>
      <c r="F311" t="s">
        <v>50</v>
      </c>
      <c r="G311" t="s">
        <v>51</v>
      </c>
      <c r="H311" s="6">
        <v>15.82</v>
      </c>
      <c r="I311" t="s">
        <v>52</v>
      </c>
      <c r="J311" t="s">
        <v>53</v>
      </c>
      <c r="K311" t="s">
        <v>54</v>
      </c>
      <c r="L311" t="s">
        <v>55</v>
      </c>
      <c r="O311" t="s">
        <v>56</v>
      </c>
      <c r="P311" t="s">
        <v>57</v>
      </c>
      <c r="Q311" s="6">
        <v>49363.69</v>
      </c>
    </row>
    <row r="312" spans="1:17">
      <c r="A312" t="s">
        <v>729</v>
      </c>
      <c r="B312" s="5">
        <v>46126</v>
      </c>
      <c r="C312" t="s">
        <v>730</v>
      </c>
      <c r="D312" t="s">
        <v>17</v>
      </c>
      <c r="E312" t="s">
        <v>2</v>
      </c>
      <c r="F312" t="s">
        <v>50</v>
      </c>
      <c r="G312" t="s">
        <v>100</v>
      </c>
      <c r="H312" s="6">
        <v>15</v>
      </c>
      <c r="I312" t="s">
        <v>52</v>
      </c>
      <c r="J312" t="s">
        <v>101</v>
      </c>
      <c r="K312" t="s">
        <v>54</v>
      </c>
      <c r="L312" t="s">
        <v>102</v>
      </c>
      <c r="O312" t="s">
        <v>103</v>
      </c>
      <c r="P312" t="s">
        <v>104</v>
      </c>
      <c r="Q312" s="6">
        <v>49379.51</v>
      </c>
    </row>
    <row r="313" spans="1:17">
      <c r="A313" t="s">
        <v>731</v>
      </c>
      <c r="B313" s="5">
        <v>46126</v>
      </c>
      <c r="C313" t="s">
        <v>732</v>
      </c>
      <c r="D313" t="s">
        <v>17</v>
      </c>
      <c r="E313" t="s">
        <v>2</v>
      </c>
      <c r="F313" t="s">
        <v>50</v>
      </c>
      <c r="G313" t="s">
        <v>51</v>
      </c>
      <c r="H313" s="6">
        <v>53.57</v>
      </c>
      <c r="I313" t="s">
        <v>52</v>
      </c>
      <c r="J313" t="s">
        <v>81</v>
      </c>
      <c r="K313" t="s">
        <v>54</v>
      </c>
      <c r="L313" t="s">
        <v>55</v>
      </c>
      <c r="O313" t="s">
        <v>82</v>
      </c>
      <c r="P313" t="s">
        <v>83</v>
      </c>
      <c r="Q313" s="6">
        <v>49287.59</v>
      </c>
    </row>
    <row r="314" spans="1:17">
      <c r="A314" t="s">
        <v>733</v>
      </c>
      <c r="B314" s="5">
        <v>46126</v>
      </c>
      <c r="C314" t="s">
        <v>734</v>
      </c>
      <c r="D314" t="s">
        <v>17</v>
      </c>
      <c r="E314" t="s">
        <v>2</v>
      </c>
      <c r="F314" t="s">
        <v>149</v>
      </c>
      <c r="G314" t="s">
        <v>72</v>
      </c>
      <c r="H314" s="6">
        <v>143.38</v>
      </c>
      <c r="I314" t="s">
        <v>52</v>
      </c>
      <c r="J314" t="s">
        <v>638</v>
      </c>
      <c r="K314" t="s">
        <v>54</v>
      </c>
      <c r="L314" t="s">
        <v>74</v>
      </c>
      <c r="O314" t="s">
        <v>75</v>
      </c>
      <c r="P314" t="s">
        <v>76</v>
      </c>
      <c r="Q314" s="6">
        <v>49430.97</v>
      </c>
    </row>
    <row r="315" spans="1:17">
      <c r="A315" t="s">
        <v>735</v>
      </c>
      <c r="B315" s="5">
        <v>46126</v>
      </c>
      <c r="C315" t="s">
        <v>736</v>
      </c>
      <c r="D315" t="s">
        <v>17</v>
      </c>
      <c r="E315" t="s">
        <v>2</v>
      </c>
      <c r="F315" t="s">
        <v>50</v>
      </c>
      <c r="G315" t="s">
        <v>51</v>
      </c>
      <c r="H315" s="6">
        <v>24.06</v>
      </c>
      <c r="I315" t="s">
        <v>52</v>
      </c>
      <c r="J315" t="s">
        <v>81</v>
      </c>
      <c r="K315" t="s">
        <v>54</v>
      </c>
      <c r="L315" t="s">
        <v>55</v>
      </c>
      <c r="O315" t="s">
        <v>82</v>
      </c>
      <c r="P315" t="s">
        <v>83</v>
      </c>
      <c r="Q315" s="6">
        <v>49394.51</v>
      </c>
    </row>
    <row r="316" spans="1:17">
      <c r="A316" t="s">
        <v>737</v>
      </c>
      <c r="B316" s="5">
        <v>46126</v>
      </c>
      <c r="C316" t="s">
        <v>738</v>
      </c>
      <c r="D316" t="s">
        <v>17</v>
      </c>
      <c r="E316" t="s">
        <v>2</v>
      </c>
      <c r="F316" t="s">
        <v>50</v>
      </c>
      <c r="G316" t="s">
        <v>100</v>
      </c>
      <c r="H316" s="6">
        <v>72.12</v>
      </c>
      <c r="I316" t="s">
        <v>52</v>
      </c>
      <c r="J316" t="s">
        <v>244</v>
      </c>
      <c r="K316" t="s">
        <v>54</v>
      </c>
      <c r="L316" t="s">
        <v>102</v>
      </c>
      <c r="O316" t="s">
        <v>178</v>
      </c>
      <c r="P316" t="s">
        <v>245</v>
      </c>
      <c r="Q316" s="6">
        <v>46799.68</v>
      </c>
    </row>
    <row r="317" spans="1:17">
      <c r="A317" t="s">
        <v>739</v>
      </c>
      <c r="B317" s="5">
        <v>46126</v>
      </c>
      <c r="C317" t="s">
        <v>740</v>
      </c>
      <c r="D317" t="s">
        <v>17</v>
      </c>
      <c r="E317" t="s">
        <v>2</v>
      </c>
      <c r="F317" t="s">
        <v>50</v>
      </c>
      <c r="G317" t="s">
        <v>88</v>
      </c>
      <c r="H317" s="6">
        <v>80</v>
      </c>
      <c r="I317" t="s">
        <v>52</v>
      </c>
      <c r="J317" t="s">
        <v>89</v>
      </c>
      <c r="K317" t="s">
        <v>54</v>
      </c>
      <c r="L317" t="s">
        <v>90</v>
      </c>
      <c r="M317" t="s">
        <v>91</v>
      </c>
      <c r="N317" t="s">
        <v>12</v>
      </c>
      <c r="O317" t="s">
        <v>92</v>
      </c>
      <c r="P317" t="s">
        <v>93</v>
      </c>
      <c r="Q317" s="6">
        <v>49350.97</v>
      </c>
    </row>
    <row r="318" spans="1:17">
      <c r="A318" t="s">
        <v>741</v>
      </c>
      <c r="B318" s="5">
        <v>46126</v>
      </c>
      <c r="C318" t="s">
        <v>742</v>
      </c>
      <c r="D318" t="s">
        <v>17</v>
      </c>
      <c r="E318" t="s">
        <v>2</v>
      </c>
      <c r="F318" t="s">
        <v>50</v>
      </c>
      <c r="G318" t="s">
        <v>100</v>
      </c>
      <c r="H318" s="6">
        <v>22.53</v>
      </c>
      <c r="I318" t="s">
        <v>52</v>
      </c>
      <c r="J318" t="s">
        <v>114</v>
      </c>
      <c r="K318" t="s">
        <v>54</v>
      </c>
      <c r="L318" t="s">
        <v>102</v>
      </c>
      <c r="O318" t="s">
        <v>103</v>
      </c>
      <c r="P318" t="s">
        <v>104</v>
      </c>
      <c r="Q318" s="6">
        <v>49341.16</v>
      </c>
    </row>
    <row r="319" spans="1:17">
      <c r="A319" t="s">
        <v>743</v>
      </c>
      <c r="B319" s="5">
        <v>46127</v>
      </c>
      <c r="C319" t="s">
        <v>744</v>
      </c>
      <c r="D319" t="s">
        <v>17</v>
      </c>
      <c r="E319" t="s">
        <v>2</v>
      </c>
      <c r="F319" t="s">
        <v>50</v>
      </c>
      <c r="G319" t="s">
        <v>51</v>
      </c>
      <c r="H319" s="6">
        <v>42.92</v>
      </c>
      <c r="I319" t="s">
        <v>52</v>
      </c>
      <c r="J319" t="s">
        <v>126</v>
      </c>
      <c r="K319" t="s">
        <v>54</v>
      </c>
      <c r="L319" t="s">
        <v>55</v>
      </c>
      <c r="O319" t="s">
        <v>56</v>
      </c>
      <c r="P319" t="s">
        <v>57</v>
      </c>
      <c r="Q319" s="6">
        <v>49245.14</v>
      </c>
    </row>
    <row r="320" spans="1:17">
      <c r="A320" t="s">
        <v>745</v>
      </c>
      <c r="B320" s="5">
        <v>46127</v>
      </c>
      <c r="C320" t="s">
        <v>746</v>
      </c>
      <c r="D320" t="s">
        <v>17</v>
      </c>
      <c r="E320" t="s">
        <v>2</v>
      </c>
      <c r="F320" t="s">
        <v>50</v>
      </c>
      <c r="G320" t="s">
        <v>51</v>
      </c>
      <c r="H320" s="6">
        <v>36.840000000000003</v>
      </c>
      <c r="I320" t="s">
        <v>52</v>
      </c>
      <c r="J320" t="s">
        <v>81</v>
      </c>
      <c r="K320" t="s">
        <v>54</v>
      </c>
      <c r="L320" t="s">
        <v>55</v>
      </c>
      <c r="O320" t="s">
        <v>82</v>
      </c>
      <c r="P320" t="s">
        <v>83</v>
      </c>
      <c r="Q320" s="6">
        <v>49208.3</v>
      </c>
    </row>
    <row r="321" spans="1:17">
      <c r="A321" t="s">
        <v>747</v>
      </c>
      <c r="B321" s="5">
        <v>46127</v>
      </c>
      <c r="C321" t="s">
        <v>748</v>
      </c>
      <c r="D321" t="s">
        <v>17</v>
      </c>
      <c r="E321" t="s">
        <v>2</v>
      </c>
      <c r="F321" t="s">
        <v>50</v>
      </c>
      <c r="G321" t="s">
        <v>100</v>
      </c>
      <c r="H321" s="6">
        <v>17.91</v>
      </c>
      <c r="I321" t="s">
        <v>52</v>
      </c>
      <c r="J321" t="s">
        <v>114</v>
      </c>
      <c r="K321" t="s">
        <v>54</v>
      </c>
      <c r="L321" t="s">
        <v>102</v>
      </c>
      <c r="O321" t="s">
        <v>103</v>
      </c>
      <c r="P321" t="s">
        <v>104</v>
      </c>
      <c r="Q321" s="6">
        <v>49288.06</v>
      </c>
    </row>
    <row r="322" spans="1:17">
      <c r="A322" t="s">
        <v>749</v>
      </c>
      <c r="B322" s="5">
        <v>46127</v>
      </c>
      <c r="C322" t="s">
        <v>750</v>
      </c>
      <c r="D322" t="s">
        <v>17</v>
      </c>
      <c r="E322" t="s">
        <v>2</v>
      </c>
      <c r="F322" t="s">
        <v>50</v>
      </c>
      <c r="G322" t="s">
        <v>100</v>
      </c>
      <c r="H322" s="6">
        <v>15</v>
      </c>
      <c r="I322" t="s">
        <v>52</v>
      </c>
      <c r="J322" t="s">
        <v>101</v>
      </c>
      <c r="K322" t="s">
        <v>54</v>
      </c>
      <c r="L322" t="s">
        <v>102</v>
      </c>
      <c r="O322" t="s">
        <v>103</v>
      </c>
      <c r="P322" t="s">
        <v>104</v>
      </c>
      <c r="Q322" s="6">
        <v>49320.97</v>
      </c>
    </row>
    <row r="323" spans="1:17">
      <c r="A323" t="s">
        <v>751</v>
      </c>
      <c r="B323" s="5">
        <v>46127</v>
      </c>
      <c r="C323" t="s">
        <v>752</v>
      </c>
      <c r="D323" t="s">
        <v>17</v>
      </c>
      <c r="E323" t="s">
        <v>2</v>
      </c>
      <c r="F323" t="s">
        <v>50</v>
      </c>
      <c r="G323" t="s">
        <v>100</v>
      </c>
      <c r="H323" s="6">
        <v>15</v>
      </c>
      <c r="I323" t="s">
        <v>52</v>
      </c>
      <c r="J323" t="s">
        <v>101</v>
      </c>
      <c r="K323" t="s">
        <v>54</v>
      </c>
      <c r="L323" t="s">
        <v>102</v>
      </c>
      <c r="O323" t="s">
        <v>103</v>
      </c>
      <c r="P323" t="s">
        <v>104</v>
      </c>
      <c r="Q323" s="6">
        <v>49335.97</v>
      </c>
    </row>
    <row r="324" spans="1:17">
      <c r="A324" t="s">
        <v>753</v>
      </c>
      <c r="B324" s="5">
        <v>46127</v>
      </c>
      <c r="C324" t="s">
        <v>754</v>
      </c>
      <c r="D324" t="s">
        <v>17</v>
      </c>
      <c r="E324" t="s">
        <v>2</v>
      </c>
      <c r="F324" t="s">
        <v>50</v>
      </c>
      <c r="G324" t="s">
        <v>100</v>
      </c>
      <c r="H324" s="6">
        <v>22.77</v>
      </c>
      <c r="I324" t="s">
        <v>52</v>
      </c>
      <c r="J324" t="s">
        <v>114</v>
      </c>
      <c r="K324" t="s">
        <v>54</v>
      </c>
      <c r="L324" t="s">
        <v>102</v>
      </c>
      <c r="O324" t="s">
        <v>103</v>
      </c>
      <c r="P324" t="s">
        <v>104</v>
      </c>
      <c r="Q324" s="6">
        <v>49185.53</v>
      </c>
    </row>
    <row r="325" spans="1:17">
      <c r="A325" t="s">
        <v>755</v>
      </c>
      <c r="B325" s="5">
        <v>46127</v>
      </c>
      <c r="C325" t="s">
        <v>756</v>
      </c>
      <c r="D325" t="s">
        <v>17</v>
      </c>
      <c r="E325" t="s">
        <v>2</v>
      </c>
      <c r="F325" t="s">
        <v>50</v>
      </c>
      <c r="G325" t="s">
        <v>100</v>
      </c>
      <c r="H325" s="6">
        <v>15</v>
      </c>
      <c r="I325" t="s">
        <v>52</v>
      </c>
      <c r="J325" t="s">
        <v>101</v>
      </c>
      <c r="K325" t="s">
        <v>54</v>
      </c>
      <c r="L325" t="s">
        <v>102</v>
      </c>
      <c r="O325" t="s">
        <v>103</v>
      </c>
      <c r="P325" t="s">
        <v>104</v>
      </c>
      <c r="Q325" s="6">
        <v>49305.97</v>
      </c>
    </row>
    <row r="326" spans="1:17">
      <c r="A326" t="s">
        <v>757</v>
      </c>
      <c r="B326" s="5">
        <v>46127</v>
      </c>
      <c r="C326" t="s">
        <v>758</v>
      </c>
      <c r="D326" t="s">
        <v>17</v>
      </c>
      <c r="E326" t="s">
        <v>2</v>
      </c>
      <c r="F326" t="s">
        <v>149</v>
      </c>
      <c r="G326" t="s">
        <v>72</v>
      </c>
      <c r="H326" s="6">
        <v>43.58</v>
      </c>
      <c r="I326" t="s">
        <v>52</v>
      </c>
      <c r="J326" t="s">
        <v>73</v>
      </c>
      <c r="K326" t="s">
        <v>54</v>
      </c>
      <c r="L326" t="s">
        <v>74</v>
      </c>
      <c r="O326" t="s">
        <v>75</v>
      </c>
      <c r="P326" t="s">
        <v>76</v>
      </c>
      <c r="Q326" s="6">
        <v>49229.11</v>
      </c>
    </row>
    <row r="327" spans="1:17">
      <c r="A327" t="s">
        <v>759</v>
      </c>
      <c r="B327" s="5">
        <v>46127</v>
      </c>
      <c r="C327" t="s">
        <v>760</v>
      </c>
      <c r="D327" t="s">
        <v>17</v>
      </c>
      <c r="E327" t="s">
        <v>2</v>
      </c>
      <c r="F327" t="s">
        <v>149</v>
      </c>
      <c r="G327" t="s">
        <v>321</v>
      </c>
      <c r="H327" s="6">
        <v>3055.81</v>
      </c>
      <c r="I327" t="s">
        <v>52</v>
      </c>
      <c r="J327" t="s">
        <v>9</v>
      </c>
      <c r="K327" t="s">
        <v>54</v>
      </c>
      <c r="L327" t="s">
        <v>102</v>
      </c>
      <c r="O327" t="s">
        <v>322</v>
      </c>
      <c r="P327" t="s">
        <v>323</v>
      </c>
      <c r="Q327" s="6">
        <v>22712.32</v>
      </c>
    </row>
    <row r="328" spans="1:17">
      <c r="A328" t="s">
        <v>761</v>
      </c>
      <c r="B328" s="5">
        <v>46128</v>
      </c>
      <c r="C328" t="s">
        <v>762</v>
      </c>
      <c r="D328" t="s">
        <v>17</v>
      </c>
      <c r="E328" t="s">
        <v>2</v>
      </c>
      <c r="F328" t="s">
        <v>50</v>
      </c>
      <c r="G328" t="s">
        <v>100</v>
      </c>
      <c r="H328" s="6">
        <v>15</v>
      </c>
      <c r="I328" t="s">
        <v>52</v>
      </c>
      <c r="J328" t="s">
        <v>101</v>
      </c>
      <c r="K328" t="s">
        <v>54</v>
      </c>
      <c r="L328" t="s">
        <v>102</v>
      </c>
      <c r="O328" t="s">
        <v>103</v>
      </c>
      <c r="P328" t="s">
        <v>104</v>
      </c>
      <c r="Q328" s="6">
        <v>49060.95</v>
      </c>
    </row>
    <row r="329" spans="1:17">
      <c r="A329" t="s">
        <v>763</v>
      </c>
      <c r="B329" s="5">
        <v>46128</v>
      </c>
      <c r="C329" t="s">
        <v>764</v>
      </c>
      <c r="D329" t="s">
        <v>17</v>
      </c>
      <c r="E329" t="s">
        <v>2</v>
      </c>
      <c r="F329" t="s">
        <v>50</v>
      </c>
      <c r="G329" t="s">
        <v>51</v>
      </c>
      <c r="H329" s="6">
        <v>17.02</v>
      </c>
      <c r="I329" t="s">
        <v>52</v>
      </c>
      <c r="J329" t="s">
        <v>196</v>
      </c>
      <c r="K329" t="s">
        <v>54</v>
      </c>
      <c r="L329" t="s">
        <v>55</v>
      </c>
      <c r="O329" t="s">
        <v>197</v>
      </c>
      <c r="P329" t="s">
        <v>198</v>
      </c>
      <c r="Q329" s="6">
        <v>49140.1</v>
      </c>
    </row>
    <row r="330" spans="1:17">
      <c r="A330" t="s">
        <v>765</v>
      </c>
      <c r="B330" s="5">
        <v>46128</v>
      </c>
      <c r="C330" t="s">
        <v>766</v>
      </c>
      <c r="D330" t="s">
        <v>17</v>
      </c>
      <c r="E330" t="s">
        <v>2</v>
      </c>
      <c r="F330" t="s">
        <v>50</v>
      </c>
      <c r="G330" t="s">
        <v>51</v>
      </c>
      <c r="H330" s="6">
        <v>49.15</v>
      </c>
      <c r="I330" t="s">
        <v>52</v>
      </c>
      <c r="J330" t="s">
        <v>81</v>
      </c>
      <c r="K330" t="s">
        <v>54</v>
      </c>
      <c r="L330" t="s">
        <v>55</v>
      </c>
      <c r="O330" t="s">
        <v>82</v>
      </c>
      <c r="P330" t="s">
        <v>83</v>
      </c>
      <c r="Q330" s="6">
        <v>49090.95</v>
      </c>
    </row>
    <row r="331" spans="1:17">
      <c r="A331" t="s">
        <v>767</v>
      </c>
      <c r="B331" s="5">
        <v>46128</v>
      </c>
      <c r="C331" t="s">
        <v>768</v>
      </c>
      <c r="D331" t="s">
        <v>17</v>
      </c>
      <c r="E331" t="s">
        <v>2</v>
      </c>
      <c r="F331" t="s">
        <v>50</v>
      </c>
      <c r="G331" t="s">
        <v>51</v>
      </c>
      <c r="H331" s="6">
        <v>50.5</v>
      </c>
      <c r="I331" t="s">
        <v>52</v>
      </c>
      <c r="J331" t="s">
        <v>65</v>
      </c>
      <c r="K331" t="s">
        <v>54</v>
      </c>
      <c r="L331" t="s">
        <v>55</v>
      </c>
      <c r="O331" t="s">
        <v>66</v>
      </c>
      <c r="P331" t="s">
        <v>67</v>
      </c>
      <c r="Q331" s="6">
        <v>49010.45</v>
      </c>
    </row>
    <row r="332" spans="1:17">
      <c r="A332" t="s">
        <v>769</v>
      </c>
      <c r="B332" s="5">
        <v>46128</v>
      </c>
      <c r="C332" t="s">
        <v>770</v>
      </c>
      <c r="D332" t="s">
        <v>17</v>
      </c>
      <c r="E332" t="s">
        <v>2</v>
      </c>
      <c r="F332" t="s">
        <v>50</v>
      </c>
      <c r="G332" t="s">
        <v>100</v>
      </c>
      <c r="H332" s="6">
        <v>15</v>
      </c>
      <c r="I332" t="s">
        <v>52</v>
      </c>
      <c r="J332" t="s">
        <v>101</v>
      </c>
      <c r="K332" t="s">
        <v>54</v>
      </c>
      <c r="L332" t="s">
        <v>102</v>
      </c>
      <c r="O332" t="s">
        <v>103</v>
      </c>
      <c r="P332" t="s">
        <v>104</v>
      </c>
      <c r="Q332" s="6">
        <v>49075.95</v>
      </c>
    </row>
    <row r="333" spans="1:17">
      <c r="A333" t="s">
        <v>771</v>
      </c>
      <c r="B333" s="5">
        <v>46128</v>
      </c>
      <c r="C333" t="s">
        <v>772</v>
      </c>
      <c r="D333" t="s">
        <v>17</v>
      </c>
      <c r="E333" t="s">
        <v>2</v>
      </c>
      <c r="F333" t="s">
        <v>50</v>
      </c>
      <c r="G333" t="s">
        <v>100</v>
      </c>
      <c r="H333" s="6">
        <v>16.350000000000001</v>
      </c>
      <c r="I333" t="s">
        <v>52</v>
      </c>
      <c r="J333" t="s">
        <v>114</v>
      </c>
      <c r="K333" t="s">
        <v>54</v>
      </c>
      <c r="L333" t="s">
        <v>102</v>
      </c>
      <c r="O333" t="s">
        <v>103</v>
      </c>
      <c r="P333" t="s">
        <v>104</v>
      </c>
      <c r="Q333" s="6">
        <v>48994.1</v>
      </c>
    </row>
    <row r="334" spans="1:17">
      <c r="A334" t="s">
        <v>773</v>
      </c>
      <c r="B334" s="5">
        <v>46128</v>
      </c>
      <c r="C334" t="s">
        <v>774</v>
      </c>
      <c r="D334" t="s">
        <v>17</v>
      </c>
      <c r="E334" t="s">
        <v>2</v>
      </c>
      <c r="F334" t="s">
        <v>50</v>
      </c>
      <c r="G334" t="s">
        <v>100</v>
      </c>
      <c r="H334" s="6">
        <v>15.61</v>
      </c>
      <c r="I334" t="s">
        <v>52</v>
      </c>
      <c r="J334" t="s">
        <v>114</v>
      </c>
      <c r="K334" t="s">
        <v>54</v>
      </c>
      <c r="L334" t="s">
        <v>102</v>
      </c>
      <c r="O334" t="s">
        <v>103</v>
      </c>
      <c r="P334" t="s">
        <v>104</v>
      </c>
      <c r="Q334" s="6">
        <v>49157.120000000003</v>
      </c>
    </row>
    <row r="335" spans="1:17">
      <c r="A335" t="s">
        <v>775</v>
      </c>
      <c r="B335" s="5">
        <v>46128</v>
      </c>
      <c r="C335" t="s">
        <v>776</v>
      </c>
      <c r="D335" t="s">
        <v>17</v>
      </c>
      <c r="E335" t="s">
        <v>2</v>
      </c>
      <c r="F335" t="s">
        <v>50</v>
      </c>
      <c r="G335" t="s">
        <v>51</v>
      </c>
      <c r="H335" s="6">
        <v>56.38</v>
      </c>
      <c r="I335" t="s">
        <v>52</v>
      </c>
      <c r="J335" t="s">
        <v>81</v>
      </c>
      <c r="K335" t="s">
        <v>54</v>
      </c>
      <c r="L335" t="s">
        <v>55</v>
      </c>
      <c r="O335" t="s">
        <v>82</v>
      </c>
      <c r="P335" t="s">
        <v>83</v>
      </c>
      <c r="Q335" s="6">
        <v>49172.73</v>
      </c>
    </row>
    <row r="336" spans="1:17">
      <c r="A336" t="s">
        <v>777</v>
      </c>
      <c r="B336" s="5">
        <v>46128</v>
      </c>
      <c r="C336" t="s">
        <v>778</v>
      </c>
      <c r="D336" t="s">
        <v>17</v>
      </c>
      <c r="E336" t="s">
        <v>2</v>
      </c>
      <c r="F336" t="s">
        <v>50</v>
      </c>
      <c r="G336" t="s">
        <v>72</v>
      </c>
      <c r="H336" s="6">
        <v>147.02000000000001</v>
      </c>
      <c r="I336" t="s">
        <v>52</v>
      </c>
      <c r="J336" t="s">
        <v>638</v>
      </c>
      <c r="K336" t="s">
        <v>54</v>
      </c>
      <c r="L336" t="s">
        <v>74</v>
      </c>
      <c r="O336" t="s">
        <v>75</v>
      </c>
      <c r="P336" t="s">
        <v>76</v>
      </c>
      <c r="Q336" s="6">
        <v>48847.08</v>
      </c>
    </row>
    <row r="337" spans="1:17">
      <c r="A337" t="s">
        <v>779</v>
      </c>
      <c r="B337" s="5">
        <v>46129</v>
      </c>
      <c r="C337" t="s">
        <v>780</v>
      </c>
      <c r="D337" t="s">
        <v>17</v>
      </c>
      <c r="E337" t="s">
        <v>2</v>
      </c>
      <c r="F337" t="s">
        <v>50</v>
      </c>
      <c r="G337" t="s">
        <v>51</v>
      </c>
      <c r="H337" s="6">
        <v>21.19</v>
      </c>
      <c r="I337" t="s">
        <v>52</v>
      </c>
      <c r="J337" t="s">
        <v>81</v>
      </c>
      <c r="K337" t="s">
        <v>54</v>
      </c>
      <c r="L337" t="s">
        <v>55</v>
      </c>
      <c r="O337" t="s">
        <v>82</v>
      </c>
      <c r="P337" t="s">
        <v>83</v>
      </c>
      <c r="Q337" s="6">
        <v>48597.04</v>
      </c>
    </row>
    <row r="338" spans="1:17">
      <c r="A338" t="s">
        <v>781</v>
      </c>
      <c r="B338" s="5">
        <v>46129</v>
      </c>
      <c r="C338" t="s">
        <v>782</v>
      </c>
      <c r="D338" t="s">
        <v>17</v>
      </c>
      <c r="E338" t="s">
        <v>2</v>
      </c>
      <c r="F338" t="s">
        <v>50</v>
      </c>
      <c r="G338" t="s">
        <v>51</v>
      </c>
      <c r="H338" s="6">
        <v>19.649999999999999</v>
      </c>
      <c r="I338" t="s">
        <v>52</v>
      </c>
      <c r="J338" t="s">
        <v>126</v>
      </c>
      <c r="K338" t="s">
        <v>54</v>
      </c>
      <c r="L338" t="s">
        <v>55</v>
      </c>
      <c r="O338" t="s">
        <v>56</v>
      </c>
      <c r="P338" t="s">
        <v>57</v>
      </c>
      <c r="Q338" s="6">
        <v>48817.18</v>
      </c>
    </row>
    <row r="339" spans="1:17">
      <c r="A339" t="s">
        <v>783</v>
      </c>
      <c r="B339" s="5">
        <v>46129</v>
      </c>
      <c r="C339" t="s">
        <v>784</v>
      </c>
      <c r="D339" t="s">
        <v>17</v>
      </c>
      <c r="E339" t="s">
        <v>2</v>
      </c>
      <c r="F339" t="s">
        <v>50</v>
      </c>
      <c r="G339" t="s">
        <v>51</v>
      </c>
      <c r="H339" s="6">
        <v>19.59</v>
      </c>
      <c r="I339" t="s">
        <v>52</v>
      </c>
      <c r="J339" t="s">
        <v>121</v>
      </c>
      <c r="K339" t="s">
        <v>54</v>
      </c>
      <c r="L339" t="s">
        <v>55</v>
      </c>
      <c r="O339" t="s">
        <v>122</v>
      </c>
      <c r="P339" t="s">
        <v>123</v>
      </c>
      <c r="Q339" s="6">
        <v>48618.23</v>
      </c>
    </row>
    <row r="340" spans="1:17">
      <c r="A340" t="s">
        <v>785</v>
      </c>
      <c r="B340" s="5">
        <v>46129</v>
      </c>
      <c r="C340" t="s">
        <v>786</v>
      </c>
      <c r="D340" t="s">
        <v>17</v>
      </c>
      <c r="E340" t="s">
        <v>2</v>
      </c>
      <c r="F340" t="s">
        <v>50</v>
      </c>
      <c r="G340" t="s">
        <v>51</v>
      </c>
      <c r="H340" s="6">
        <v>39.24</v>
      </c>
      <c r="I340" t="s">
        <v>52</v>
      </c>
      <c r="J340" t="s">
        <v>60</v>
      </c>
      <c r="K340" t="s">
        <v>54</v>
      </c>
      <c r="L340" t="s">
        <v>55</v>
      </c>
      <c r="O340" t="s">
        <v>61</v>
      </c>
      <c r="P340" t="s">
        <v>62</v>
      </c>
      <c r="Q340" s="6">
        <v>48557.8</v>
      </c>
    </row>
    <row r="341" spans="1:17">
      <c r="A341" t="s">
        <v>787</v>
      </c>
      <c r="B341" s="5">
        <v>46129</v>
      </c>
      <c r="C341" t="s">
        <v>788</v>
      </c>
      <c r="D341" t="s">
        <v>17</v>
      </c>
      <c r="E341" t="s">
        <v>2</v>
      </c>
      <c r="F341" t="s">
        <v>50</v>
      </c>
      <c r="G341" t="s">
        <v>51</v>
      </c>
      <c r="H341" s="6">
        <v>113.58</v>
      </c>
      <c r="I341" t="s">
        <v>52</v>
      </c>
      <c r="J341" t="s">
        <v>196</v>
      </c>
      <c r="K341" t="s">
        <v>54</v>
      </c>
      <c r="L341" t="s">
        <v>55</v>
      </c>
      <c r="O341" t="s">
        <v>197</v>
      </c>
      <c r="P341" t="s">
        <v>198</v>
      </c>
      <c r="Q341" s="6">
        <v>48703.6</v>
      </c>
    </row>
    <row r="342" spans="1:17">
      <c r="A342" t="s">
        <v>789</v>
      </c>
      <c r="B342" s="5">
        <v>46129</v>
      </c>
      <c r="C342" t="s">
        <v>790</v>
      </c>
      <c r="D342" t="s">
        <v>17</v>
      </c>
      <c r="E342" t="s">
        <v>2</v>
      </c>
      <c r="F342" t="s">
        <v>50</v>
      </c>
      <c r="G342" t="s">
        <v>51</v>
      </c>
      <c r="H342" s="6">
        <v>48.17</v>
      </c>
      <c r="I342" t="s">
        <v>52</v>
      </c>
      <c r="J342" t="s">
        <v>60</v>
      </c>
      <c r="K342" t="s">
        <v>54</v>
      </c>
      <c r="L342" t="s">
        <v>55</v>
      </c>
      <c r="O342" t="s">
        <v>61</v>
      </c>
      <c r="P342" t="s">
        <v>62</v>
      </c>
      <c r="Q342" s="6">
        <v>48655.43</v>
      </c>
    </row>
    <row r="343" spans="1:17">
      <c r="A343" t="s">
        <v>791</v>
      </c>
      <c r="B343" s="5">
        <v>46129</v>
      </c>
      <c r="C343" t="s">
        <v>792</v>
      </c>
      <c r="D343" t="s">
        <v>17</v>
      </c>
      <c r="E343" t="s">
        <v>2</v>
      </c>
      <c r="F343" t="s">
        <v>50</v>
      </c>
      <c r="G343" t="s">
        <v>100</v>
      </c>
      <c r="H343" s="6">
        <v>17.61</v>
      </c>
      <c r="I343" t="s">
        <v>52</v>
      </c>
      <c r="J343" t="s">
        <v>114</v>
      </c>
      <c r="K343" t="s">
        <v>54</v>
      </c>
      <c r="L343" t="s">
        <v>102</v>
      </c>
      <c r="O343" t="s">
        <v>103</v>
      </c>
      <c r="P343" t="s">
        <v>104</v>
      </c>
      <c r="Q343" s="6">
        <v>48637.82</v>
      </c>
    </row>
    <row r="344" spans="1:17">
      <c r="A344" t="s">
        <v>793</v>
      </c>
      <c r="B344" s="5">
        <v>46129</v>
      </c>
      <c r="C344" t="s">
        <v>794</v>
      </c>
      <c r="D344" t="s">
        <v>17</v>
      </c>
      <c r="E344" t="s">
        <v>2</v>
      </c>
      <c r="F344" t="s">
        <v>50</v>
      </c>
      <c r="G344" t="s">
        <v>100</v>
      </c>
      <c r="H344" s="6">
        <v>10.25</v>
      </c>
      <c r="I344" t="s">
        <v>52</v>
      </c>
      <c r="J344" t="s">
        <v>114</v>
      </c>
      <c r="K344" t="s">
        <v>54</v>
      </c>
      <c r="L344" t="s">
        <v>102</v>
      </c>
      <c r="O344" t="s">
        <v>103</v>
      </c>
      <c r="P344" t="s">
        <v>104</v>
      </c>
      <c r="Q344" s="6">
        <v>48836.83</v>
      </c>
    </row>
    <row r="345" spans="1:17">
      <c r="A345" t="s">
        <v>795</v>
      </c>
      <c r="B345" s="5">
        <v>46130</v>
      </c>
      <c r="C345" t="s">
        <v>796</v>
      </c>
      <c r="D345" t="s">
        <v>17</v>
      </c>
      <c r="E345" t="s">
        <v>2</v>
      </c>
      <c r="F345" t="s">
        <v>50</v>
      </c>
      <c r="G345" t="s">
        <v>51</v>
      </c>
      <c r="H345" s="6">
        <v>36.39</v>
      </c>
      <c r="I345" t="s">
        <v>52</v>
      </c>
      <c r="J345" t="s">
        <v>81</v>
      </c>
      <c r="K345" t="s">
        <v>54</v>
      </c>
      <c r="L345" t="s">
        <v>55</v>
      </c>
      <c r="O345" t="s">
        <v>82</v>
      </c>
      <c r="P345" t="s">
        <v>83</v>
      </c>
      <c r="Q345" s="6">
        <v>48521.41</v>
      </c>
    </row>
    <row r="346" spans="1:17">
      <c r="A346" t="s">
        <v>797</v>
      </c>
      <c r="B346" s="5">
        <v>46130</v>
      </c>
      <c r="C346" t="s">
        <v>798</v>
      </c>
      <c r="D346" t="s">
        <v>17</v>
      </c>
      <c r="E346" t="s">
        <v>2</v>
      </c>
      <c r="F346" t="s">
        <v>50</v>
      </c>
      <c r="G346" t="s">
        <v>51</v>
      </c>
      <c r="H346" s="6">
        <v>19.8</v>
      </c>
      <c r="I346" t="s">
        <v>52</v>
      </c>
      <c r="J346" t="s">
        <v>196</v>
      </c>
      <c r="K346" t="s">
        <v>54</v>
      </c>
      <c r="L346" t="s">
        <v>55</v>
      </c>
      <c r="O346" t="s">
        <v>197</v>
      </c>
      <c r="P346" t="s">
        <v>198</v>
      </c>
      <c r="Q346" s="6">
        <v>48476.09</v>
      </c>
    </row>
    <row r="347" spans="1:17">
      <c r="A347" t="s">
        <v>799</v>
      </c>
      <c r="B347" s="5">
        <v>46130</v>
      </c>
      <c r="C347" t="s">
        <v>800</v>
      </c>
      <c r="D347" t="s">
        <v>17</v>
      </c>
      <c r="E347" t="s">
        <v>2</v>
      </c>
      <c r="F347" t="s">
        <v>50</v>
      </c>
      <c r="G347" t="s">
        <v>51</v>
      </c>
      <c r="H347" s="6">
        <v>10.52</v>
      </c>
      <c r="I347" t="s">
        <v>52</v>
      </c>
      <c r="J347" t="s">
        <v>126</v>
      </c>
      <c r="K347" t="s">
        <v>54</v>
      </c>
      <c r="L347" t="s">
        <v>55</v>
      </c>
      <c r="O347" t="s">
        <v>56</v>
      </c>
      <c r="P347" t="s">
        <v>57</v>
      </c>
      <c r="Q347" s="6">
        <v>48495.89</v>
      </c>
    </row>
    <row r="348" spans="1:17">
      <c r="A348" t="s">
        <v>801</v>
      </c>
      <c r="B348" s="5">
        <v>46130</v>
      </c>
      <c r="C348" t="s">
        <v>802</v>
      </c>
      <c r="D348" t="s">
        <v>17</v>
      </c>
      <c r="E348" t="s">
        <v>2</v>
      </c>
      <c r="F348" t="s">
        <v>50</v>
      </c>
      <c r="G348" t="s">
        <v>100</v>
      </c>
      <c r="H348" s="6">
        <v>15</v>
      </c>
      <c r="I348" t="s">
        <v>52</v>
      </c>
      <c r="J348" t="s">
        <v>101</v>
      </c>
      <c r="K348" t="s">
        <v>54</v>
      </c>
      <c r="L348" t="s">
        <v>102</v>
      </c>
      <c r="O348" t="s">
        <v>103</v>
      </c>
      <c r="P348" t="s">
        <v>104</v>
      </c>
      <c r="Q348" s="6">
        <v>48506.41</v>
      </c>
    </row>
    <row r="349" spans="1:17">
      <c r="A349" t="s">
        <v>803</v>
      </c>
      <c r="B349" s="5">
        <v>46130</v>
      </c>
      <c r="C349" t="s">
        <v>804</v>
      </c>
      <c r="D349" t="s">
        <v>17</v>
      </c>
      <c r="E349" t="s">
        <v>2</v>
      </c>
      <c r="F349" t="s">
        <v>50</v>
      </c>
      <c r="G349" t="s">
        <v>51</v>
      </c>
      <c r="H349" s="6">
        <v>56.54</v>
      </c>
      <c r="I349" t="s">
        <v>52</v>
      </c>
      <c r="J349" t="s">
        <v>81</v>
      </c>
      <c r="K349" t="s">
        <v>54</v>
      </c>
      <c r="L349" t="s">
        <v>55</v>
      </c>
      <c r="O349" t="s">
        <v>82</v>
      </c>
      <c r="P349" t="s">
        <v>83</v>
      </c>
      <c r="Q349" s="6">
        <v>48419.55</v>
      </c>
    </row>
    <row r="350" spans="1:17">
      <c r="A350" t="s">
        <v>805</v>
      </c>
      <c r="B350" s="5">
        <v>46131</v>
      </c>
      <c r="C350" t="s">
        <v>806</v>
      </c>
      <c r="D350" t="s">
        <v>17</v>
      </c>
      <c r="E350" t="s">
        <v>2</v>
      </c>
      <c r="F350" t="s">
        <v>50</v>
      </c>
      <c r="G350" t="s">
        <v>51</v>
      </c>
      <c r="H350" s="6">
        <v>9</v>
      </c>
      <c r="I350" t="s">
        <v>52</v>
      </c>
      <c r="J350" t="s">
        <v>53</v>
      </c>
      <c r="K350" t="s">
        <v>54</v>
      </c>
      <c r="L350" t="s">
        <v>55</v>
      </c>
      <c r="O350" t="s">
        <v>56</v>
      </c>
      <c r="P350" t="s">
        <v>57</v>
      </c>
      <c r="Q350" s="6">
        <v>48410.55</v>
      </c>
    </row>
    <row r="351" spans="1:17">
      <c r="A351" t="s">
        <v>807</v>
      </c>
      <c r="B351" s="5">
        <v>46131</v>
      </c>
      <c r="C351" t="s">
        <v>808</v>
      </c>
      <c r="D351" t="s">
        <v>17</v>
      </c>
      <c r="E351" t="s">
        <v>2</v>
      </c>
      <c r="F351" t="s">
        <v>50</v>
      </c>
      <c r="G351" t="s">
        <v>100</v>
      </c>
      <c r="H351" s="6">
        <v>14</v>
      </c>
      <c r="I351" t="s">
        <v>52</v>
      </c>
      <c r="J351" t="s">
        <v>114</v>
      </c>
      <c r="K351" t="s">
        <v>54</v>
      </c>
      <c r="L351" t="s">
        <v>102</v>
      </c>
      <c r="O351" t="s">
        <v>103</v>
      </c>
      <c r="P351" t="s">
        <v>104</v>
      </c>
      <c r="Q351" s="6">
        <v>48342.22</v>
      </c>
    </row>
    <row r="352" spans="1:17">
      <c r="A352" t="s">
        <v>809</v>
      </c>
      <c r="B352" s="5">
        <v>46131</v>
      </c>
      <c r="C352" t="s">
        <v>810</v>
      </c>
      <c r="D352" t="s">
        <v>17</v>
      </c>
      <c r="E352" t="s">
        <v>2</v>
      </c>
      <c r="F352" t="s">
        <v>50</v>
      </c>
      <c r="G352" t="s">
        <v>51</v>
      </c>
      <c r="H352" s="6">
        <v>43.53</v>
      </c>
      <c r="I352" t="s">
        <v>52</v>
      </c>
      <c r="J352" t="s">
        <v>60</v>
      </c>
      <c r="K352" t="s">
        <v>54</v>
      </c>
      <c r="L352" t="s">
        <v>55</v>
      </c>
      <c r="O352" t="s">
        <v>61</v>
      </c>
      <c r="P352" t="s">
        <v>62</v>
      </c>
      <c r="Q352" s="6">
        <v>48298.69</v>
      </c>
    </row>
    <row r="353" spans="1:17">
      <c r="A353" t="s">
        <v>811</v>
      </c>
      <c r="B353" s="5">
        <v>46131</v>
      </c>
      <c r="C353" t="s">
        <v>812</v>
      </c>
      <c r="D353" t="s">
        <v>17</v>
      </c>
      <c r="E353" t="s">
        <v>2</v>
      </c>
      <c r="F353" t="s">
        <v>50</v>
      </c>
      <c r="G353" t="s">
        <v>51</v>
      </c>
      <c r="H353" s="6">
        <v>22.21</v>
      </c>
      <c r="I353" t="s">
        <v>52</v>
      </c>
      <c r="J353" t="s">
        <v>81</v>
      </c>
      <c r="K353" t="s">
        <v>54</v>
      </c>
      <c r="L353" t="s">
        <v>55</v>
      </c>
      <c r="O353" t="s">
        <v>82</v>
      </c>
      <c r="P353" t="s">
        <v>83</v>
      </c>
      <c r="Q353" s="6">
        <v>48388.34</v>
      </c>
    </row>
    <row r="354" spans="1:17">
      <c r="A354" t="s">
        <v>813</v>
      </c>
      <c r="B354" s="5">
        <v>46131</v>
      </c>
      <c r="C354" t="s">
        <v>814</v>
      </c>
      <c r="D354" t="s">
        <v>17</v>
      </c>
      <c r="E354" t="s">
        <v>2</v>
      </c>
      <c r="F354" t="s">
        <v>50</v>
      </c>
      <c r="G354" t="s">
        <v>100</v>
      </c>
      <c r="H354" s="6">
        <v>15</v>
      </c>
      <c r="I354" t="s">
        <v>52</v>
      </c>
      <c r="J354" t="s">
        <v>101</v>
      </c>
      <c r="K354" t="s">
        <v>54</v>
      </c>
      <c r="L354" t="s">
        <v>102</v>
      </c>
      <c r="O354" t="s">
        <v>103</v>
      </c>
      <c r="P354" t="s">
        <v>104</v>
      </c>
      <c r="Q354" s="6">
        <v>48356.22</v>
      </c>
    </row>
    <row r="355" spans="1:17">
      <c r="A355" t="s">
        <v>815</v>
      </c>
      <c r="B355" s="5">
        <v>46131</v>
      </c>
      <c r="C355" t="s">
        <v>816</v>
      </c>
      <c r="D355" t="s">
        <v>17</v>
      </c>
      <c r="E355" t="s">
        <v>2</v>
      </c>
      <c r="F355" t="s">
        <v>50</v>
      </c>
      <c r="G355" t="s">
        <v>51</v>
      </c>
      <c r="H355" s="6">
        <v>17.12</v>
      </c>
      <c r="I355" t="s">
        <v>52</v>
      </c>
      <c r="J355" t="s">
        <v>121</v>
      </c>
      <c r="K355" t="s">
        <v>54</v>
      </c>
      <c r="L355" t="s">
        <v>55</v>
      </c>
      <c r="O355" t="s">
        <v>122</v>
      </c>
      <c r="P355" t="s">
        <v>123</v>
      </c>
      <c r="Q355" s="6">
        <v>48371.22</v>
      </c>
    </row>
    <row r="356" spans="1:17">
      <c r="A356" t="s">
        <v>817</v>
      </c>
      <c r="B356" s="5">
        <v>46131</v>
      </c>
      <c r="C356" t="s">
        <v>818</v>
      </c>
      <c r="D356" t="s">
        <v>17</v>
      </c>
      <c r="E356" t="s">
        <v>2</v>
      </c>
      <c r="F356" t="s">
        <v>50</v>
      </c>
      <c r="G356" t="s">
        <v>72</v>
      </c>
      <c r="H356" s="6">
        <v>67.3</v>
      </c>
      <c r="I356" t="s">
        <v>52</v>
      </c>
      <c r="J356" t="s">
        <v>150</v>
      </c>
      <c r="K356" t="s">
        <v>54</v>
      </c>
      <c r="L356" t="s">
        <v>74</v>
      </c>
      <c r="O356" t="s">
        <v>75</v>
      </c>
      <c r="P356" t="s">
        <v>76</v>
      </c>
      <c r="Q356" s="6">
        <v>48231.39</v>
      </c>
    </row>
    <row r="357" spans="1:17">
      <c r="A357" t="s">
        <v>819</v>
      </c>
      <c r="B357" s="5">
        <v>46132</v>
      </c>
      <c r="C357" t="s">
        <v>820</v>
      </c>
      <c r="D357" t="s">
        <v>17</v>
      </c>
      <c r="E357" t="s">
        <v>2</v>
      </c>
      <c r="F357" t="s">
        <v>50</v>
      </c>
      <c r="G357" t="s">
        <v>51</v>
      </c>
      <c r="H357" s="6">
        <v>12.95</v>
      </c>
      <c r="I357" t="s">
        <v>52</v>
      </c>
      <c r="J357" t="s">
        <v>53</v>
      </c>
      <c r="K357" t="s">
        <v>54</v>
      </c>
      <c r="L357" t="s">
        <v>55</v>
      </c>
      <c r="O357" t="s">
        <v>56</v>
      </c>
      <c r="P357" t="s">
        <v>57</v>
      </c>
      <c r="Q357" s="6">
        <v>48187.19</v>
      </c>
    </row>
    <row r="358" spans="1:17">
      <c r="A358" t="s">
        <v>821</v>
      </c>
      <c r="B358" s="5">
        <v>46132</v>
      </c>
      <c r="C358" t="s">
        <v>822</v>
      </c>
      <c r="D358" t="s">
        <v>17</v>
      </c>
      <c r="E358" t="s">
        <v>2</v>
      </c>
      <c r="F358" t="s">
        <v>50</v>
      </c>
      <c r="G358" t="s">
        <v>51</v>
      </c>
      <c r="H358" s="6">
        <v>26.83</v>
      </c>
      <c r="I358" t="s">
        <v>52</v>
      </c>
      <c r="J358" t="s">
        <v>81</v>
      </c>
      <c r="K358" t="s">
        <v>54</v>
      </c>
      <c r="L358" t="s">
        <v>55</v>
      </c>
      <c r="O358" t="s">
        <v>82</v>
      </c>
      <c r="P358" t="s">
        <v>83</v>
      </c>
      <c r="Q358" s="6">
        <v>48135.46</v>
      </c>
    </row>
    <row r="359" spans="1:17">
      <c r="A359" t="s">
        <v>823</v>
      </c>
      <c r="B359" s="5">
        <v>46132</v>
      </c>
      <c r="C359" t="s">
        <v>824</v>
      </c>
      <c r="D359" t="s">
        <v>17</v>
      </c>
      <c r="E359" t="s">
        <v>2</v>
      </c>
      <c r="F359" t="s">
        <v>50</v>
      </c>
      <c r="G359" t="s">
        <v>100</v>
      </c>
      <c r="H359" s="6">
        <v>15</v>
      </c>
      <c r="I359" t="s">
        <v>52</v>
      </c>
      <c r="J359" t="s">
        <v>101</v>
      </c>
      <c r="K359" t="s">
        <v>54</v>
      </c>
      <c r="L359" t="s">
        <v>102</v>
      </c>
      <c r="O359" t="s">
        <v>103</v>
      </c>
      <c r="P359" t="s">
        <v>104</v>
      </c>
      <c r="Q359" s="6">
        <v>48162.29</v>
      </c>
    </row>
    <row r="360" spans="1:17">
      <c r="A360" t="s">
        <v>825</v>
      </c>
      <c r="B360" s="5">
        <v>46132</v>
      </c>
      <c r="C360" t="s">
        <v>826</v>
      </c>
      <c r="D360" t="s">
        <v>17</v>
      </c>
      <c r="E360" t="s">
        <v>2</v>
      </c>
      <c r="F360" t="s">
        <v>50</v>
      </c>
      <c r="G360" t="s">
        <v>51</v>
      </c>
      <c r="H360" s="6">
        <v>9.9</v>
      </c>
      <c r="I360" t="s">
        <v>52</v>
      </c>
      <c r="J360" t="s">
        <v>121</v>
      </c>
      <c r="K360" t="s">
        <v>54</v>
      </c>
      <c r="L360" t="s">
        <v>55</v>
      </c>
      <c r="O360" t="s">
        <v>122</v>
      </c>
      <c r="P360" t="s">
        <v>123</v>
      </c>
      <c r="Q360" s="6">
        <v>48177.29</v>
      </c>
    </row>
    <row r="361" spans="1:17">
      <c r="A361" t="s">
        <v>827</v>
      </c>
      <c r="B361" s="5">
        <v>46132</v>
      </c>
      <c r="C361" t="s">
        <v>828</v>
      </c>
      <c r="D361" t="s">
        <v>17</v>
      </c>
      <c r="E361" t="s">
        <v>2</v>
      </c>
      <c r="F361" t="s">
        <v>50</v>
      </c>
      <c r="G361" t="s">
        <v>51</v>
      </c>
      <c r="H361" s="6">
        <v>41.78</v>
      </c>
      <c r="I361" t="s">
        <v>52</v>
      </c>
      <c r="J361" t="s">
        <v>81</v>
      </c>
      <c r="K361" t="s">
        <v>54</v>
      </c>
      <c r="L361" t="s">
        <v>55</v>
      </c>
      <c r="O361" t="s">
        <v>82</v>
      </c>
      <c r="P361" t="s">
        <v>83</v>
      </c>
      <c r="Q361" s="6">
        <v>48027.98</v>
      </c>
    </row>
    <row r="362" spans="1:17">
      <c r="A362" t="s">
        <v>829</v>
      </c>
      <c r="B362" s="5">
        <v>46132</v>
      </c>
      <c r="C362" t="s">
        <v>830</v>
      </c>
      <c r="D362" t="s">
        <v>17</v>
      </c>
      <c r="E362" t="s">
        <v>2</v>
      </c>
      <c r="F362" t="s">
        <v>50</v>
      </c>
      <c r="G362" t="s">
        <v>100</v>
      </c>
      <c r="H362" s="6">
        <v>15</v>
      </c>
      <c r="I362" t="s">
        <v>52</v>
      </c>
      <c r="J362" t="s">
        <v>101</v>
      </c>
      <c r="K362" t="s">
        <v>54</v>
      </c>
      <c r="L362" t="s">
        <v>102</v>
      </c>
      <c r="O362" t="s">
        <v>103</v>
      </c>
      <c r="P362" t="s">
        <v>104</v>
      </c>
      <c r="Q362" s="6">
        <v>48120.46</v>
      </c>
    </row>
    <row r="363" spans="1:17">
      <c r="A363" t="s">
        <v>831</v>
      </c>
      <c r="B363" s="5">
        <v>46132</v>
      </c>
      <c r="C363" t="s">
        <v>832</v>
      </c>
      <c r="D363" t="s">
        <v>17</v>
      </c>
      <c r="E363" t="s">
        <v>2</v>
      </c>
      <c r="F363" t="s">
        <v>50</v>
      </c>
      <c r="G363" t="s">
        <v>51</v>
      </c>
      <c r="H363" s="6">
        <v>31.25</v>
      </c>
      <c r="I363" t="s">
        <v>52</v>
      </c>
      <c r="J363" t="s">
        <v>81</v>
      </c>
      <c r="K363" t="s">
        <v>54</v>
      </c>
      <c r="L363" t="s">
        <v>55</v>
      </c>
      <c r="O363" t="s">
        <v>82</v>
      </c>
      <c r="P363" t="s">
        <v>83</v>
      </c>
      <c r="Q363" s="6">
        <v>48200.14</v>
      </c>
    </row>
    <row r="364" spans="1:17">
      <c r="A364" t="s">
        <v>833</v>
      </c>
      <c r="B364" s="5">
        <v>46132</v>
      </c>
      <c r="C364" t="s">
        <v>834</v>
      </c>
      <c r="D364" t="s">
        <v>17</v>
      </c>
      <c r="E364" t="s">
        <v>2</v>
      </c>
      <c r="F364" t="s">
        <v>50</v>
      </c>
      <c r="G364" t="s">
        <v>51</v>
      </c>
      <c r="H364" s="6">
        <v>50.7</v>
      </c>
      <c r="I364" t="s">
        <v>52</v>
      </c>
      <c r="J364" t="s">
        <v>60</v>
      </c>
      <c r="K364" t="s">
        <v>54</v>
      </c>
      <c r="L364" t="s">
        <v>55</v>
      </c>
      <c r="O364" t="s">
        <v>61</v>
      </c>
      <c r="P364" t="s">
        <v>62</v>
      </c>
      <c r="Q364" s="6">
        <v>48069.760000000002</v>
      </c>
    </row>
    <row r="365" spans="1:17">
      <c r="A365" t="s">
        <v>835</v>
      </c>
      <c r="B365" s="5">
        <v>46133</v>
      </c>
      <c r="C365" t="s">
        <v>836</v>
      </c>
      <c r="D365" t="s">
        <v>17</v>
      </c>
      <c r="E365" t="s">
        <v>2</v>
      </c>
      <c r="F365" t="s">
        <v>50</v>
      </c>
      <c r="G365" t="s">
        <v>51</v>
      </c>
      <c r="H365" s="6">
        <v>42.73</v>
      </c>
      <c r="I365" t="s">
        <v>52</v>
      </c>
      <c r="J365" t="s">
        <v>81</v>
      </c>
      <c r="K365" t="s">
        <v>54</v>
      </c>
      <c r="L365" t="s">
        <v>55</v>
      </c>
      <c r="O365" t="s">
        <v>82</v>
      </c>
      <c r="P365" t="s">
        <v>83</v>
      </c>
      <c r="Q365" s="6">
        <v>47754.13</v>
      </c>
    </row>
    <row r="366" spans="1:17">
      <c r="A366" t="s">
        <v>837</v>
      </c>
      <c r="B366" s="5">
        <v>46133</v>
      </c>
      <c r="C366" t="s">
        <v>838</v>
      </c>
      <c r="D366" t="s">
        <v>17</v>
      </c>
      <c r="E366" t="s">
        <v>2</v>
      </c>
      <c r="F366" t="s">
        <v>149</v>
      </c>
      <c r="G366" t="s">
        <v>72</v>
      </c>
      <c r="H366" s="6">
        <v>94.78</v>
      </c>
      <c r="I366" t="s">
        <v>52</v>
      </c>
      <c r="J366" t="s">
        <v>606</v>
      </c>
      <c r="K366" t="s">
        <v>54</v>
      </c>
      <c r="L366" t="s">
        <v>74</v>
      </c>
      <c r="O366" t="s">
        <v>75</v>
      </c>
      <c r="P366" t="s">
        <v>76</v>
      </c>
      <c r="Q366" s="6">
        <v>47639.69</v>
      </c>
    </row>
    <row r="367" spans="1:17">
      <c r="A367" t="s">
        <v>839</v>
      </c>
      <c r="B367" s="5">
        <v>46133</v>
      </c>
      <c r="C367" t="s">
        <v>840</v>
      </c>
      <c r="D367" t="s">
        <v>17</v>
      </c>
      <c r="E367" t="s">
        <v>2</v>
      </c>
      <c r="F367" t="s">
        <v>50</v>
      </c>
      <c r="G367" t="s">
        <v>100</v>
      </c>
      <c r="H367" s="6">
        <v>15</v>
      </c>
      <c r="I367" t="s">
        <v>52</v>
      </c>
      <c r="J367" t="s">
        <v>101</v>
      </c>
      <c r="K367" t="s">
        <v>54</v>
      </c>
      <c r="L367" t="s">
        <v>102</v>
      </c>
      <c r="O367" t="s">
        <v>103</v>
      </c>
      <c r="P367" t="s">
        <v>104</v>
      </c>
      <c r="Q367" s="6">
        <v>47811.86</v>
      </c>
    </row>
    <row r="368" spans="1:17">
      <c r="A368" t="s">
        <v>841</v>
      </c>
      <c r="B368" s="5">
        <v>46133</v>
      </c>
      <c r="C368" t="s">
        <v>842</v>
      </c>
      <c r="D368" t="s">
        <v>17</v>
      </c>
      <c r="E368" t="s">
        <v>2</v>
      </c>
      <c r="F368" t="s">
        <v>50</v>
      </c>
      <c r="G368" t="s">
        <v>51</v>
      </c>
      <c r="H368" s="6">
        <v>16.48</v>
      </c>
      <c r="I368" t="s">
        <v>52</v>
      </c>
      <c r="J368" t="s">
        <v>53</v>
      </c>
      <c r="K368" t="s">
        <v>54</v>
      </c>
      <c r="L368" t="s">
        <v>55</v>
      </c>
      <c r="O368" t="s">
        <v>56</v>
      </c>
      <c r="P368" t="s">
        <v>57</v>
      </c>
      <c r="Q368" s="6">
        <v>47737.65</v>
      </c>
    </row>
    <row r="369" spans="1:17">
      <c r="A369" t="s">
        <v>843</v>
      </c>
      <c r="B369" s="5">
        <v>46133</v>
      </c>
      <c r="C369" t="s">
        <v>844</v>
      </c>
      <c r="D369" t="s">
        <v>17</v>
      </c>
      <c r="E369" t="s">
        <v>2</v>
      </c>
      <c r="F369" t="s">
        <v>50</v>
      </c>
      <c r="G369" t="s">
        <v>51</v>
      </c>
      <c r="H369" s="6">
        <v>152.99</v>
      </c>
      <c r="I369" t="s">
        <v>52</v>
      </c>
      <c r="J369" t="s">
        <v>196</v>
      </c>
      <c r="K369" t="s">
        <v>54</v>
      </c>
      <c r="L369" t="s">
        <v>55</v>
      </c>
      <c r="O369" t="s">
        <v>197</v>
      </c>
      <c r="P369" t="s">
        <v>198</v>
      </c>
      <c r="Q369" s="6">
        <v>47544.91</v>
      </c>
    </row>
    <row r="370" spans="1:17">
      <c r="A370" t="s">
        <v>845</v>
      </c>
      <c r="B370" s="5">
        <v>46133</v>
      </c>
      <c r="C370" t="s">
        <v>846</v>
      </c>
      <c r="D370" t="s">
        <v>17</v>
      </c>
      <c r="E370" t="s">
        <v>2</v>
      </c>
      <c r="F370" t="s">
        <v>50</v>
      </c>
      <c r="G370" t="s">
        <v>100</v>
      </c>
      <c r="H370" s="6">
        <v>89.99</v>
      </c>
      <c r="I370" t="s">
        <v>52</v>
      </c>
      <c r="J370" t="s">
        <v>384</v>
      </c>
      <c r="K370" t="s">
        <v>54</v>
      </c>
      <c r="L370" t="s">
        <v>102</v>
      </c>
      <c r="O370" t="s">
        <v>178</v>
      </c>
      <c r="P370" t="s">
        <v>385</v>
      </c>
      <c r="Q370" s="6">
        <v>46709.69</v>
      </c>
    </row>
    <row r="371" spans="1:17">
      <c r="A371" t="s">
        <v>847</v>
      </c>
      <c r="B371" s="5">
        <v>46133</v>
      </c>
      <c r="C371" t="s">
        <v>848</v>
      </c>
      <c r="D371" t="s">
        <v>17</v>
      </c>
      <c r="E371" t="s">
        <v>2</v>
      </c>
      <c r="F371" t="s">
        <v>50</v>
      </c>
      <c r="G371" t="s">
        <v>100</v>
      </c>
      <c r="H371" s="6">
        <v>11.77</v>
      </c>
      <c r="I371" t="s">
        <v>52</v>
      </c>
      <c r="J371" t="s">
        <v>114</v>
      </c>
      <c r="K371" t="s">
        <v>54</v>
      </c>
      <c r="L371" t="s">
        <v>102</v>
      </c>
      <c r="O371" t="s">
        <v>103</v>
      </c>
      <c r="P371" t="s">
        <v>104</v>
      </c>
      <c r="Q371" s="6">
        <v>48016.21</v>
      </c>
    </row>
    <row r="372" spans="1:17">
      <c r="A372" t="s">
        <v>849</v>
      </c>
      <c r="B372" s="5">
        <v>46133</v>
      </c>
      <c r="C372" t="s">
        <v>850</v>
      </c>
      <c r="D372" t="s">
        <v>17</v>
      </c>
      <c r="E372" t="s">
        <v>2</v>
      </c>
      <c r="F372" t="s">
        <v>50</v>
      </c>
      <c r="G372" t="s">
        <v>51</v>
      </c>
      <c r="H372" s="6">
        <v>189.35</v>
      </c>
      <c r="I372" t="s">
        <v>52</v>
      </c>
      <c r="J372" t="s">
        <v>196</v>
      </c>
      <c r="K372" t="s">
        <v>54</v>
      </c>
      <c r="L372" t="s">
        <v>55</v>
      </c>
      <c r="O372" t="s">
        <v>197</v>
      </c>
      <c r="P372" t="s">
        <v>198</v>
      </c>
      <c r="Q372" s="6">
        <v>47826.86</v>
      </c>
    </row>
    <row r="373" spans="1:17">
      <c r="A373" t="s">
        <v>851</v>
      </c>
      <c r="B373" s="5">
        <v>46133</v>
      </c>
      <c r="C373" t="s">
        <v>852</v>
      </c>
      <c r="D373" t="s">
        <v>17</v>
      </c>
      <c r="E373" t="s">
        <v>2</v>
      </c>
      <c r="F373" t="s">
        <v>50</v>
      </c>
      <c r="G373" t="s">
        <v>88</v>
      </c>
      <c r="H373" s="6">
        <v>80</v>
      </c>
      <c r="I373" t="s">
        <v>52</v>
      </c>
      <c r="J373" t="s">
        <v>89</v>
      </c>
      <c r="K373" t="s">
        <v>54</v>
      </c>
      <c r="L373" t="s">
        <v>90</v>
      </c>
      <c r="M373" t="s">
        <v>91</v>
      </c>
      <c r="N373" t="s">
        <v>12</v>
      </c>
      <c r="O373" t="s">
        <v>92</v>
      </c>
      <c r="P373" t="s">
        <v>93</v>
      </c>
      <c r="Q373" s="6">
        <v>47559.69</v>
      </c>
    </row>
    <row r="374" spans="1:17">
      <c r="A374" t="s">
        <v>853</v>
      </c>
      <c r="B374" s="5">
        <v>46133</v>
      </c>
      <c r="C374" t="s">
        <v>854</v>
      </c>
      <c r="D374" t="s">
        <v>17</v>
      </c>
      <c r="E374" t="s">
        <v>2</v>
      </c>
      <c r="F374" t="s">
        <v>50</v>
      </c>
      <c r="G374" t="s">
        <v>100</v>
      </c>
      <c r="H374" s="6">
        <v>15</v>
      </c>
      <c r="I374" t="s">
        <v>52</v>
      </c>
      <c r="J374" t="s">
        <v>101</v>
      </c>
      <c r="K374" t="s">
        <v>54</v>
      </c>
      <c r="L374" t="s">
        <v>102</v>
      </c>
      <c r="O374" t="s">
        <v>103</v>
      </c>
      <c r="P374" t="s">
        <v>104</v>
      </c>
      <c r="Q374" s="6">
        <v>47796.86</v>
      </c>
    </row>
    <row r="375" spans="1:17">
      <c r="A375" t="s">
        <v>855</v>
      </c>
      <c r="B375" s="5">
        <v>46133</v>
      </c>
      <c r="C375" t="s">
        <v>856</v>
      </c>
      <c r="D375" t="s">
        <v>17</v>
      </c>
      <c r="E375" t="s">
        <v>2</v>
      </c>
      <c r="F375" t="s">
        <v>50</v>
      </c>
      <c r="G375" t="s">
        <v>51</v>
      </c>
      <c r="H375" s="6">
        <v>39.75</v>
      </c>
      <c r="I375" t="s">
        <v>52</v>
      </c>
      <c r="J375" t="s">
        <v>126</v>
      </c>
      <c r="K375" t="s">
        <v>54</v>
      </c>
      <c r="L375" t="s">
        <v>55</v>
      </c>
      <c r="O375" t="s">
        <v>56</v>
      </c>
      <c r="P375" t="s">
        <v>57</v>
      </c>
      <c r="Q375" s="6">
        <v>47697.9</v>
      </c>
    </row>
    <row r="376" spans="1:17">
      <c r="A376" t="s">
        <v>857</v>
      </c>
      <c r="B376" s="5">
        <v>46134</v>
      </c>
      <c r="C376" t="s">
        <v>858</v>
      </c>
      <c r="D376" t="s">
        <v>17</v>
      </c>
      <c r="E376" t="s">
        <v>2</v>
      </c>
      <c r="F376" t="s">
        <v>50</v>
      </c>
      <c r="G376" t="s">
        <v>51</v>
      </c>
      <c r="H376" s="6">
        <v>12.55</v>
      </c>
      <c r="I376" t="s">
        <v>52</v>
      </c>
      <c r="J376" t="s">
        <v>121</v>
      </c>
      <c r="K376" t="s">
        <v>54</v>
      </c>
      <c r="L376" t="s">
        <v>55</v>
      </c>
      <c r="O376" t="s">
        <v>122</v>
      </c>
      <c r="P376" t="s">
        <v>123</v>
      </c>
      <c r="Q376" s="6">
        <v>47468.11</v>
      </c>
    </row>
    <row r="377" spans="1:17">
      <c r="A377" t="s">
        <v>859</v>
      </c>
      <c r="B377" s="5">
        <v>46134</v>
      </c>
      <c r="C377" t="s">
        <v>860</v>
      </c>
      <c r="D377" t="s">
        <v>17</v>
      </c>
      <c r="E377" t="s">
        <v>2</v>
      </c>
      <c r="F377" t="s">
        <v>50</v>
      </c>
      <c r="G377" t="s">
        <v>72</v>
      </c>
      <c r="H377" s="6">
        <v>122.56</v>
      </c>
      <c r="I377" t="s">
        <v>52</v>
      </c>
      <c r="J377" t="s">
        <v>606</v>
      </c>
      <c r="K377" t="s">
        <v>54</v>
      </c>
      <c r="L377" t="s">
        <v>74</v>
      </c>
      <c r="O377" t="s">
        <v>75</v>
      </c>
      <c r="P377" t="s">
        <v>76</v>
      </c>
      <c r="Q377" s="6">
        <v>47225.13</v>
      </c>
    </row>
    <row r="378" spans="1:17">
      <c r="A378" t="s">
        <v>861</v>
      </c>
      <c r="B378" s="5">
        <v>46134</v>
      </c>
      <c r="C378" t="s">
        <v>862</v>
      </c>
      <c r="D378" t="s">
        <v>17</v>
      </c>
      <c r="E378" t="s">
        <v>2</v>
      </c>
      <c r="F378" t="s">
        <v>50</v>
      </c>
      <c r="G378" t="s">
        <v>100</v>
      </c>
      <c r="H378" s="6">
        <v>12.3</v>
      </c>
      <c r="I378" t="s">
        <v>52</v>
      </c>
      <c r="J378" t="s">
        <v>114</v>
      </c>
      <c r="K378" t="s">
        <v>54</v>
      </c>
      <c r="L378" t="s">
        <v>102</v>
      </c>
      <c r="O378" t="s">
        <v>103</v>
      </c>
      <c r="P378" t="s">
        <v>104</v>
      </c>
      <c r="Q378" s="6">
        <v>47455.81</v>
      </c>
    </row>
    <row r="379" spans="1:17">
      <c r="A379" t="s">
        <v>863</v>
      </c>
      <c r="B379" s="5">
        <v>46134</v>
      </c>
      <c r="C379" t="s">
        <v>864</v>
      </c>
      <c r="D379" t="s">
        <v>17</v>
      </c>
      <c r="E379" t="s">
        <v>2</v>
      </c>
      <c r="F379" t="s">
        <v>50</v>
      </c>
      <c r="G379" t="s">
        <v>100</v>
      </c>
      <c r="H379" s="6">
        <v>19.600000000000001</v>
      </c>
      <c r="I379" t="s">
        <v>52</v>
      </c>
      <c r="J379" t="s">
        <v>114</v>
      </c>
      <c r="K379" t="s">
        <v>54</v>
      </c>
      <c r="L379" t="s">
        <v>102</v>
      </c>
      <c r="O379" t="s">
        <v>103</v>
      </c>
      <c r="P379" t="s">
        <v>104</v>
      </c>
      <c r="Q379" s="6">
        <v>47480.66</v>
      </c>
    </row>
    <row r="380" spans="1:17">
      <c r="A380" t="s">
        <v>865</v>
      </c>
      <c r="B380" s="5">
        <v>46134</v>
      </c>
      <c r="C380" t="s">
        <v>866</v>
      </c>
      <c r="D380" t="s">
        <v>17</v>
      </c>
      <c r="E380" t="s">
        <v>2</v>
      </c>
      <c r="F380" t="s">
        <v>50</v>
      </c>
      <c r="G380" t="s">
        <v>51</v>
      </c>
      <c r="H380" s="6">
        <v>34.53</v>
      </c>
      <c r="I380" t="s">
        <v>52</v>
      </c>
      <c r="J380" t="s">
        <v>60</v>
      </c>
      <c r="K380" t="s">
        <v>54</v>
      </c>
      <c r="L380" t="s">
        <v>55</v>
      </c>
      <c r="O380" t="s">
        <v>61</v>
      </c>
      <c r="P380" t="s">
        <v>62</v>
      </c>
      <c r="Q380" s="6">
        <v>47347.69</v>
      </c>
    </row>
    <row r="381" spans="1:17">
      <c r="A381" t="s">
        <v>867</v>
      </c>
      <c r="B381" s="5">
        <v>46134</v>
      </c>
      <c r="C381" t="s">
        <v>868</v>
      </c>
      <c r="D381" t="s">
        <v>17</v>
      </c>
      <c r="E381" t="s">
        <v>2</v>
      </c>
      <c r="F381" t="s">
        <v>50</v>
      </c>
      <c r="G381" t="s">
        <v>51</v>
      </c>
      <c r="H381" s="6">
        <v>28.27</v>
      </c>
      <c r="I381" t="s">
        <v>52</v>
      </c>
      <c r="J381" t="s">
        <v>60</v>
      </c>
      <c r="K381" t="s">
        <v>54</v>
      </c>
      <c r="L381" t="s">
        <v>55</v>
      </c>
      <c r="O381" t="s">
        <v>61</v>
      </c>
      <c r="P381" t="s">
        <v>62</v>
      </c>
      <c r="Q381" s="6">
        <v>47515.26</v>
      </c>
    </row>
    <row r="382" spans="1:17">
      <c r="A382" t="s">
        <v>869</v>
      </c>
      <c r="B382" s="5">
        <v>46134</v>
      </c>
      <c r="C382" t="s">
        <v>870</v>
      </c>
      <c r="D382" t="s">
        <v>17</v>
      </c>
      <c r="E382" t="s">
        <v>2</v>
      </c>
      <c r="F382" t="s">
        <v>50</v>
      </c>
      <c r="G382" t="s">
        <v>100</v>
      </c>
      <c r="H382" s="6">
        <v>16.16</v>
      </c>
      <c r="I382" t="s">
        <v>52</v>
      </c>
      <c r="J382" t="s">
        <v>114</v>
      </c>
      <c r="K382" t="s">
        <v>54</v>
      </c>
      <c r="L382" t="s">
        <v>102</v>
      </c>
      <c r="O382" t="s">
        <v>103</v>
      </c>
      <c r="P382" t="s">
        <v>104</v>
      </c>
      <c r="Q382" s="6">
        <v>47543.53</v>
      </c>
    </row>
    <row r="383" spans="1:17">
      <c r="A383" t="s">
        <v>871</v>
      </c>
      <c r="B383" s="5">
        <v>46134</v>
      </c>
      <c r="C383" t="s">
        <v>872</v>
      </c>
      <c r="D383" t="s">
        <v>17</v>
      </c>
      <c r="E383" t="s">
        <v>2</v>
      </c>
      <c r="F383" t="s">
        <v>50</v>
      </c>
      <c r="G383" t="s">
        <v>100</v>
      </c>
      <c r="H383" s="6">
        <v>15</v>
      </c>
      <c r="I383" t="s">
        <v>52</v>
      </c>
      <c r="J383" t="s">
        <v>101</v>
      </c>
      <c r="K383" t="s">
        <v>54</v>
      </c>
      <c r="L383" t="s">
        <v>102</v>
      </c>
      <c r="O383" t="s">
        <v>103</v>
      </c>
      <c r="P383" t="s">
        <v>104</v>
      </c>
      <c r="Q383" s="6">
        <v>47500.26</v>
      </c>
    </row>
    <row r="384" spans="1:17">
      <c r="A384" t="s">
        <v>873</v>
      </c>
      <c r="B384" s="5">
        <v>46134</v>
      </c>
      <c r="C384" t="s">
        <v>874</v>
      </c>
      <c r="D384" t="s">
        <v>17</v>
      </c>
      <c r="E384" t="s">
        <v>2</v>
      </c>
      <c r="F384" t="s">
        <v>50</v>
      </c>
      <c r="G384" t="s">
        <v>51</v>
      </c>
      <c r="H384" s="6">
        <v>73.59</v>
      </c>
      <c r="I384" t="s">
        <v>52</v>
      </c>
      <c r="J384" t="s">
        <v>196</v>
      </c>
      <c r="K384" t="s">
        <v>54</v>
      </c>
      <c r="L384" t="s">
        <v>55</v>
      </c>
      <c r="O384" t="s">
        <v>197</v>
      </c>
      <c r="P384" t="s">
        <v>198</v>
      </c>
      <c r="Q384" s="6">
        <v>47382.22</v>
      </c>
    </row>
    <row r="385" spans="1:17">
      <c r="A385" t="s">
        <v>875</v>
      </c>
      <c r="B385" s="5">
        <v>46135</v>
      </c>
      <c r="C385" t="s">
        <v>876</v>
      </c>
      <c r="D385" t="s">
        <v>17</v>
      </c>
      <c r="E385" t="s">
        <v>2</v>
      </c>
      <c r="F385" t="s">
        <v>50</v>
      </c>
      <c r="G385" t="s">
        <v>51</v>
      </c>
      <c r="H385" s="6">
        <v>122.81</v>
      </c>
      <c r="I385" t="s">
        <v>52</v>
      </c>
      <c r="J385" t="s">
        <v>65</v>
      </c>
      <c r="K385" t="s">
        <v>54</v>
      </c>
      <c r="L385" t="s">
        <v>55</v>
      </c>
      <c r="O385" t="s">
        <v>66</v>
      </c>
      <c r="P385" t="s">
        <v>67</v>
      </c>
      <c r="Q385" s="6">
        <v>47102.32</v>
      </c>
    </row>
    <row r="386" spans="1:17">
      <c r="A386" t="s">
        <v>877</v>
      </c>
      <c r="B386" s="5">
        <v>46135</v>
      </c>
      <c r="C386" t="s">
        <v>878</v>
      </c>
      <c r="D386" t="s">
        <v>17</v>
      </c>
      <c r="E386" t="s">
        <v>2</v>
      </c>
      <c r="F386" t="s">
        <v>50</v>
      </c>
      <c r="G386" t="s">
        <v>72</v>
      </c>
      <c r="H386" s="6">
        <v>79.290000000000006</v>
      </c>
      <c r="I386" t="s">
        <v>52</v>
      </c>
      <c r="J386" t="s">
        <v>73</v>
      </c>
      <c r="K386" t="s">
        <v>54</v>
      </c>
      <c r="L386" t="s">
        <v>74</v>
      </c>
      <c r="O386" t="s">
        <v>75</v>
      </c>
      <c r="P386" t="s">
        <v>76</v>
      </c>
      <c r="Q386" s="6">
        <v>46789.43</v>
      </c>
    </row>
    <row r="387" spans="1:17">
      <c r="A387" t="s">
        <v>879</v>
      </c>
      <c r="B387" s="5">
        <v>46135</v>
      </c>
      <c r="C387" t="s">
        <v>880</v>
      </c>
      <c r="D387" t="s">
        <v>17</v>
      </c>
      <c r="E387" t="s">
        <v>2</v>
      </c>
      <c r="F387" t="s">
        <v>50</v>
      </c>
      <c r="G387" t="s">
        <v>51</v>
      </c>
      <c r="H387" s="6">
        <v>56.43</v>
      </c>
      <c r="I387" t="s">
        <v>52</v>
      </c>
      <c r="J387" t="s">
        <v>60</v>
      </c>
      <c r="K387" t="s">
        <v>54</v>
      </c>
      <c r="L387" t="s">
        <v>55</v>
      </c>
      <c r="O387" t="s">
        <v>61</v>
      </c>
      <c r="P387" t="s">
        <v>62</v>
      </c>
      <c r="Q387" s="6">
        <v>46936.52</v>
      </c>
    </row>
    <row r="388" spans="1:17">
      <c r="A388" t="s">
        <v>881</v>
      </c>
      <c r="B388" s="5">
        <v>46135</v>
      </c>
      <c r="C388" t="s">
        <v>882</v>
      </c>
      <c r="D388" t="s">
        <v>17</v>
      </c>
      <c r="E388" t="s">
        <v>2</v>
      </c>
      <c r="F388" t="s">
        <v>50</v>
      </c>
      <c r="G388" t="s">
        <v>51</v>
      </c>
      <c r="H388" s="6">
        <v>81.25</v>
      </c>
      <c r="I388" t="s">
        <v>52</v>
      </c>
      <c r="J388" t="s">
        <v>65</v>
      </c>
      <c r="K388" t="s">
        <v>54</v>
      </c>
      <c r="L388" t="s">
        <v>55</v>
      </c>
      <c r="O388" t="s">
        <v>66</v>
      </c>
      <c r="P388" t="s">
        <v>67</v>
      </c>
      <c r="Q388" s="6">
        <v>47007.95</v>
      </c>
    </row>
    <row r="389" spans="1:17">
      <c r="A389" t="s">
        <v>883</v>
      </c>
      <c r="B389" s="5">
        <v>46135</v>
      </c>
      <c r="C389" t="s">
        <v>884</v>
      </c>
      <c r="D389" t="s">
        <v>17</v>
      </c>
      <c r="E389" t="s">
        <v>2</v>
      </c>
      <c r="F389" t="s">
        <v>50</v>
      </c>
      <c r="G389" t="s">
        <v>100</v>
      </c>
      <c r="H389" s="6">
        <v>15</v>
      </c>
      <c r="I389" t="s">
        <v>52</v>
      </c>
      <c r="J389" t="s">
        <v>101</v>
      </c>
      <c r="K389" t="s">
        <v>54</v>
      </c>
      <c r="L389" t="s">
        <v>102</v>
      </c>
      <c r="O389" t="s">
        <v>103</v>
      </c>
      <c r="P389" t="s">
        <v>104</v>
      </c>
      <c r="Q389" s="6">
        <v>46921.52</v>
      </c>
    </row>
    <row r="390" spans="1:17">
      <c r="A390" t="s">
        <v>885</v>
      </c>
      <c r="B390" s="5">
        <v>46135</v>
      </c>
      <c r="C390" t="s">
        <v>886</v>
      </c>
      <c r="D390" t="s">
        <v>17</v>
      </c>
      <c r="E390" t="s">
        <v>2</v>
      </c>
      <c r="F390" t="s">
        <v>50</v>
      </c>
      <c r="G390" t="s">
        <v>51</v>
      </c>
      <c r="H390" s="6">
        <v>52.8</v>
      </c>
      <c r="I390" t="s">
        <v>52</v>
      </c>
      <c r="J390" t="s">
        <v>81</v>
      </c>
      <c r="K390" t="s">
        <v>54</v>
      </c>
      <c r="L390" t="s">
        <v>55</v>
      </c>
      <c r="O390" t="s">
        <v>82</v>
      </c>
      <c r="P390" t="s">
        <v>83</v>
      </c>
      <c r="Q390" s="6">
        <v>46868.72</v>
      </c>
    </row>
    <row r="391" spans="1:17">
      <c r="A391" t="s">
        <v>887</v>
      </c>
      <c r="B391" s="5">
        <v>46135</v>
      </c>
      <c r="C391" t="s">
        <v>888</v>
      </c>
      <c r="D391" t="s">
        <v>17</v>
      </c>
      <c r="E391" t="s">
        <v>2</v>
      </c>
      <c r="F391" t="s">
        <v>50</v>
      </c>
      <c r="G391" t="s">
        <v>100</v>
      </c>
      <c r="H391" s="6">
        <v>15</v>
      </c>
      <c r="I391" t="s">
        <v>52</v>
      </c>
      <c r="J391" t="s">
        <v>101</v>
      </c>
      <c r="K391" t="s">
        <v>54</v>
      </c>
      <c r="L391" t="s">
        <v>102</v>
      </c>
      <c r="O391" t="s">
        <v>103</v>
      </c>
      <c r="P391" t="s">
        <v>104</v>
      </c>
      <c r="Q391" s="6">
        <v>46992.95</v>
      </c>
    </row>
    <row r="392" spans="1:17">
      <c r="A392" t="s">
        <v>889</v>
      </c>
      <c r="B392" s="5">
        <v>46135</v>
      </c>
      <c r="C392" t="s">
        <v>890</v>
      </c>
      <c r="D392" t="s">
        <v>17</v>
      </c>
      <c r="E392" t="s">
        <v>2</v>
      </c>
      <c r="F392" t="s">
        <v>50</v>
      </c>
      <c r="G392" t="s">
        <v>51</v>
      </c>
      <c r="H392" s="6">
        <v>13.12</v>
      </c>
      <c r="I392" t="s">
        <v>52</v>
      </c>
      <c r="J392" t="s">
        <v>53</v>
      </c>
      <c r="K392" t="s">
        <v>54</v>
      </c>
      <c r="L392" t="s">
        <v>55</v>
      </c>
      <c r="O392" t="s">
        <v>56</v>
      </c>
      <c r="P392" t="s">
        <v>57</v>
      </c>
      <c r="Q392" s="6">
        <v>47089.2</v>
      </c>
    </row>
    <row r="393" spans="1:17">
      <c r="A393" t="s">
        <v>891</v>
      </c>
      <c r="B393" s="5">
        <v>46136</v>
      </c>
      <c r="C393" t="s">
        <v>892</v>
      </c>
      <c r="D393" t="s">
        <v>17</v>
      </c>
      <c r="E393" t="s">
        <v>2</v>
      </c>
      <c r="F393" t="s">
        <v>50</v>
      </c>
      <c r="G393" t="s">
        <v>51</v>
      </c>
      <c r="H393" s="6">
        <v>10.96</v>
      </c>
      <c r="I393" t="s">
        <v>52</v>
      </c>
      <c r="J393" t="s">
        <v>53</v>
      </c>
      <c r="K393" t="s">
        <v>54</v>
      </c>
      <c r="L393" t="s">
        <v>55</v>
      </c>
      <c r="O393" t="s">
        <v>56</v>
      </c>
      <c r="P393" t="s">
        <v>57</v>
      </c>
      <c r="Q393" s="6">
        <v>46675.58</v>
      </c>
    </row>
    <row r="394" spans="1:17">
      <c r="A394" t="s">
        <v>893</v>
      </c>
      <c r="B394" s="5">
        <v>46136</v>
      </c>
      <c r="C394" t="s">
        <v>894</v>
      </c>
      <c r="D394" t="s">
        <v>17</v>
      </c>
      <c r="E394" t="s">
        <v>2</v>
      </c>
      <c r="F394" t="s">
        <v>50</v>
      </c>
      <c r="G394" t="s">
        <v>100</v>
      </c>
      <c r="H394" s="6">
        <v>15</v>
      </c>
      <c r="I394" t="s">
        <v>52</v>
      </c>
      <c r="J394" t="s">
        <v>101</v>
      </c>
      <c r="K394" t="s">
        <v>54</v>
      </c>
      <c r="L394" t="s">
        <v>102</v>
      </c>
      <c r="O394" t="s">
        <v>103</v>
      </c>
      <c r="P394" t="s">
        <v>104</v>
      </c>
      <c r="Q394" s="6">
        <v>46774.43</v>
      </c>
    </row>
    <row r="395" spans="1:17">
      <c r="A395" t="s">
        <v>895</v>
      </c>
      <c r="B395" s="5">
        <v>46136</v>
      </c>
      <c r="C395" t="s">
        <v>896</v>
      </c>
      <c r="D395" t="s">
        <v>17</v>
      </c>
      <c r="E395" t="s">
        <v>2</v>
      </c>
      <c r="F395" t="s">
        <v>50</v>
      </c>
      <c r="G395" t="s">
        <v>100</v>
      </c>
      <c r="H395" s="6">
        <v>15</v>
      </c>
      <c r="I395" t="s">
        <v>52</v>
      </c>
      <c r="J395" t="s">
        <v>101</v>
      </c>
      <c r="K395" t="s">
        <v>54</v>
      </c>
      <c r="L395" t="s">
        <v>102</v>
      </c>
      <c r="O395" t="s">
        <v>103</v>
      </c>
      <c r="P395" t="s">
        <v>104</v>
      </c>
      <c r="Q395" s="6">
        <v>46660.58</v>
      </c>
    </row>
    <row r="396" spans="1:17">
      <c r="A396" t="s">
        <v>897</v>
      </c>
      <c r="B396" s="5">
        <v>46136</v>
      </c>
      <c r="C396" t="s">
        <v>898</v>
      </c>
      <c r="D396" t="s">
        <v>17</v>
      </c>
      <c r="E396" t="s">
        <v>2</v>
      </c>
      <c r="F396" t="s">
        <v>50</v>
      </c>
      <c r="G396" t="s">
        <v>51</v>
      </c>
      <c r="H396" s="6">
        <v>40.54</v>
      </c>
      <c r="I396" t="s">
        <v>52</v>
      </c>
      <c r="J396" t="s">
        <v>126</v>
      </c>
      <c r="K396" t="s">
        <v>54</v>
      </c>
      <c r="L396" t="s">
        <v>55</v>
      </c>
      <c r="O396" t="s">
        <v>56</v>
      </c>
      <c r="P396" t="s">
        <v>57</v>
      </c>
      <c r="Q396" s="6">
        <v>46714.47</v>
      </c>
    </row>
    <row r="397" spans="1:17">
      <c r="A397" t="s">
        <v>899</v>
      </c>
      <c r="B397" s="5">
        <v>46136</v>
      </c>
      <c r="C397" t="s">
        <v>900</v>
      </c>
      <c r="D397" t="s">
        <v>17</v>
      </c>
      <c r="E397" t="s">
        <v>2</v>
      </c>
      <c r="F397" t="s">
        <v>50</v>
      </c>
      <c r="G397" t="s">
        <v>51</v>
      </c>
      <c r="H397" s="6">
        <v>19.420000000000002</v>
      </c>
      <c r="I397" t="s">
        <v>52</v>
      </c>
      <c r="J397" t="s">
        <v>121</v>
      </c>
      <c r="K397" t="s">
        <v>54</v>
      </c>
      <c r="L397" t="s">
        <v>55</v>
      </c>
      <c r="O397" t="s">
        <v>122</v>
      </c>
      <c r="P397" t="s">
        <v>123</v>
      </c>
      <c r="Q397" s="6">
        <v>46755.01</v>
      </c>
    </row>
    <row r="398" spans="1:17">
      <c r="A398" t="s">
        <v>901</v>
      </c>
      <c r="B398" s="5">
        <v>46136</v>
      </c>
      <c r="C398" t="s">
        <v>902</v>
      </c>
      <c r="D398" t="s">
        <v>17</v>
      </c>
      <c r="E398" t="s">
        <v>2</v>
      </c>
      <c r="F398" t="s">
        <v>50</v>
      </c>
      <c r="G398" t="s">
        <v>51</v>
      </c>
      <c r="H398" s="6">
        <v>24.42</v>
      </c>
      <c r="I398" t="s">
        <v>52</v>
      </c>
      <c r="J398" t="s">
        <v>65</v>
      </c>
      <c r="K398" t="s">
        <v>54</v>
      </c>
      <c r="L398" t="s">
        <v>55</v>
      </c>
      <c r="O398" t="s">
        <v>66</v>
      </c>
      <c r="P398" t="s">
        <v>67</v>
      </c>
      <c r="Q398" s="6">
        <v>46636.160000000003</v>
      </c>
    </row>
    <row r="399" spans="1:17">
      <c r="A399" t="s">
        <v>903</v>
      </c>
      <c r="B399" s="5">
        <v>46136</v>
      </c>
      <c r="C399" t="s">
        <v>904</v>
      </c>
      <c r="D399" t="s">
        <v>17</v>
      </c>
      <c r="E399" t="s">
        <v>2</v>
      </c>
      <c r="F399" t="s">
        <v>50</v>
      </c>
      <c r="G399" t="s">
        <v>51</v>
      </c>
      <c r="H399" s="6">
        <v>27.93</v>
      </c>
      <c r="I399" t="s">
        <v>52</v>
      </c>
      <c r="J399" t="s">
        <v>126</v>
      </c>
      <c r="K399" t="s">
        <v>54</v>
      </c>
      <c r="L399" t="s">
        <v>55</v>
      </c>
      <c r="O399" t="s">
        <v>56</v>
      </c>
      <c r="P399" t="s">
        <v>57</v>
      </c>
      <c r="Q399" s="6">
        <v>46686.54</v>
      </c>
    </row>
    <row r="400" spans="1:17">
      <c r="A400" t="s">
        <v>905</v>
      </c>
      <c r="B400" s="5">
        <v>46137</v>
      </c>
      <c r="C400" t="s">
        <v>906</v>
      </c>
      <c r="D400" t="s">
        <v>17</v>
      </c>
      <c r="E400" t="s">
        <v>2</v>
      </c>
      <c r="F400" t="s">
        <v>50</v>
      </c>
      <c r="G400" t="s">
        <v>100</v>
      </c>
      <c r="H400" s="6">
        <v>14.2</v>
      </c>
      <c r="I400" t="s">
        <v>52</v>
      </c>
      <c r="J400" t="s">
        <v>114</v>
      </c>
      <c r="K400" t="s">
        <v>54</v>
      </c>
      <c r="L400" t="s">
        <v>102</v>
      </c>
      <c r="O400" t="s">
        <v>103</v>
      </c>
      <c r="P400" t="s">
        <v>104</v>
      </c>
      <c r="Q400" s="6">
        <v>46588.65</v>
      </c>
    </row>
    <row r="401" spans="1:17">
      <c r="A401" t="s">
        <v>907</v>
      </c>
      <c r="B401" s="5">
        <v>46137</v>
      </c>
      <c r="C401" t="s">
        <v>908</v>
      </c>
      <c r="D401" t="s">
        <v>17</v>
      </c>
      <c r="E401" t="s">
        <v>2</v>
      </c>
      <c r="F401" t="s">
        <v>50</v>
      </c>
      <c r="G401" t="s">
        <v>100</v>
      </c>
      <c r="H401" s="6">
        <v>10.119999999999999</v>
      </c>
      <c r="I401" t="s">
        <v>52</v>
      </c>
      <c r="J401" t="s">
        <v>114</v>
      </c>
      <c r="K401" t="s">
        <v>54</v>
      </c>
      <c r="L401" t="s">
        <v>102</v>
      </c>
      <c r="O401" t="s">
        <v>103</v>
      </c>
      <c r="P401" t="s">
        <v>104</v>
      </c>
      <c r="Q401" s="6">
        <v>46626.04</v>
      </c>
    </row>
    <row r="402" spans="1:17">
      <c r="A402" t="s">
        <v>909</v>
      </c>
      <c r="B402" s="5">
        <v>46137</v>
      </c>
      <c r="C402" t="s">
        <v>910</v>
      </c>
      <c r="D402" t="s">
        <v>17</v>
      </c>
      <c r="E402" t="s">
        <v>2</v>
      </c>
      <c r="F402" t="s">
        <v>50</v>
      </c>
      <c r="G402" t="s">
        <v>51</v>
      </c>
      <c r="H402" s="6">
        <v>3.97</v>
      </c>
      <c r="I402" t="s">
        <v>52</v>
      </c>
      <c r="J402" t="s">
        <v>121</v>
      </c>
      <c r="K402" t="s">
        <v>54</v>
      </c>
      <c r="L402" t="s">
        <v>55</v>
      </c>
      <c r="O402" t="s">
        <v>122</v>
      </c>
      <c r="P402" t="s">
        <v>123</v>
      </c>
      <c r="Q402" s="6">
        <v>46607.88</v>
      </c>
    </row>
    <row r="403" spans="1:17">
      <c r="A403" t="s">
        <v>911</v>
      </c>
      <c r="B403" s="5">
        <v>46137</v>
      </c>
      <c r="C403" t="s">
        <v>912</v>
      </c>
      <c r="D403" t="s">
        <v>17</v>
      </c>
      <c r="E403" t="s">
        <v>2</v>
      </c>
      <c r="F403" t="s">
        <v>50</v>
      </c>
      <c r="G403" t="s">
        <v>51</v>
      </c>
      <c r="H403" s="6">
        <v>10.09</v>
      </c>
      <c r="I403" t="s">
        <v>52</v>
      </c>
      <c r="J403" t="s">
        <v>121</v>
      </c>
      <c r="K403" t="s">
        <v>54</v>
      </c>
      <c r="L403" t="s">
        <v>55</v>
      </c>
      <c r="O403" t="s">
        <v>122</v>
      </c>
      <c r="P403" t="s">
        <v>123</v>
      </c>
      <c r="Q403" s="6">
        <v>46578.559999999998</v>
      </c>
    </row>
    <row r="404" spans="1:17">
      <c r="A404" t="s">
        <v>913</v>
      </c>
      <c r="B404" s="5">
        <v>46137</v>
      </c>
      <c r="C404" t="s">
        <v>914</v>
      </c>
      <c r="D404" t="s">
        <v>17</v>
      </c>
      <c r="E404" t="s">
        <v>2</v>
      </c>
      <c r="F404" t="s">
        <v>50</v>
      </c>
      <c r="G404" t="s">
        <v>51</v>
      </c>
      <c r="H404" s="6">
        <v>14.19</v>
      </c>
      <c r="I404" t="s">
        <v>52</v>
      </c>
      <c r="J404" t="s">
        <v>53</v>
      </c>
      <c r="K404" t="s">
        <v>54</v>
      </c>
      <c r="L404" t="s">
        <v>55</v>
      </c>
      <c r="O404" t="s">
        <v>56</v>
      </c>
      <c r="P404" t="s">
        <v>57</v>
      </c>
      <c r="Q404" s="6">
        <v>46611.85</v>
      </c>
    </row>
    <row r="405" spans="1:17">
      <c r="A405" t="s">
        <v>915</v>
      </c>
      <c r="B405" s="5">
        <v>46137</v>
      </c>
      <c r="C405" t="s">
        <v>916</v>
      </c>
      <c r="D405" t="s">
        <v>17</v>
      </c>
      <c r="E405" t="s">
        <v>2</v>
      </c>
      <c r="F405" t="s">
        <v>50</v>
      </c>
      <c r="G405" t="s">
        <v>72</v>
      </c>
      <c r="H405" s="6">
        <v>73.290000000000006</v>
      </c>
      <c r="I405" t="s">
        <v>52</v>
      </c>
      <c r="J405" t="s">
        <v>150</v>
      </c>
      <c r="K405" t="s">
        <v>54</v>
      </c>
      <c r="L405" t="s">
        <v>74</v>
      </c>
      <c r="O405" t="s">
        <v>75</v>
      </c>
      <c r="P405" t="s">
        <v>76</v>
      </c>
      <c r="Q405" s="6">
        <v>46489.31</v>
      </c>
    </row>
    <row r="406" spans="1:17">
      <c r="A406" t="s">
        <v>917</v>
      </c>
      <c r="B406" s="5">
        <v>46137</v>
      </c>
      <c r="C406" t="s">
        <v>918</v>
      </c>
      <c r="D406" t="s">
        <v>17</v>
      </c>
      <c r="E406" t="s">
        <v>2</v>
      </c>
      <c r="F406" t="s">
        <v>50</v>
      </c>
      <c r="G406" t="s">
        <v>51</v>
      </c>
      <c r="H406" s="6">
        <v>15.96</v>
      </c>
      <c r="I406" t="s">
        <v>52</v>
      </c>
      <c r="J406" t="s">
        <v>126</v>
      </c>
      <c r="K406" t="s">
        <v>54</v>
      </c>
      <c r="L406" t="s">
        <v>55</v>
      </c>
      <c r="O406" t="s">
        <v>56</v>
      </c>
      <c r="P406" t="s">
        <v>57</v>
      </c>
      <c r="Q406" s="6">
        <v>46562.6</v>
      </c>
    </row>
    <row r="407" spans="1:17">
      <c r="A407" t="s">
        <v>919</v>
      </c>
      <c r="B407" s="5">
        <v>46137</v>
      </c>
      <c r="C407" t="s">
        <v>920</v>
      </c>
      <c r="D407" t="s">
        <v>17</v>
      </c>
      <c r="E407" t="s">
        <v>2</v>
      </c>
      <c r="F407" t="s">
        <v>50</v>
      </c>
      <c r="G407" t="s">
        <v>51</v>
      </c>
      <c r="H407" s="6">
        <v>5.03</v>
      </c>
      <c r="I407" t="s">
        <v>52</v>
      </c>
      <c r="J407" t="s">
        <v>53</v>
      </c>
      <c r="K407" t="s">
        <v>54</v>
      </c>
      <c r="L407" t="s">
        <v>55</v>
      </c>
      <c r="O407" t="s">
        <v>56</v>
      </c>
      <c r="P407" t="s">
        <v>57</v>
      </c>
      <c r="Q407" s="6">
        <v>46602.85</v>
      </c>
    </row>
    <row r="408" spans="1:17">
      <c r="A408" t="s">
        <v>921</v>
      </c>
      <c r="B408" s="5">
        <v>46138</v>
      </c>
      <c r="C408" t="s">
        <v>922</v>
      </c>
      <c r="D408" t="s">
        <v>17</v>
      </c>
      <c r="E408" t="s">
        <v>2</v>
      </c>
      <c r="F408" t="s">
        <v>50</v>
      </c>
      <c r="G408" t="s">
        <v>51</v>
      </c>
      <c r="H408" s="6">
        <v>15.15</v>
      </c>
      <c r="I408" t="s">
        <v>52</v>
      </c>
      <c r="J408" t="s">
        <v>53</v>
      </c>
      <c r="K408" t="s">
        <v>54</v>
      </c>
      <c r="L408" t="s">
        <v>55</v>
      </c>
      <c r="O408" t="s">
        <v>56</v>
      </c>
      <c r="P408" t="s">
        <v>57</v>
      </c>
      <c r="Q408" s="6">
        <v>46323.29</v>
      </c>
    </row>
    <row r="409" spans="1:17">
      <c r="A409" t="s">
        <v>923</v>
      </c>
      <c r="B409" s="5">
        <v>46138</v>
      </c>
      <c r="C409" t="s">
        <v>924</v>
      </c>
      <c r="D409" t="s">
        <v>17</v>
      </c>
      <c r="E409" t="s">
        <v>2</v>
      </c>
      <c r="F409" t="s">
        <v>50</v>
      </c>
      <c r="G409" t="s">
        <v>51</v>
      </c>
      <c r="H409" s="6">
        <v>64.78</v>
      </c>
      <c r="I409" t="s">
        <v>52</v>
      </c>
      <c r="J409" t="s">
        <v>65</v>
      </c>
      <c r="K409" t="s">
        <v>54</v>
      </c>
      <c r="L409" t="s">
        <v>55</v>
      </c>
      <c r="O409" t="s">
        <v>66</v>
      </c>
      <c r="P409" t="s">
        <v>67</v>
      </c>
      <c r="Q409" s="6">
        <v>46338.44</v>
      </c>
    </row>
    <row r="410" spans="1:17">
      <c r="A410" t="s">
        <v>925</v>
      </c>
      <c r="B410" s="5">
        <v>46138</v>
      </c>
      <c r="C410" t="s">
        <v>926</v>
      </c>
      <c r="D410" t="s">
        <v>17</v>
      </c>
      <c r="E410" t="s">
        <v>2</v>
      </c>
      <c r="F410" t="s">
        <v>50</v>
      </c>
      <c r="G410" t="s">
        <v>51</v>
      </c>
      <c r="H410" s="6">
        <v>17.54</v>
      </c>
      <c r="I410" t="s">
        <v>52</v>
      </c>
      <c r="J410" t="s">
        <v>53</v>
      </c>
      <c r="K410" t="s">
        <v>54</v>
      </c>
      <c r="L410" t="s">
        <v>55</v>
      </c>
      <c r="O410" t="s">
        <v>56</v>
      </c>
      <c r="P410" t="s">
        <v>57</v>
      </c>
      <c r="Q410" s="6">
        <v>46305.75</v>
      </c>
    </row>
    <row r="411" spans="1:17">
      <c r="A411" t="s">
        <v>927</v>
      </c>
      <c r="B411" s="5">
        <v>46138</v>
      </c>
      <c r="C411" t="s">
        <v>928</v>
      </c>
      <c r="D411" t="s">
        <v>17</v>
      </c>
      <c r="E411" t="s">
        <v>2</v>
      </c>
      <c r="F411" t="s">
        <v>50</v>
      </c>
      <c r="G411" t="s">
        <v>100</v>
      </c>
      <c r="H411" s="6">
        <v>17.350000000000001</v>
      </c>
      <c r="I411" t="s">
        <v>52</v>
      </c>
      <c r="J411" t="s">
        <v>114</v>
      </c>
      <c r="K411" t="s">
        <v>54</v>
      </c>
      <c r="L411" t="s">
        <v>102</v>
      </c>
      <c r="O411" t="s">
        <v>103</v>
      </c>
      <c r="P411" t="s">
        <v>104</v>
      </c>
      <c r="Q411" s="6">
        <v>46403.22</v>
      </c>
    </row>
    <row r="412" spans="1:17">
      <c r="A412" t="s">
        <v>929</v>
      </c>
      <c r="B412" s="5">
        <v>46138</v>
      </c>
      <c r="C412" t="s">
        <v>930</v>
      </c>
      <c r="D412" t="s">
        <v>17</v>
      </c>
      <c r="E412" t="s">
        <v>2</v>
      </c>
      <c r="F412" t="s">
        <v>50</v>
      </c>
      <c r="G412" t="s">
        <v>51</v>
      </c>
      <c r="H412" s="6">
        <v>56.43</v>
      </c>
      <c r="I412" t="s">
        <v>52</v>
      </c>
      <c r="J412" t="s">
        <v>81</v>
      </c>
      <c r="K412" t="s">
        <v>54</v>
      </c>
      <c r="L412" t="s">
        <v>55</v>
      </c>
      <c r="O412" t="s">
        <v>82</v>
      </c>
      <c r="P412" t="s">
        <v>83</v>
      </c>
      <c r="Q412" s="6">
        <v>46432.88</v>
      </c>
    </row>
    <row r="413" spans="1:17">
      <c r="A413" t="s">
        <v>931</v>
      </c>
      <c r="B413" s="5">
        <v>46138</v>
      </c>
      <c r="C413" t="s">
        <v>932</v>
      </c>
      <c r="D413" t="s">
        <v>17</v>
      </c>
      <c r="E413" t="s">
        <v>2</v>
      </c>
      <c r="F413" t="s">
        <v>50</v>
      </c>
      <c r="G413" t="s">
        <v>51</v>
      </c>
      <c r="H413" s="6">
        <v>12.31</v>
      </c>
      <c r="I413" t="s">
        <v>52</v>
      </c>
      <c r="J413" t="s">
        <v>53</v>
      </c>
      <c r="K413" t="s">
        <v>54</v>
      </c>
      <c r="L413" t="s">
        <v>55</v>
      </c>
      <c r="O413" t="s">
        <v>56</v>
      </c>
      <c r="P413" t="s">
        <v>57</v>
      </c>
      <c r="Q413" s="6">
        <v>46420.57</v>
      </c>
    </row>
    <row r="414" spans="1:17">
      <c r="A414" t="s">
        <v>933</v>
      </c>
      <c r="B414" s="5">
        <v>46139</v>
      </c>
      <c r="C414" t="s">
        <v>934</v>
      </c>
      <c r="D414" t="s">
        <v>17</v>
      </c>
      <c r="E414" t="s">
        <v>2</v>
      </c>
      <c r="F414" t="s">
        <v>50</v>
      </c>
      <c r="G414" t="s">
        <v>100</v>
      </c>
      <c r="H414" s="6">
        <v>15</v>
      </c>
      <c r="I414" t="s">
        <v>52</v>
      </c>
      <c r="J414" t="s">
        <v>101</v>
      </c>
      <c r="K414" t="s">
        <v>54</v>
      </c>
      <c r="L414" t="s">
        <v>102</v>
      </c>
      <c r="O414" t="s">
        <v>103</v>
      </c>
      <c r="P414" t="s">
        <v>104</v>
      </c>
      <c r="Q414" s="6">
        <v>46193.82</v>
      </c>
    </row>
    <row r="415" spans="1:17">
      <c r="A415" t="s">
        <v>935</v>
      </c>
      <c r="B415" s="5">
        <v>46139</v>
      </c>
      <c r="C415" t="s">
        <v>936</v>
      </c>
      <c r="D415" t="s">
        <v>17</v>
      </c>
      <c r="E415" t="s">
        <v>2</v>
      </c>
      <c r="F415" t="s">
        <v>50</v>
      </c>
      <c r="G415" t="s">
        <v>100</v>
      </c>
      <c r="H415" s="6">
        <v>15.65</v>
      </c>
      <c r="I415" t="s">
        <v>52</v>
      </c>
      <c r="J415" t="s">
        <v>114</v>
      </c>
      <c r="K415" t="s">
        <v>54</v>
      </c>
      <c r="L415" t="s">
        <v>102</v>
      </c>
      <c r="O415" t="s">
        <v>103</v>
      </c>
      <c r="P415" t="s">
        <v>104</v>
      </c>
      <c r="Q415" s="6">
        <v>46165.06</v>
      </c>
    </row>
    <row r="416" spans="1:17">
      <c r="A416" t="s">
        <v>937</v>
      </c>
      <c r="B416" s="5">
        <v>46139</v>
      </c>
      <c r="C416" t="s">
        <v>938</v>
      </c>
      <c r="D416" t="s">
        <v>17</v>
      </c>
      <c r="E416" t="s">
        <v>2</v>
      </c>
      <c r="F416" t="s">
        <v>50</v>
      </c>
      <c r="G416" t="s">
        <v>51</v>
      </c>
      <c r="H416" s="6">
        <v>12.54</v>
      </c>
      <c r="I416" t="s">
        <v>52</v>
      </c>
      <c r="J416" t="s">
        <v>53</v>
      </c>
      <c r="K416" t="s">
        <v>54</v>
      </c>
      <c r="L416" t="s">
        <v>55</v>
      </c>
      <c r="O416" t="s">
        <v>56</v>
      </c>
      <c r="P416" t="s">
        <v>57</v>
      </c>
      <c r="Q416" s="6">
        <v>46137.39</v>
      </c>
    </row>
    <row r="417" spans="1:17">
      <c r="A417" t="s">
        <v>939</v>
      </c>
      <c r="B417" s="5">
        <v>46139</v>
      </c>
      <c r="C417" t="s">
        <v>940</v>
      </c>
      <c r="D417" t="s">
        <v>17</v>
      </c>
      <c r="E417" t="s">
        <v>2</v>
      </c>
      <c r="F417" t="s">
        <v>50</v>
      </c>
      <c r="G417" t="s">
        <v>51</v>
      </c>
      <c r="H417" s="6">
        <v>24.52</v>
      </c>
      <c r="I417" t="s">
        <v>52</v>
      </c>
      <c r="J417" t="s">
        <v>126</v>
      </c>
      <c r="K417" t="s">
        <v>54</v>
      </c>
      <c r="L417" t="s">
        <v>55</v>
      </c>
      <c r="O417" t="s">
        <v>56</v>
      </c>
      <c r="P417" t="s">
        <v>57</v>
      </c>
      <c r="Q417" s="6">
        <v>46208.82</v>
      </c>
    </row>
    <row r="418" spans="1:17">
      <c r="A418" t="s">
        <v>941</v>
      </c>
      <c r="B418" s="5">
        <v>46139</v>
      </c>
      <c r="C418" t="s">
        <v>942</v>
      </c>
      <c r="D418" t="s">
        <v>17</v>
      </c>
      <c r="E418" t="s">
        <v>2</v>
      </c>
      <c r="F418" t="s">
        <v>50</v>
      </c>
      <c r="G418" t="s">
        <v>51</v>
      </c>
      <c r="H418" s="6">
        <v>40.869999999999997</v>
      </c>
      <c r="I418" t="s">
        <v>52</v>
      </c>
      <c r="J418" t="s">
        <v>126</v>
      </c>
      <c r="K418" t="s">
        <v>54</v>
      </c>
      <c r="L418" t="s">
        <v>55</v>
      </c>
      <c r="O418" t="s">
        <v>56</v>
      </c>
      <c r="P418" t="s">
        <v>57</v>
      </c>
      <c r="Q418" s="6">
        <v>46264.88</v>
      </c>
    </row>
    <row r="419" spans="1:17">
      <c r="A419" t="s">
        <v>943</v>
      </c>
      <c r="B419" s="5">
        <v>46139</v>
      </c>
      <c r="C419" t="s">
        <v>944</v>
      </c>
      <c r="D419" t="s">
        <v>17</v>
      </c>
      <c r="E419" t="s">
        <v>2</v>
      </c>
      <c r="F419" t="s">
        <v>50</v>
      </c>
      <c r="G419" t="s">
        <v>100</v>
      </c>
      <c r="H419" s="6">
        <v>13.11</v>
      </c>
      <c r="I419" t="s">
        <v>52</v>
      </c>
      <c r="J419" t="s">
        <v>114</v>
      </c>
      <c r="K419" t="s">
        <v>54</v>
      </c>
      <c r="L419" t="s">
        <v>102</v>
      </c>
      <c r="O419" t="s">
        <v>103</v>
      </c>
      <c r="P419" t="s">
        <v>104</v>
      </c>
      <c r="Q419" s="6">
        <v>46180.71</v>
      </c>
    </row>
    <row r="420" spans="1:17">
      <c r="A420" t="s">
        <v>945</v>
      </c>
      <c r="B420" s="5">
        <v>46139</v>
      </c>
      <c r="C420" t="s">
        <v>946</v>
      </c>
      <c r="D420" t="s">
        <v>17</v>
      </c>
      <c r="E420" t="s">
        <v>2</v>
      </c>
      <c r="F420" t="s">
        <v>50</v>
      </c>
      <c r="G420" t="s">
        <v>100</v>
      </c>
      <c r="H420" s="6">
        <v>15.13</v>
      </c>
      <c r="I420" t="s">
        <v>52</v>
      </c>
      <c r="J420" t="s">
        <v>114</v>
      </c>
      <c r="K420" t="s">
        <v>54</v>
      </c>
      <c r="L420" t="s">
        <v>102</v>
      </c>
      <c r="O420" t="s">
        <v>103</v>
      </c>
      <c r="P420" t="s">
        <v>104</v>
      </c>
      <c r="Q420" s="6">
        <v>46149.93</v>
      </c>
    </row>
    <row r="421" spans="1:17">
      <c r="A421" t="s">
        <v>947</v>
      </c>
      <c r="B421" s="5">
        <v>46139</v>
      </c>
      <c r="C421" t="s">
        <v>948</v>
      </c>
      <c r="D421" t="s">
        <v>17</v>
      </c>
      <c r="E421" t="s">
        <v>2</v>
      </c>
      <c r="F421" t="s">
        <v>50</v>
      </c>
      <c r="G421" t="s">
        <v>51</v>
      </c>
      <c r="H421" s="6">
        <v>31.54</v>
      </c>
      <c r="I421" t="s">
        <v>52</v>
      </c>
      <c r="J421" t="s">
        <v>60</v>
      </c>
      <c r="K421" t="s">
        <v>54</v>
      </c>
      <c r="L421" t="s">
        <v>55</v>
      </c>
      <c r="O421" t="s">
        <v>61</v>
      </c>
      <c r="P421" t="s">
        <v>62</v>
      </c>
      <c r="Q421" s="6">
        <v>46233.34</v>
      </c>
    </row>
    <row r="422" spans="1:17">
      <c r="A422" t="s">
        <v>949</v>
      </c>
      <c r="B422" s="5">
        <v>46140</v>
      </c>
      <c r="C422" t="s">
        <v>950</v>
      </c>
      <c r="D422" t="s">
        <v>17</v>
      </c>
      <c r="E422" t="s">
        <v>2</v>
      </c>
      <c r="F422" t="s">
        <v>50</v>
      </c>
      <c r="G422" t="s">
        <v>51</v>
      </c>
      <c r="H422" s="6">
        <v>5.92</v>
      </c>
      <c r="I422" t="s">
        <v>52</v>
      </c>
      <c r="J422" t="s">
        <v>53</v>
      </c>
      <c r="K422" t="s">
        <v>54</v>
      </c>
      <c r="L422" t="s">
        <v>55</v>
      </c>
      <c r="O422" t="s">
        <v>56</v>
      </c>
      <c r="P422" t="s">
        <v>57</v>
      </c>
      <c r="Q422" s="6">
        <v>45941.11</v>
      </c>
    </row>
    <row r="423" spans="1:17">
      <c r="A423" t="s">
        <v>951</v>
      </c>
      <c r="B423" s="5">
        <v>46140</v>
      </c>
      <c r="C423" t="s">
        <v>952</v>
      </c>
      <c r="D423" t="s">
        <v>17</v>
      </c>
      <c r="E423" t="s">
        <v>2</v>
      </c>
      <c r="F423" t="s">
        <v>50</v>
      </c>
      <c r="G423" t="s">
        <v>51</v>
      </c>
      <c r="H423" s="6">
        <v>37.15</v>
      </c>
      <c r="I423" t="s">
        <v>52</v>
      </c>
      <c r="J423" t="s">
        <v>81</v>
      </c>
      <c r="K423" t="s">
        <v>54</v>
      </c>
      <c r="L423" t="s">
        <v>55</v>
      </c>
      <c r="O423" t="s">
        <v>82</v>
      </c>
      <c r="P423" t="s">
        <v>83</v>
      </c>
      <c r="Q423" s="6">
        <v>46086.37</v>
      </c>
    </row>
    <row r="424" spans="1:17">
      <c r="A424" t="s">
        <v>953</v>
      </c>
      <c r="B424" s="5">
        <v>46140</v>
      </c>
      <c r="C424" t="s">
        <v>954</v>
      </c>
      <c r="D424" t="s">
        <v>17</v>
      </c>
      <c r="E424" t="s">
        <v>2</v>
      </c>
      <c r="F424" t="s">
        <v>50</v>
      </c>
      <c r="G424" t="s">
        <v>51</v>
      </c>
      <c r="H424" s="6">
        <v>56.05</v>
      </c>
      <c r="I424" t="s">
        <v>52</v>
      </c>
      <c r="J424" t="s">
        <v>81</v>
      </c>
      <c r="K424" t="s">
        <v>54</v>
      </c>
      <c r="L424" t="s">
        <v>55</v>
      </c>
      <c r="O424" t="s">
        <v>82</v>
      </c>
      <c r="P424" t="s">
        <v>83</v>
      </c>
      <c r="Q424" s="6">
        <v>45995</v>
      </c>
    </row>
    <row r="425" spans="1:17">
      <c r="A425" t="s">
        <v>955</v>
      </c>
      <c r="B425" s="5">
        <v>46140</v>
      </c>
      <c r="C425" t="s">
        <v>956</v>
      </c>
      <c r="D425" t="s">
        <v>17</v>
      </c>
      <c r="E425" t="s">
        <v>2</v>
      </c>
      <c r="F425" t="s">
        <v>50</v>
      </c>
      <c r="G425" t="s">
        <v>51</v>
      </c>
      <c r="H425" s="6">
        <v>47.97</v>
      </c>
      <c r="I425" t="s">
        <v>52</v>
      </c>
      <c r="J425" t="s">
        <v>196</v>
      </c>
      <c r="K425" t="s">
        <v>54</v>
      </c>
      <c r="L425" t="s">
        <v>55</v>
      </c>
      <c r="O425" t="s">
        <v>197</v>
      </c>
      <c r="P425" t="s">
        <v>198</v>
      </c>
      <c r="Q425" s="6">
        <v>45947.03</v>
      </c>
    </row>
    <row r="426" spans="1:17">
      <c r="A426" t="s">
        <v>957</v>
      </c>
      <c r="B426" s="5">
        <v>46140</v>
      </c>
      <c r="C426" t="s">
        <v>958</v>
      </c>
      <c r="D426" t="s">
        <v>17</v>
      </c>
      <c r="E426" t="s">
        <v>2</v>
      </c>
      <c r="F426" t="s">
        <v>50</v>
      </c>
      <c r="G426" t="s">
        <v>51</v>
      </c>
      <c r="H426" s="6">
        <v>19.62</v>
      </c>
      <c r="I426" t="s">
        <v>52</v>
      </c>
      <c r="J426" t="s">
        <v>126</v>
      </c>
      <c r="K426" t="s">
        <v>54</v>
      </c>
      <c r="L426" t="s">
        <v>55</v>
      </c>
      <c r="O426" t="s">
        <v>56</v>
      </c>
      <c r="P426" t="s">
        <v>57</v>
      </c>
      <c r="Q426" s="6">
        <v>46051.05</v>
      </c>
    </row>
    <row r="427" spans="1:17">
      <c r="A427" t="s">
        <v>959</v>
      </c>
      <c r="B427" s="5">
        <v>46140</v>
      </c>
      <c r="C427" t="s">
        <v>960</v>
      </c>
      <c r="D427" t="s">
        <v>17</v>
      </c>
      <c r="E427" t="s">
        <v>2</v>
      </c>
      <c r="F427" t="s">
        <v>50</v>
      </c>
      <c r="G427" t="s">
        <v>100</v>
      </c>
      <c r="H427" s="6">
        <v>15.7</v>
      </c>
      <c r="I427" t="s">
        <v>52</v>
      </c>
      <c r="J427" t="s">
        <v>114</v>
      </c>
      <c r="K427" t="s">
        <v>54</v>
      </c>
      <c r="L427" t="s">
        <v>102</v>
      </c>
      <c r="O427" t="s">
        <v>103</v>
      </c>
      <c r="P427" t="s">
        <v>104</v>
      </c>
      <c r="Q427" s="6">
        <v>46070.67</v>
      </c>
    </row>
    <row r="428" spans="1:17">
      <c r="A428" t="s">
        <v>961</v>
      </c>
      <c r="B428" s="5">
        <v>46140</v>
      </c>
      <c r="C428" t="s">
        <v>962</v>
      </c>
      <c r="D428" t="s">
        <v>17</v>
      </c>
      <c r="E428" t="s">
        <v>2</v>
      </c>
      <c r="F428" t="s">
        <v>149</v>
      </c>
      <c r="G428" t="s">
        <v>321</v>
      </c>
      <c r="H428" s="6">
        <v>3229.02</v>
      </c>
      <c r="I428" t="s">
        <v>52</v>
      </c>
      <c r="J428" t="s">
        <v>9</v>
      </c>
      <c r="K428" t="s">
        <v>54</v>
      </c>
      <c r="L428" t="s">
        <v>102</v>
      </c>
      <c r="O428" t="s">
        <v>322</v>
      </c>
      <c r="P428" t="s">
        <v>323</v>
      </c>
      <c r="Q428" s="6">
        <v>25941.34</v>
      </c>
    </row>
    <row r="429" spans="1:17">
      <c r="A429" t="s">
        <v>963</v>
      </c>
      <c r="B429" s="5">
        <v>46140</v>
      </c>
      <c r="C429" t="s">
        <v>964</v>
      </c>
      <c r="D429" t="s">
        <v>17</v>
      </c>
      <c r="E429" t="s">
        <v>2</v>
      </c>
      <c r="F429" t="s">
        <v>50</v>
      </c>
      <c r="G429" t="s">
        <v>51</v>
      </c>
      <c r="H429" s="6">
        <v>13.87</v>
      </c>
      <c r="I429" t="s">
        <v>52</v>
      </c>
      <c r="J429" t="s">
        <v>53</v>
      </c>
      <c r="K429" t="s">
        <v>54</v>
      </c>
      <c r="L429" t="s">
        <v>55</v>
      </c>
      <c r="O429" t="s">
        <v>56</v>
      </c>
      <c r="P429" t="s">
        <v>57</v>
      </c>
      <c r="Q429" s="6">
        <v>46123.519999999997</v>
      </c>
    </row>
    <row r="430" spans="1:17">
      <c r="A430" t="s">
        <v>965</v>
      </c>
      <c r="B430" s="5">
        <v>46141</v>
      </c>
      <c r="C430" t="s">
        <v>966</v>
      </c>
      <c r="D430" t="s">
        <v>17</v>
      </c>
      <c r="E430" t="s">
        <v>2</v>
      </c>
      <c r="F430" t="s">
        <v>50</v>
      </c>
      <c r="G430" t="s">
        <v>51</v>
      </c>
      <c r="H430" s="6">
        <v>107.26</v>
      </c>
      <c r="I430" t="s">
        <v>52</v>
      </c>
      <c r="J430" t="s">
        <v>196</v>
      </c>
      <c r="K430" t="s">
        <v>54</v>
      </c>
      <c r="L430" t="s">
        <v>55</v>
      </c>
      <c r="O430" t="s">
        <v>197</v>
      </c>
      <c r="P430" t="s">
        <v>198</v>
      </c>
      <c r="Q430" s="6">
        <v>45442.92</v>
      </c>
    </row>
    <row r="431" spans="1:17">
      <c r="A431" t="s">
        <v>967</v>
      </c>
      <c r="B431" s="5">
        <v>46141</v>
      </c>
      <c r="C431" t="s">
        <v>968</v>
      </c>
      <c r="D431" t="s">
        <v>17</v>
      </c>
      <c r="E431" t="s">
        <v>2</v>
      </c>
      <c r="F431" t="s">
        <v>50</v>
      </c>
      <c r="G431" t="s">
        <v>51</v>
      </c>
      <c r="H431" s="6">
        <v>133.31</v>
      </c>
      <c r="I431" t="s">
        <v>52</v>
      </c>
      <c r="J431" t="s">
        <v>65</v>
      </c>
      <c r="K431" t="s">
        <v>54</v>
      </c>
      <c r="L431" t="s">
        <v>55</v>
      </c>
      <c r="O431" t="s">
        <v>66</v>
      </c>
      <c r="P431" t="s">
        <v>67</v>
      </c>
      <c r="Q431" s="6">
        <v>45550.18</v>
      </c>
    </row>
    <row r="432" spans="1:17">
      <c r="A432" t="s">
        <v>969</v>
      </c>
      <c r="B432" s="5">
        <v>46141</v>
      </c>
      <c r="C432" t="s">
        <v>970</v>
      </c>
      <c r="D432" t="s">
        <v>17</v>
      </c>
      <c r="E432" t="s">
        <v>2</v>
      </c>
      <c r="F432" t="s">
        <v>50</v>
      </c>
      <c r="G432" t="s">
        <v>51</v>
      </c>
      <c r="H432" s="6">
        <v>56.06</v>
      </c>
      <c r="I432" t="s">
        <v>52</v>
      </c>
      <c r="J432" t="s">
        <v>60</v>
      </c>
      <c r="K432" t="s">
        <v>54</v>
      </c>
      <c r="L432" t="s">
        <v>55</v>
      </c>
      <c r="O432" t="s">
        <v>61</v>
      </c>
      <c r="P432" t="s">
        <v>62</v>
      </c>
      <c r="Q432" s="6">
        <v>45854.32</v>
      </c>
    </row>
    <row r="433" spans="1:17">
      <c r="A433" t="s">
        <v>971</v>
      </c>
      <c r="B433" s="5">
        <v>46141</v>
      </c>
      <c r="C433" t="s">
        <v>972</v>
      </c>
      <c r="D433" t="s">
        <v>17</v>
      </c>
      <c r="E433" t="s">
        <v>2</v>
      </c>
      <c r="F433" t="s">
        <v>50</v>
      </c>
      <c r="G433" t="s">
        <v>51</v>
      </c>
      <c r="H433" s="6">
        <v>146.55000000000001</v>
      </c>
      <c r="I433" t="s">
        <v>52</v>
      </c>
      <c r="J433" t="s">
        <v>196</v>
      </c>
      <c r="K433" t="s">
        <v>54</v>
      </c>
      <c r="L433" t="s">
        <v>55</v>
      </c>
      <c r="O433" t="s">
        <v>197</v>
      </c>
      <c r="P433" t="s">
        <v>198</v>
      </c>
      <c r="Q433" s="6">
        <v>45683.49</v>
      </c>
    </row>
    <row r="434" spans="1:17">
      <c r="A434" t="s">
        <v>973</v>
      </c>
      <c r="B434" s="5">
        <v>46141</v>
      </c>
      <c r="C434" t="s">
        <v>974</v>
      </c>
      <c r="D434" t="s">
        <v>17</v>
      </c>
      <c r="E434" t="s">
        <v>2</v>
      </c>
      <c r="F434" t="s">
        <v>50</v>
      </c>
      <c r="G434" t="s">
        <v>51</v>
      </c>
      <c r="H434" s="6">
        <v>30.73</v>
      </c>
      <c r="I434" t="s">
        <v>52</v>
      </c>
      <c r="J434" t="s">
        <v>65</v>
      </c>
      <c r="K434" t="s">
        <v>54</v>
      </c>
      <c r="L434" t="s">
        <v>55</v>
      </c>
      <c r="O434" t="s">
        <v>66</v>
      </c>
      <c r="P434" t="s">
        <v>67</v>
      </c>
      <c r="Q434" s="6">
        <v>45910.38</v>
      </c>
    </row>
    <row r="435" spans="1:17">
      <c r="A435" t="s">
        <v>975</v>
      </c>
      <c r="B435" s="5">
        <v>46141</v>
      </c>
      <c r="C435" t="s">
        <v>976</v>
      </c>
      <c r="D435" t="s">
        <v>17</v>
      </c>
      <c r="E435" t="s">
        <v>2</v>
      </c>
      <c r="F435" t="s">
        <v>50</v>
      </c>
      <c r="G435" t="s">
        <v>72</v>
      </c>
      <c r="H435" s="6">
        <v>167.14</v>
      </c>
      <c r="I435" t="s">
        <v>52</v>
      </c>
      <c r="J435" t="s">
        <v>316</v>
      </c>
      <c r="K435" t="s">
        <v>54</v>
      </c>
      <c r="L435" t="s">
        <v>74</v>
      </c>
      <c r="O435" t="s">
        <v>75</v>
      </c>
      <c r="P435" t="s">
        <v>76</v>
      </c>
      <c r="Q435" s="6">
        <v>45275.78</v>
      </c>
    </row>
    <row r="436" spans="1:17">
      <c r="A436" t="s">
        <v>977</v>
      </c>
      <c r="B436" s="5">
        <v>46141</v>
      </c>
      <c r="C436" t="s">
        <v>978</v>
      </c>
      <c r="D436" t="s">
        <v>17</v>
      </c>
      <c r="E436" t="s">
        <v>2</v>
      </c>
      <c r="F436" t="s">
        <v>50</v>
      </c>
      <c r="G436" t="s">
        <v>51</v>
      </c>
      <c r="H436" s="6">
        <v>24.28</v>
      </c>
      <c r="I436" t="s">
        <v>52</v>
      </c>
      <c r="J436" t="s">
        <v>126</v>
      </c>
      <c r="K436" t="s">
        <v>54</v>
      </c>
      <c r="L436" t="s">
        <v>55</v>
      </c>
      <c r="O436" t="s">
        <v>56</v>
      </c>
      <c r="P436" t="s">
        <v>57</v>
      </c>
      <c r="Q436" s="6">
        <v>45830.04</v>
      </c>
    </row>
    <row r="437" spans="1:17">
      <c r="A437" t="s">
        <v>979</v>
      </c>
      <c r="B437" s="5">
        <v>46142</v>
      </c>
      <c r="C437" t="s">
        <v>980</v>
      </c>
      <c r="D437" t="s">
        <v>17</v>
      </c>
      <c r="E437" t="s">
        <v>2</v>
      </c>
      <c r="F437" t="s">
        <v>50</v>
      </c>
      <c r="G437" t="s">
        <v>72</v>
      </c>
      <c r="H437" s="6">
        <v>169.73</v>
      </c>
      <c r="I437" t="s">
        <v>52</v>
      </c>
      <c r="J437" t="s">
        <v>638</v>
      </c>
      <c r="K437" t="s">
        <v>54</v>
      </c>
      <c r="L437" t="s">
        <v>74</v>
      </c>
      <c r="O437" t="s">
        <v>75</v>
      </c>
      <c r="P437" t="s">
        <v>76</v>
      </c>
      <c r="Q437" s="6">
        <v>44929.22</v>
      </c>
    </row>
    <row r="438" spans="1:17">
      <c r="A438" t="s">
        <v>981</v>
      </c>
      <c r="B438" s="5">
        <v>46142</v>
      </c>
      <c r="C438" t="s">
        <v>982</v>
      </c>
      <c r="D438" t="s">
        <v>17</v>
      </c>
      <c r="E438" t="s">
        <v>2</v>
      </c>
      <c r="F438" t="s">
        <v>50</v>
      </c>
      <c r="G438" t="s">
        <v>51</v>
      </c>
      <c r="H438" s="6">
        <v>19.18</v>
      </c>
      <c r="I438" t="s">
        <v>52</v>
      </c>
      <c r="J438" t="s">
        <v>65</v>
      </c>
      <c r="K438" t="s">
        <v>54</v>
      </c>
      <c r="L438" t="s">
        <v>55</v>
      </c>
      <c r="O438" t="s">
        <v>66</v>
      </c>
      <c r="P438" t="s">
        <v>67</v>
      </c>
      <c r="Q438" s="6">
        <v>45256.6</v>
      </c>
    </row>
    <row r="439" spans="1:17">
      <c r="A439" t="s">
        <v>983</v>
      </c>
      <c r="B439" s="5">
        <v>46142</v>
      </c>
      <c r="C439" t="s">
        <v>984</v>
      </c>
      <c r="D439" t="s">
        <v>17</v>
      </c>
      <c r="E439" t="s">
        <v>2</v>
      </c>
      <c r="F439" t="s">
        <v>50</v>
      </c>
      <c r="G439" t="s">
        <v>51</v>
      </c>
      <c r="H439" s="6">
        <v>8.56</v>
      </c>
      <c r="I439" t="s">
        <v>52</v>
      </c>
      <c r="J439" t="s">
        <v>126</v>
      </c>
      <c r="K439" t="s">
        <v>54</v>
      </c>
      <c r="L439" t="s">
        <v>55</v>
      </c>
      <c r="O439" t="s">
        <v>56</v>
      </c>
      <c r="P439" t="s">
        <v>57</v>
      </c>
      <c r="Q439" s="6">
        <v>45157.11</v>
      </c>
    </row>
    <row r="440" spans="1:17">
      <c r="A440" t="s">
        <v>985</v>
      </c>
      <c r="B440" s="5">
        <v>46142</v>
      </c>
      <c r="C440" t="s">
        <v>986</v>
      </c>
      <c r="D440" t="s">
        <v>17</v>
      </c>
      <c r="E440" t="s">
        <v>2</v>
      </c>
      <c r="F440" t="s">
        <v>50</v>
      </c>
      <c r="G440" t="s">
        <v>100</v>
      </c>
      <c r="H440" s="6">
        <v>14.92</v>
      </c>
      <c r="I440" t="s">
        <v>52</v>
      </c>
      <c r="J440" t="s">
        <v>114</v>
      </c>
      <c r="K440" t="s">
        <v>54</v>
      </c>
      <c r="L440" t="s">
        <v>102</v>
      </c>
      <c r="O440" t="s">
        <v>103</v>
      </c>
      <c r="P440" t="s">
        <v>104</v>
      </c>
      <c r="Q440" s="6">
        <v>45098.95</v>
      </c>
    </row>
    <row r="441" spans="1:17">
      <c r="A441" t="s">
        <v>987</v>
      </c>
      <c r="B441" s="5">
        <v>46142</v>
      </c>
      <c r="C441" t="s">
        <v>988</v>
      </c>
      <c r="D441" t="s">
        <v>17</v>
      </c>
      <c r="E441" t="s">
        <v>2</v>
      </c>
      <c r="F441" t="s">
        <v>50</v>
      </c>
      <c r="G441" t="s">
        <v>51</v>
      </c>
      <c r="H441" s="6">
        <v>43.24</v>
      </c>
      <c r="I441" t="s">
        <v>52</v>
      </c>
      <c r="J441" t="s">
        <v>196</v>
      </c>
      <c r="K441" t="s">
        <v>54</v>
      </c>
      <c r="L441" t="s">
        <v>55</v>
      </c>
      <c r="O441" t="s">
        <v>197</v>
      </c>
      <c r="P441" t="s">
        <v>198</v>
      </c>
      <c r="Q441" s="6">
        <v>45113.87</v>
      </c>
    </row>
    <row r="442" spans="1:17">
      <c r="A442" t="s">
        <v>989</v>
      </c>
      <c r="B442" s="5">
        <v>46142</v>
      </c>
      <c r="C442" t="s">
        <v>990</v>
      </c>
      <c r="D442" t="s">
        <v>17</v>
      </c>
      <c r="E442" t="s">
        <v>2</v>
      </c>
      <c r="F442" t="s">
        <v>50</v>
      </c>
      <c r="G442" t="s">
        <v>51</v>
      </c>
      <c r="H442" s="6">
        <v>42.04</v>
      </c>
      <c r="I442" t="s">
        <v>52</v>
      </c>
      <c r="J442" t="s">
        <v>126</v>
      </c>
      <c r="K442" t="s">
        <v>54</v>
      </c>
      <c r="L442" t="s">
        <v>55</v>
      </c>
      <c r="O442" t="s">
        <v>56</v>
      </c>
      <c r="P442" t="s">
        <v>57</v>
      </c>
      <c r="Q442" s="6">
        <v>45204.2</v>
      </c>
    </row>
    <row r="443" spans="1:17">
      <c r="A443" t="s">
        <v>991</v>
      </c>
      <c r="B443" s="5">
        <v>46142</v>
      </c>
      <c r="C443" t="s">
        <v>992</v>
      </c>
      <c r="D443" t="s">
        <v>17</v>
      </c>
      <c r="E443" t="s">
        <v>2</v>
      </c>
      <c r="F443" t="s">
        <v>50</v>
      </c>
      <c r="G443" t="s">
        <v>51</v>
      </c>
      <c r="H443" s="6">
        <v>38.53</v>
      </c>
      <c r="I443" t="s">
        <v>52</v>
      </c>
      <c r="J443" t="s">
        <v>60</v>
      </c>
      <c r="K443" t="s">
        <v>54</v>
      </c>
      <c r="L443" t="s">
        <v>55</v>
      </c>
      <c r="O443" t="s">
        <v>61</v>
      </c>
      <c r="P443" t="s">
        <v>62</v>
      </c>
      <c r="Q443" s="6">
        <v>45165.67</v>
      </c>
    </row>
    <row r="444" spans="1:17">
      <c r="A444" t="s">
        <v>993</v>
      </c>
      <c r="B444" s="5">
        <v>46142</v>
      </c>
      <c r="C444" t="s">
        <v>994</v>
      </c>
      <c r="D444" t="s">
        <v>17</v>
      </c>
      <c r="E444" t="s">
        <v>2</v>
      </c>
      <c r="F444" t="s">
        <v>50</v>
      </c>
      <c r="G444" t="s">
        <v>51</v>
      </c>
      <c r="H444" s="6">
        <v>10.36</v>
      </c>
      <c r="I444" t="s">
        <v>52</v>
      </c>
      <c r="J444" t="s">
        <v>53</v>
      </c>
      <c r="K444" t="s">
        <v>54</v>
      </c>
      <c r="L444" t="s">
        <v>55</v>
      </c>
      <c r="O444" t="s">
        <v>56</v>
      </c>
      <c r="P444" t="s">
        <v>57</v>
      </c>
      <c r="Q444" s="6">
        <v>45246.239999999998</v>
      </c>
    </row>
    <row r="445" spans="1:17">
      <c r="A445" t="s">
        <v>995</v>
      </c>
      <c r="B445" s="5">
        <v>46143</v>
      </c>
      <c r="C445" t="s">
        <v>996</v>
      </c>
      <c r="D445" t="s">
        <v>17</v>
      </c>
      <c r="E445" t="s">
        <v>2</v>
      </c>
      <c r="F445" t="s">
        <v>50</v>
      </c>
      <c r="G445" t="s">
        <v>51</v>
      </c>
      <c r="H445" s="6">
        <v>23.7</v>
      </c>
      <c r="I445" t="s">
        <v>52</v>
      </c>
      <c r="J445" t="s">
        <v>81</v>
      </c>
      <c r="K445" t="s">
        <v>54</v>
      </c>
      <c r="L445" t="s">
        <v>55</v>
      </c>
      <c r="O445" t="s">
        <v>82</v>
      </c>
      <c r="P445" t="s">
        <v>83</v>
      </c>
      <c r="Q445" s="6">
        <v>44905.52</v>
      </c>
    </row>
    <row r="446" spans="1:17">
      <c r="A446" t="s">
        <v>997</v>
      </c>
      <c r="B446" s="5">
        <v>46143</v>
      </c>
      <c r="C446" t="s">
        <v>998</v>
      </c>
      <c r="D446" t="s">
        <v>17</v>
      </c>
      <c r="E446" t="s">
        <v>2</v>
      </c>
      <c r="F446" t="s">
        <v>50</v>
      </c>
      <c r="G446" t="s">
        <v>51</v>
      </c>
      <c r="H446" s="6">
        <v>44.02</v>
      </c>
      <c r="I446" t="s">
        <v>52</v>
      </c>
      <c r="J446" t="s">
        <v>81</v>
      </c>
      <c r="K446" t="s">
        <v>54</v>
      </c>
      <c r="L446" t="s">
        <v>55</v>
      </c>
      <c r="O446" t="s">
        <v>82</v>
      </c>
      <c r="P446" t="s">
        <v>83</v>
      </c>
      <c r="Q446" s="6">
        <v>44861.5</v>
      </c>
    </row>
    <row r="447" spans="1:17">
      <c r="A447" t="s">
        <v>999</v>
      </c>
      <c r="B447" s="5">
        <v>46143</v>
      </c>
      <c r="C447" t="s">
        <v>1000</v>
      </c>
      <c r="D447" t="s">
        <v>17</v>
      </c>
      <c r="E447" t="s">
        <v>2</v>
      </c>
      <c r="F447" t="s">
        <v>50</v>
      </c>
      <c r="G447" t="s">
        <v>51</v>
      </c>
      <c r="H447" s="6">
        <v>51</v>
      </c>
      <c r="I447" t="s">
        <v>52</v>
      </c>
      <c r="J447" t="s">
        <v>196</v>
      </c>
      <c r="K447" t="s">
        <v>54</v>
      </c>
      <c r="L447" t="s">
        <v>55</v>
      </c>
      <c r="O447" t="s">
        <v>197</v>
      </c>
      <c r="P447" t="s">
        <v>198</v>
      </c>
      <c r="Q447" s="6">
        <v>44781.84</v>
      </c>
    </row>
    <row r="448" spans="1:17">
      <c r="A448" t="s">
        <v>1001</v>
      </c>
      <c r="B448" s="5">
        <v>46143</v>
      </c>
      <c r="C448" t="s">
        <v>1002</v>
      </c>
      <c r="D448" t="s">
        <v>17</v>
      </c>
      <c r="E448" t="s">
        <v>2</v>
      </c>
      <c r="F448" t="s">
        <v>50</v>
      </c>
      <c r="G448" t="s">
        <v>100</v>
      </c>
      <c r="H448" s="6">
        <v>23.69</v>
      </c>
      <c r="I448" t="s">
        <v>52</v>
      </c>
      <c r="J448" t="s">
        <v>114</v>
      </c>
      <c r="K448" t="s">
        <v>54</v>
      </c>
      <c r="L448" t="s">
        <v>102</v>
      </c>
      <c r="O448" t="s">
        <v>103</v>
      </c>
      <c r="P448" t="s">
        <v>104</v>
      </c>
      <c r="Q448" s="6">
        <v>44743.15</v>
      </c>
    </row>
    <row r="449" spans="1:17">
      <c r="A449" t="s">
        <v>1003</v>
      </c>
      <c r="B449" s="5">
        <v>46143</v>
      </c>
      <c r="C449" t="s">
        <v>1004</v>
      </c>
      <c r="D449" t="s">
        <v>17</v>
      </c>
      <c r="E449" t="s">
        <v>2</v>
      </c>
      <c r="F449" t="s">
        <v>50</v>
      </c>
      <c r="G449" t="s">
        <v>51</v>
      </c>
      <c r="H449" s="6">
        <v>13.66</v>
      </c>
      <c r="I449" t="s">
        <v>52</v>
      </c>
      <c r="J449" t="s">
        <v>53</v>
      </c>
      <c r="K449" t="s">
        <v>54</v>
      </c>
      <c r="L449" t="s">
        <v>55</v>
      </c>
      <c r="O449" t="s">
        <v>56</v>
      </c>
      <c r="P449" t="s">
        <v>57</v>
      </c>
      <c r="Q449" s="6">
        <v>44832.84</v>
      </c>
    </row>
    <row r="450" spans="1:17">
      <c r="A450" t="s">
        <v>1005</v>
      </c>
      <c r="B450" s="5">
        <v>46143</v>
      </c>
      <c r="C450" t="s">
        <v>1006</v>
      </c>
      <c r="D450" t="s">
        <v>17</v>
      </c>
      <c r="E450" t="s">
        <v>2</v>
      </c>
      <c r="F450" t="s">
        <v>50</v>
      </c>
      <c r="G450" t="s">
        <v>100</v>
      </c>
      <c r="H450" s="6">
        <v>15</v>
      </c>
      <c r="I450" t="s">
        <v>52</v>
      </c>
      <c r="J450" t="s">
        <v>101</v>
      </c>
      <c r="K450" t="s">
        <v>54</v>
      </c>
      <c r="L450" t="s">
        <v>102</v>
      </c>
      <c r="O450" t="s">
        <v>103</v>
      </c>
      <c r="P450" t="s">
        <v>104</v>
      </c>
      <c r="Q450" s="6">
        <v>44766.84</v>
      </c>
    </row>
    <row r="451" spans="1:17">
      <c r="A451" t="s">
        <v>1007</v>
      </c>
      <c r="B451" s="5">
        <v>46143</v>
      </c>
      <c r="C451" t="s">
        <v>1008</v>
      </c>
      <c r="D451" t="s">
        <v>17</v>
      </c>
      <c r="E451" t="s">
        <v>2</v>
      </c>
      <c r="F451" t="s">
        <v>50</v>
      </c>
      <c r="G451" t="s">
        <v>100</v>
      </c>
      <c r="H451" s="6">
        <v>15</v>
      </c>
      <c r="I451" t="s">
        <v>52</v>
      </c>
      <c r="J451" t="s">
        <v>101</v>
      </c>
      <c r="K451" t="s">
        <v>54</v>
      </c>
      <c r="L451" t="s">
        <v>102</v>
      </c>
      <c r="O451" t="s">
        <v>103</v>
      </c>
      <c r="P451" t="s">
        <v>104</v>
      </c>
      <c r="Q451" s="6">
        <v>44846.5</v>
      </c>
    </row>
    <row r="452" spans="1:17">
      <c r="A452" t="s">
        <v>1009</v>
      </c>
      <c r="B452" s="5">
        <v>46144</v>
      </c>
      <c r="C452" t="s">
        <v>1010</v>
      </c>
      <c r="D452" t="s">
        <v>17</v>
      </c>
      <c r="E452" t="s">
        <v>2</v>
      </c>
      <c r="F452" t="s">
        <v>50</v>
      </c>
      <c r="G452" t="s">
        <v>72</v>
      </c>
      <c r="H452" s="6">
        <v>93.09</v>
      </c>
      <c r="I452" t="s">
        <v>52</v>
      </c>
      <c r="J452" t="s">
        <v>638</v>
      </c>
      <c r="K452" t="s">
        <v>54</v>
      </c>
      <c r="L452" t="s">
        <v>74</v>
      </c>
      <c r="O452" t="s">
        <v>75</v>
      </c>
      <c r="P452" t="s">
        <v>76</v>
      </c>
      <c r="Q452" s="6">
        <v>44566.02</v>
      </c>
    </row>
    <row r="453" spans="1:17">
      <c r="A453" t="s">
        <v>1011</v>
      </c>
      <c r="B453" s="5">
        <v>46144</v>
      </c>
      <c r="C453" t="s">
        <v>1012</v>
      </c>
      <c r="D453" t="s">
        <v>17</v>
      </c>
      <c r="E453" t="s">
        <v>2</v>
      </c>
      <c r="F453" t="s">
        <v>50</v>
      </c>
      <c r="G453" t="s">
        <v>100</v>
      </c>
      <c r="H453" s="6">
        <v>15</v>
      </c>
      <c r="I453" t="s">
        <v>52</v>
      </c>
      <c r="J453" t="s">
        <v>101</v>
      </c>
      <c r="K453" t="s">
        <v>54</v>
      </c>
      <c r="L453" t="s">
        <v>102</v>
      </c>
      <c r="O453" t="s">
        <v>103</v>
      </c>
      <c r="P453" t="s">
        <v>104</v>
      </c>
      <c r="Q453" s="6">
        <v>44674.11</v>
      </c>
    </row>
    <row r="454" spans="1:17">
      <c r="A454" t="s">
        <v>1013</v>
      </c>
      <c r="B454" s="5">
        <v>46144</v>
      </c>
      <c r="C454" t="s">
        <v>1014</v>
      </c>
      <c r="D454" t="s">
        <v>17</v>
      </c>
      <c r="E454" t="s">
        <v>2</v>
      </c>
      <c r="F454" t="s">
        <v>50</v>
      </c>
      <c r="G454" t="s">
        <v>100</v>
      </c>
      <c r="H454" s="6">
        <v>12.25</v>
      </c>
      <c r="I454" t="s">
        <v>52</v>
      </c>
      <c r="J454" t="s">
        <v>114</v>
      </c>
      <c r="K454" t="s">
        <v>54</v>
      </c>
      <c r="L454" t="s">
        <v>102</v>
      </c>
      <c r="O454" t="s">
        <v>103</v>
      </c>
      <c r="P454" t="s">
        <v>104</v>
      </c>
      <c r="Q454" s="6">
        <v>44689.11</v>
      </c>
    </row>
    <row r="455" spans="1:17">
      <c r="A455" t="s">
        <v>1015</v>
      </c>
      <c r="B455" s="5">
        <v>46144</v>
      </c>
      <c r="C455" t="s">
        <v>1016</v>
      </c>
      <c r="D455" t="s">
        <v>17</v>
      </c>
      <c r="E455" t="s">
        <v>2</v>
      </c>
      <c r="F455" t="s">
        <v>50</v>
      </c>
      <c r="G455" t="s">
        <v>100</v>
      </c>
      <c r="H455" s="6">
        <v>16.7</v>
      </c>
      <c r="I455" t="s">
        <v>52</v>
      </c>
      <c r="J455" t="s">
        <v>114</v>
      </c>
      <c r="K455" t="s">
        <v>54</v>
      </c>
      <c r="L455" t="s">
        <v>102</v>
      </c>
      <c r="O455" t="s">
        <v>103</v>
      </c>
      <c r="P455" t="s">
        <v>104</v>
      </c>
      <c r="Q455" s="6">
        <v>44726.45</v>
      </c>
    </row>
    <row r="456" spans="1:17">
      <c r="A456" t="s">
        <v>1017</v>
      </c>
      <c r="B456" s="5">
        <v>46144</v>
      </c>
      <c r="C456" t="s">
        <v>1018</v>
      </c>
      <c r="D456" t="s">
        <v>17</v>
      </c>
      <c r="E456" t="s">
        <v>2</v>
      </c>
      <c r="F456" t="s">
        <v>50</v>
      </c>
      <c r="G456" t="s">
        <v>100</v>
      </c>
      <c r="H456" s="6">
        <v>1850</v>
      </c>
      <c r="I456" t="s">
        <v>52</v>
      </c>
      <c r="J456" t="s">
        <v>107</v>
      </c>
      <c r="K456" t="s">
        <v>54</v>
      </c>
      <c r="L456" t="s">
        <v>102</v>
      </c>
      <c r="O456" t="s">
        <v>108</v>
      </c>
      <c r="P456" t="s">
        <v>109</v>
      </c>
      <c r="Q456" s="6">
        <v>44859.69</v>
      </c>
    </row>
    <row r="457" spans="1:17">
      <c r="A457" t="s">
        <v>1019</v>
      </c>
      <c r="B457" s="5">
        <v>46144</v>
      </c>
      <c r="C457" t="s">
        <v>1020</v>
      </c>
      <c r="D457" t="s">
        <v>17</v>
      </c>
      <c r="E457" t="s">
        <v>2</v>
      </c>
      <c r="F457" t="s">
        <v>50</v>
      </c>
      <c r="G457" t="s">
        <v>51</v>
      </c>
      <c r="H457" s="6">
        <v>25.09</v>
      </c>
      <c r="I457" t="s">
        <v>52</v>
      </c>
      <c r="J457" t="s">
        <v>60</v>
      </c>
      <c r="K457" t="s">
        <v>54</v>
      </c>
      <c r="L457" t="s">
        <v>55</v>
      </c>
      <c r="O457" t="s">
        <v>61</v>
      </c>
      <c r="P457" t="s">
        <v>62</v>
      </c>
      <c r="Q457" s="6">
        <v>44701.36</v>
      </c>
    </row>
    <row r="458" spans="1:17">
      <c r="A458" t="s">
        <v>1021</v>
      </c>
      <c r="B458" s="5">
        <v>46144</v>
      </c>
      <c r="C458" t="s">
        <v>1022</v>
      </c>
      <c r="D458" t="s">
        <v>17</v>
      </c>
      <c r="E458" t="s">
        <v>2</v>
      </c>
      <c r="F458" t="s">
        <v>50</v>
      </c>
      <c r="G458" t="s">
        <v>100</v>
      </c>
      <c r="H458" s="6">
        <v>15</v>
      </c>
      <c r="I458" t="s">
        <v>52</v>
      </c>
      <c r="J458" t="s">
        <v>101</v>
      </c>
      <c r="K458" t="s">
        <v>54</v>
      </c>
      <c r="L458" t="s">
        <v>102</v>
      </c>
      <c r="O458" t="s">
        <v>103</v>
      </c>
      <c r="P458" t="s">
        <v>104</v>
      </c>
      <c r="Q458" s="6">
        <v>44659.11</v>
      </c>
    </row>
    <row r="459" spans="1:17">
      <c r="A459" t="s">
        <v>1023</v>
      </c>
      <c r="B459" s="5">
        <v>46145</v>
      </c>
      <c r="C459" t="s">
        <v>1024</v>
      </c>
      <c r="D459" t="s">
        <v>17</v>
      </c>
      <c r="E459" t="s">
        <v>2</v>
      </c>
      <c r="F459" t="s">
        <v>50</v>
      </c>
      <c r="G459" t="s">
        <v>51</v>
      </c>
      <c r="H459" s="6">
        <v>68.290000000000006</v>
      </c>
      <c r="I459" t="s">
        <v>52</v>
      </c>
      <c r="J459" t="s">
        <v>65</v>
      </c>
      <c r="K459" t="s">
        <v>54</v>
      </c>
      <c r="L459" t="s">
        <v>55</v>
      </c>
      <c r="O459" t="s">
        <v>66</v>
      </c>
      <c r="P459" t="s">
        <v>67</v>
      </c>
      <c r="Q459" s="6">
        <v>44497.73</v>
      </c>
    </row>
    <row r="460" spans="1:17">
      <c r="A460" t="s">
        <v>1025</v>
      </c>
      <c r="B460" s="5">
        <v>46145</v>
      </c>
      <c r="C460" t="s">
        <v>1026</v>
      </c>
      <c r="D460" t="s">
        <v>17</v>
      </c>
      <c r="E460" t="s">
        <v>2</v>
      </c>
      <c r="F460" t="s">
        <v>50</v>
      </c>
      <c r="G460" t="s">
        <v>100</v>
      </c>
      <c r="H460" s="6">
        <v>24.91</v>
      </c>
      <c r="I460" t="s">
        <v>52</v>
      </c>
      <c r="J460" t="s">
        <v>114</v>
      </c>
      <c r="K460" t="s">
        <v>54</v>
      </c>
      <c r="L460" t="s">
        <v>102</v>
      </c>
      <c r="O460" t="s">
        <v>103</v>
      </c>
      <c r="P460" t="s">
        <v>104</v>
      </c>
      <c r="Q460" s="6">
        <v>44448.56</v>
      </c>
    </row>
    <row r="461" spans="1:17">
      <c r="A461" t="s">
        <v>1027</v>
      </c>
      <c r="B461" s="5">
        <v>46145</v>
      </c>
      <c r="C461" t="s">
        <v>1028</v>
      </c>
      <c r="D461" t="s">
        <v>17</v>
      </c>
      <c r="E461" t="s">
        <v>2</v>
      </c>
      <c r="F461" t="s">
        <v>50</v>
      </c>
      <c r="G461" t="s">
        <v>51</v>
      </c>
      <c r="H461" s="6">
        <v>10.14</v>
      </c>
      <c r="I461" t="s">
        <v>52</v>
      </c>
      <c r="J461" t="s">
        <v>121</v>
      </c>
      <c r="K461" t="s">
        <v>54</v>
      </c>
      <c r="L461" t="s">
        <v>55</v>
      </c>
      <c r="O461" t="s">
        <v>122</v>
      </c>
      <c r="P461" t="s">
        <v>123</v>
      </c>
      <c r="Q461" s="6">
        <v>44373.85</v>
      </c>
    </row>
    <row r="462" spans="1:17">
      <c r="A462" t="s">
        <v>1029</v>
      </c>
      <c r="B462" s="5">
        <v>46145</v>
      </c>
      <c r="C462" t="s">
        <v>864</v>
      </c>
      <c r="D462" t="s">
        <v>17</v>
      </c>
      <c r="E462" t="s">
        <v>2</v>
      </c>
      <c r="F462" t="s">
        <v>50</v>
      </c>
      <c r="G462" t="s">
        <v>51</v>
      </c>
      <c r="H462" s="6">
        <v>54.46</v>
      </c>
      <c r="I462" t="s">
        <v>52</v>
      </c>
      <c r="J462" t="s">
        <v>65</v>
      </c>
      <c r="K462" t="s">
        <v>54</v>
      </c>
      <c r="L462" t="s">
        <v>55</v>
      </c>
      <c r="O462" t="s">
        <v>66</v>
      </c>
      <c r="P462" t="s">
        <v>67</v>
      </c>
      <c r="Q462" s="6">
        <v>44394.1</v>
      </c>
    </row>
    <row r="463" spans="1:17">
      <c r="A463" t="s">
        <v>1030</v>
      </c>
      <c r="B463" s="5">
        <v>46145</v>
      </c>
      <c r="C463" t="s">
        <v>1031</v>
      </c>
      <c r="D463" t="s">
        <v>17</v>
      </c>
      <c r="E463" t="s">
        <v>2</v>
      </c>
      <c r="F463" t="s">
        <v>50</v>
      </c>
      <c r="G463" t="s">
        <v>51</v>
      </c>
      <c r="H463" s="6">
        <v>24.26</v>
      </c>
      <c r="I463" t="s">
        <v>52</v>
      </c>
      <c r="J463" t="s">
        <v>60</v>
      </c>
      <c r="K463" t="s">
        <v>54</v>
      </c>
      <c r="L463" t="s">
        <v>55</v>
      </c>
      <c r="O463" t="s">
        <v>61</v>
      </c>
      <c r="P463" t="s">
        <v>62</v>
      </c>
      <c r="Q463" s="6">
        <v>44473.47</v>
      </c>
    </row>
    <row r="464" spans="1:17">
      <c r="A464" t="s">
        <v>1032</v>
      </c>
      <c r="B464" s="5">
        <v>46145</v>
      </c>
      <c r="C464" t="s">
        <v>1033</v>
      </c>
      <c r="D464" t="s">
        <v>17</v>
      </c>
      <c r="E464" t="s">
        <v>2</v>
      </c>
      <c r="F464" t="s">
        <v>50</v>
      </c>
      <c r="G464" t="s">
        <v>51</v>
      </c>
      <c r="H464" s="6">
        <v>10.11</v>
      </c>
      <c r="I464" t="s">
        <v>52</v>
      </c>
      <c r="J464" t="s">
        <v>121</v>
      </c>
      <c r="K464" t="s">
        <v>54</v>
      </c>
      <c r="L464" t="s">
        <v>55</v>
      </c>
      <c r="O464" t="s">
        <v>122</v>
      </c>
      <c r="P464" t="s">
        <v>123</v>
      </c>
      <c r="Q464" s="6">
        <v>44383.99</v>
      </c>
    </row>
    <row r="465" spans="1:17">
      <c r="A465" t="s">
        <v>1034</v>
      </c>
      <c r="B465" s="5">
        <v>46145</v>
      </c>
      <c r="C465" t="s">
        <v>1035</v>
      </c>
      <c r="D465" t="s">
        <v>17</v>
      </c>
      <c r="E465" t="s">
        <v>2</v>
      </c>
      <c r="F465" t="s">
        <v>50</v>
      </c>
      <c r="G465" t="s">
        <v>51</v>
      </c>
      <c r="H465" s="6">
        <v>14.17</v>
      </c>
      <c r="I465" t="s">
        <v>52</v>
      </c>
      <c r="J465" t="s">
        <v>81</v>
      </c>
      <c r="K465" t="s">
        <v>54</v>
      </c>
      <c r="L465" t="s">
        <v>55</v>
      </c>
      <c r="O465" t="s">
        <v>82</v>
      </c>
      <c r="P465" t="s">
        <v>83</v>
      </c>
      <c r="Q465" s="6">
        <v>44359.68</v>
      </c>
    </row>
    <row r="466" spans="1:17">
      <c r="A466" t="s">
        <v>1036</v>
      </c>
      <c r="B466" s="5">
        <v>46146</v>
      </c>
      <c r="C466" t="s">
        <v>1037</v>
      </c>
      <c r="D466" t="s">
        <v>17</v>
      </c>
      <c r="E466" t="s">
        <v>2</v>
      </c>
      <c r="F466" t="s">
        <v>50</v>
      </c>
      <c r="G466" t="s">
        <v>51</v>
      </c>
      <c r="H466" s="6">
        <v>48.56</v>
      </c>
      <c r="I466" t="s">
        <v>52</v>
      </c>
      <c r="J466" t="s">
        <v>65</v>
      </c>
      <c r="K466" t="s">
        <v>54</v>
      </c>
      <c r="L466" t="s">
        <v>55</v>
      </c>
      <c r="O466" t="s">
        <v>66</v>
      </c>
      <c r="P466" t="s">
        <v>67</v>
      </c>
      <c r="Q466" s="6">
        <v>44034.89</v>
      </c>
    </row>
    <row r="467" spans="1:17">
      <c r="A467" t="s">
        <v>1038</v>
      </c>
      <c r="B467" s="5">
        <v>46146</v>
      </c>
      <c r="C467" t="s">
        <v>1039</v>
      </c>
      <c r="D467" t="s">
        <v>17</v>
      </c>
      <c r="E467" t="s">
        <v>2</v>
      </c>
      <c r="F467" t="s">
        <v>50</v>
      </c>
      <c r="G467" t="s">
        <v>51</v>
      </c>
      <c r="H467" s="6">
        <v>93.99</v>
      </c>
      <c r="I467" t="s">
        <v>52</v>
      </c>
      <c r="J467" t="s">
        <v>196</v>
      </c>
      <c r="K467" t="s">
        <v>54</v>
      </c>
      <c r="L467" t="s">
        <v>55</v>
      </c>
      <c r="O467" t="s">
        <v>197</v>
      </c>
      <c r="P467" t="s">
        <v>198</v>
      </c>
      <c r="Q467" s="6">
        <v>44107.06</v>
      </c>
    </row>
    <row r="468" spans="1:17">
      <c r="A468" t="s">
        <v>1040</v>
      </c>
      <c r="B468" s="5">
        <v>46146</v>
      </c>
      <c r="C468" t="s">
        <v>1041</v>
      </c>
      <c r="D468" t="s">
        <v>17</v>
      </c>
      <c r="E468" t="s">
        <v>2</v>
      </c>
      <c r="F468" t="s">
        <v>149</v>
      </c>
      <c r="G468" t="s">
        <v>72</v>
      </c>
      <c r="H468" s="6">
        <v>159.55000000000001</v>
      </c>
      <c r="I468" t="s">
        <v>52</v>
      </c>
      <c r="J468" t="s">
        <v>606</v>
      </c>
      <c r="K468" t="s">
        <v>54</v>
      </c>
      <c r="L468" t="s">
        <v>74</v>
      </c>
      <c r="O468" t="s">
        <v>75</v>
      </c>
      <c r="P468" t="s">
        <v>76</v>
      </c>
      <c r="Q468" s="6">
        <v>44194.44</v>
      </c>
    </row>
    <row r="469" spans="1:17">
      <c r="A469" t="s">
        <v>1042</v>
      </c>
      <c r="B469" s="5">
        <v>46146</v>
      </c>
      <c r="C469" t="s">
        <v>1043</v>
      </c>
      <c r="D469" t="s">
        <v>17</v>
      </c>
      <c r="E469" t="s">
        <v>2</v>
      </c>
      <c r="F469" t="s">
        <v>50</v>
      </c>
      <c r="G469" t="s">
        <v>100</v>
      </c>
      <c r="H469" s="6">
        <v>16.36</v>
      </c>
      <c r="I469" t="s">
        <v>52</v>
      </c>
      <c r="J469" t="s">
        <v>114</v>
      </c>
      <c r="K469" t="s">
        <v>54</v>
      </c>
      <c r="L469" t="s">
        <v>102</v>
      </c>
      <c r="O469" t="s">
        <v>103</v>
      </c>
      <c r="P469" t="s">
        <v>104</v>
      </c>
      <c r="Q469" s="6">
        <v>44201.05</v>
      </c>
    </row>
    <row r="470" spans="1:17">
      <c r="A470" t="s">
        <v>1044</v>
      </c>
      <c r="B470" s="5">
        <v>46146</v>
      </c>
      <c r="C470" t="s">
        <v>1045</v>
      </c>
      <c r="D470" t="s">
        <v>17</v>
      </c>
      <c r="E470" t="s">
        <v>2</v>
      </c>
      <c r="F470" t="s">
        <v>50</v>
      </c>
      <c r="G470" t="s">
        <v>51</v>
      </c>
      <c r="H470" s="6">
        <v>23.61</v>
      </c>
      <c r="I470" t="s">
        <v>52</v>
      </c>
      <c r="J470" t="s">
        <v>60</v>
      </c>
      <c r="K470" t="s">
        <v>54</v>
      </c>
      <c r="L470" t="s">
        <v>55</v>
      </c>
      <c r="O470" t="s">
        <v>61</v>
      </c>
      <c r="P470" t="s">
        <v>62</v>
      </c>
      <c r="Q470" s="6">
        <v>44083.45</v>
      </c>
    </row>
    <row r="471" spans="1:17">
      <c r="A471" t="s">
        <v>1046</v>
      </c>
      <c r="B471" s="5">
        <v>46146</v>
      </c>
      <c r="C471" t="s">
        <v>1047</v>
      </c>
      <c r="D471" t="s">
        <v>17</v>
      </c>
      <c r="E471" t="s">
        <v>2</v>
      </c>
      <c r="F471" t="s">
        <v>50</v>
      </c>
      <c r="G471" t="s">
        <v>51</v>
      </c>
      <c r="H471" s="6">
        <v>142.27000000000001</v>
      </c>
      <c r="I471" t="s">
        <v>52</v>
      </c>
      <c r="J471" t="s">
        <v>65</v>
      </c>
      <c r="K471" t="s">
        <v>54</v>
      </c>
      <c r="L471" t="s">
        <v>55</v>
      </c>
      <c r="O471" t="s">
        <v>66</v>
      </c>
      <c r="P471" t="s">
        <v>67</v>
      </c>
      <c r="Q471" s="6">
        <v>44217.41</v>
      </c>
    </row>
    <row r="472" spans="1:17">
      <c r="A472" t="s">
        <v>1048</v>
      </c>
      <c r="B472" s="5">
        <v>46147</v>
      </c>
      <c r="C472" t="s">
        <v>497</v>
      </c>
      <c r="D472" t="s">
        <v>17</v>
      </c>
      <c r="E472" t="s">
        <v>2</v>
      </c>
      <c r="F472" t="s">
        <v>50</v>
      </c>
      <c r="G472" t="s">
        <v>100</v>
      </c>
      <c r="H472" s="6">
        <v>13.26</v>
      </c>
      <c r="I472" t="s">
        <v>52</v>
      </c>
      <c r="J472" t="s">
        <v>114</v>
      </c>
      <c r="K472" t="s">
        <v>54</v>
      </c>
      <c r="L472" t="s">
        <v>102</v>
      </c>
      <c r="O472" t="s">
        <v>103</v>
      </c>
      <c r="P472" t="s">
        <v>104</v>
      </c>
      <c r="Q472" s="6">
        <v>44181.18</v>
      </c>
    </row>
    <row r="473" spans="1:17">
      <c r="A473" t="s">
        <v>1049</v>
      </c>
      <c r="B473" s="5">
        <v>46147</v>
      </c>
      <c r="C473" t="s">
        <v>1050</v>
      </c>
      <c r="D473" t="s">
        <v>17</v>
      </c>
      <c r="E473" t="s">
        <v>2</v>
      </c>
      <c r="F473" t="s">
        <v>50</v>
      </c>
      <c r="G473" t="s">
        <v>51</v>
      </c>
      <c r="H473" s="6">
        <v>20.32</v>
      </c>
      <c r="I473" t="s">
        <v>52</v>
      </c>
      <c r="J473" t="s">
        <v>81</v>
      </c>
      <c r="K473" t="s">
        <v>54</v>
      </c>
      <c r="L473" t="s">
        <v>55</v>
      </c>
      <c r="O473" t="s">
        <v>82</v>
      </c>
      <c r="P473" t="s">
        <v>83</v>
      </c>
      <c r="Q473" s="6">
        <v>44153.58</v>
      </c>
    </row>
    <row r="474" spans="1:17">
      <c r="A474" t="s">
        <v>1051</v>
      </c>
      <c r="B474" s="5">
        <v>46147</v>
      </c>
      <c r="C474" t="s">
        <v>1052</v>
      </c>
      <c r="D474" t="s">
        <v>17</v>
      </c>
      <c r="E474" t="s">
        <v>2</v>
      </c>
      <c r="F474" t="s">
        <v>50</v>
      </c>
      <c r="G474" t="s">
        <v>72</v>
      </c>
      <c r="H474" s="6">
        <v>67.98</v>
      </c>
      <c r="I474" t="s">
        <v>52</v>
      </c>
      <c r="J474" t="s">
        <v>73</v>
      </c>
      <c r="K474" t="s">
        <v>54</v>
      </c>
      <c r="L474" t="s">
        <v>74</v>
      </c>
      <c r="O474" t="s">
        <v>75</v>
      </c>
      <c r="P474" t="s">
        <v>76</v>
      </c>
      <c r="Q474" s="6">
        <v>43825.47</v>
      </c>
    </row>
    <row r="475" spans="1:17">
      <c r="A475" t="s">
        <v>1053</v>
      </c>
      <c r="B475" s="5">
        <v>46147</v>
      </c>
      <c r="C475" t="s">
        <v>1054</v>
      </c>
      <c r="D475" t="s">
        <v>17</v>
      </c>
      <c r="E475" t="s">
        <v>2</v>
      </c>
      <c r="F475" t="s">
        <v>50</v>
      </c>
      <c r="G475" t="s">
        <v>51</v>
      </c>
      <c r="H475" s="6">
        <v>85.61</v>
      </c>
      <c r="I475" t="s">
        <v>52</v>
      </c>
      <c r="J475" t="s">
        <v>196</v>
      </c>
      <c r="K475" t="s">
        <v>54</v>
      </c>
      <c r="L475" t="s">
        <v>55</v>
      </c>
      <c r="O475" t="s">
        <v>197</v>
      </c>
      <c r="P475" t="s">
        <v>198</v>
      </c>
      <c r="Q475" s="6">
        <v>44067.97</v>
      </c>
    </row>
    <row r="476" spans="1:17">
      <c r="A476" t="s">
        <v>1055</v>
      </c>
      <c r="B476" s="5">
        <v>46147</v>
      </c>
      <c r="C476" t="s">
        <v>1056</v>
      </c>
      <c r="D476" t="s">
        <v>17</v>
      </c>
      <c r="E476" t="s">
        <v>2</v>
      </c>
      <c r="F476" t="s">
        <v>50</v>
      </c>
      <c r="G476" t="s">
        <v>51</v>
      </c>
      <c r="H476" s="6">
        <v>7.28</v>
      </c>
      <c r="I476" t="s">
        <v>52</v>
      </c>
      <c r="J476" t="s">
        <v>53</v>
      </c>
      <c r="K476" t="s">
        <v>54</v>
      </c>
      <c r="L476" t="s">
        <v>55</v>
      </c>
      <c r="O476" t="s">
        <v>56</v>
      </c>
      <c r="P476" t="s">
        <v>57</v>
      </c>
      <c r="Q476" s="6">
        <v>44173.9</v>
      </c>
    </row>
    <row r="477" spans="1:17">
      <c r="A477" t="s">
        <v>1057</v>
      </c>
      <c r="B477" s="5">
        <v>46147</v>
      </c>
      <c r="C477" t="s">
        <v>1058</v>
      </c>
      <c r="D477" t="s">
        <v>17</v>
      </c>
      <c r="E477" t="s">
        <v>2</v>
      </c>
      <c r="F477" t="s">
        <v>50</v>
      </c>
      <c r="G477" t="s">
        <v>51</v>
      </c>
      <c r="H477" s="6">
        <v>141.47999999999999</v>
      </c>
      <c r="I477" t="s">
        <v>52</v>
      </c>
      <c r="J477" t="s">
        <v>65</v>
      </c>
      <c r="K477" t="s">
        <v>54</v>
      </c>
      <c r="L477" t="s">
        <v>55</v>
      </c>
      <c r="O477" t="s">
        <v>66</v>
      </c>
      <c r="P477" t="s">
        <v>67</v>
      </c>
      <c r="Q477" s="6">
        <v>43893.45</v>
      </c>
    </row>
    <row r="478" spans="1:17">
      <c r="A478" t="s">
        <v>1059</v>
      </c>
      <c r="B478" s="5">
        <v>46147</v>
      </c>
      <c r="C478" t="s">
        <v>1060</v>
      </c>
      <c r="D478" t="s">
        <v>17</v>
      </c>
      <c r="E478" t="s">
        <v>2</v>
      </c>
      <c r="F478" t="s">
        <v>50</v>
      </c>
      <c r="G478" t="s">
        <v>51</v>
      </c>
      <c r="H478" s="6">
        <v>33.04</v>
      </c>
      <c r="I478" t="s">
        <v>52</v>
      </c>
      <c r="J478" t="s">
        <v>126</v>
      </c>
      <c r="K478" t="s">
        <v>54</v>
      </c>
      <c r="L478" t="s">
        <v>55</v>
      </c>
      <c r="O478" t="s">
        <v>56</v>
      </c>
      <c r="P478" t="s">
        <v>57</v>
      </c>
      <c r="Q478" s="6">
        <v>44034.93</v>
      </c>
    </row>
    <row r="479" spans="1:17">
      <c r="A479" t="s">
        <v>1061</v>
      </c>
      <c r="B479" s="5">
        <v>46148</v>
      </c>
      <c r="C479" t="s">
        <v>1062</v>
      </c>
      <c r="D479" t="s">
        <v>17</v>
      </c>
      <c r="E479" t="s">
        <v>2</v>
      </c>
      <c r="F479" t="s">
        <v>50</v>
      </c>
      <c r="G479" t="s">
        <v>51</v>
      </c>
      <c r="H479" s="6">
        <v>16.010000000000002</v>
      </c>
      <c r="I479" t="s">
        <v>52</v>
      </c>
      <c r="J479" t="s">
        <v>53</v>
      </c>
      <c r="K479" t="s">
        <v>54</v>
      </c>
      <c r="L479" t="s">
        <v>55</v>
      </c>
      <c r="O479" t="s">
        <v>56</v>
      </c>
      <c r="P479" t="s">
        <v>57</v>
      </c>
      <c r="Q479" s="6">
        <v>43809.46</v>
      </c>
    </row>
    <row r="480" spans="1:17">
      <c r="A480" t="s">
        <v>1063</v>
      </c>
      <c r="B480" s="5">
        <v>46148</v>
      </c>
      <c r="C480" t="s">
        <v>1064</v>
      </c>
      <c r="D480" t="s">
        <v>17</v>
      </c>
      <c r="E480" t="s">
        <v>2</v>
      </c>
      <c r="F480" t="s">
        <v>50</v>
      </c>
      <c r="G480" t="s">
        <v>51</v>
      </c>
      <c r="H480" s="6">
        <v>128.94999999999999</v>
      </c>
      <c r="I480" t="s">
        <v>52</v>
      </c>
      <c r="J480" t="s">
        <v>65</v>
      </c>
      <c r="K480" t="s">
        <v>54</v>
      </c>
      <c r="L480" t="s">
        <v>55</v>
      </c>
      <c r="O480" t="s">
        <v>66</v>
      </c>
      <c r="P480" t="s">
        <v>67</v>
      </c>
      <c r="Q480" s="6">
        <v>43478.27</v>
      </c>
    </row>
    <row r="481" spans="1:17">
      <c r="A481" t="s">
        <v>1065</v>
      </c>
      <c r="B481" s="5">
        <v>46148</v>
      </c>
      <c r="C481" t="s">
        <v>1066</v>
      </c>
      <c r="D481" t="s">
        <v>17</v>
      </c>
      <c r="E481" t="s">
        <v>2</v>
      </c>
      <c r="F481" t="s">
        <v>50</v>
      </c>
      <c r="G481" t="s">
        <v>51</v>
      </c>
      <c r="H481" s="6">
        <v>23.54</v>
      </c>
      <c r="I481" t="s">
        <v>52</v>
      </c>
      <c r="J481" t="s">
        <v>126</v>
      </c>
      <c r="K481" t="s">
        <v>54</v>
      </c>
      <c r="L481" t="s">
        <v>55</v>
      </c>
      <c r="O481" t="s">
        <v>56</v>
      </c>
      <c r="P481" t="s">
        <v>57</v>
      </c>
      <c r="Q481" s="6">
        <v>43696.5</v>
      </c>
    </row>
    <row r="482" spans="1:17">
      <c r="A482" t="s">
        <v>1067</v>
      </c>
      <c r="B482" s="5">
        <v>46148</v>
      </c>
      <c r="C482" t="s">
        <v>1068</v>
      </c>
      <c r="D482" t="s">
        <v>17</v>
      </c>
      <c r="E482" t="s">
        <v>2</v>
      </c>
      <c r="F482" t="s">
        <v>50</v>
      </c>
      <c r="G482" t="s">
        <v>51</v>
      </c>
      <c r="H482" s="6">
        <v>68.11</v>
      </c>
      <c r="I482" t="s">
        <v>52</v>
      </c>
      <c r="J482" t="s">
        <v>60</v>
      </c>
      <c r="K482" t="s">
        <v>54</v>
      </c>
      <c r="L482" t="s">
        <v>55</v>
      </c>
      <c r="O482" t="s">
        <v>61</v>
      </c>
      <c r="P482" t="s">
        <v>62</v>
      </c>
      <c r="Q482" s="6">
        <v>43628.39</v>
      </c>
    </row>
    <row r="483" spans="1:17">
      <c r="A483" t="s">
        <v>1069</v>
      </c>
      <c r="B483" s="5">
        <v>46148</v>
      </c>
      <c r="C483" t="s">
        <v>1070</v>
      </c>
      <c r="D483" t="s">
        <v>17</v>
      </c>
      <c r="E483" t="s">
        <v>2</v>
      </c>
      <c r="F483" t="s">
        <v>50</v>
      </c>
      <c r="G483" t="s">
        <v>51</v>
      </c>
      <c r="H483" s="6">
        <v>21.17</v>
      </c>
      <c r="I483" t="s">
        <v>52</v>
      </c>
      <c r="J483" t="s">
        <v>196</v>
      </c>
      <c r="K483" t="s">
        <v>54</v>
      </c>
      <c r="L483" t="s">
        <v>55</v>
      </c>
      <c r="O483" t="s">
        <v>197</v>
      </c>
      <c r="P483" t="s">
        <v>198</v>
      </c>
      <c r="Q483" s="6">
        <v>43607.22</v>
      </c>
    </row>
    <row r="484" spans="1:17">
      <c r="A484" t="s">
        <v>1071</v>
      </c>
      <c r="B484" s="5">
        <v>46148</v>
      </c>
      <c r="C484" t="s">
        <v>1072</v>
      </c>
      <c r="D484" t="s">
        <v>17</v>
      </c>
      <c r="E484" t="s">
        <v>2</v>
      </c>
      <c r="F484" t="s">
        <v>50</v>
      </c>
      <c r="G484" t="s">
        <v>51</v>
      </c>
      <c r="H484" s="6">
        <v>89.42</v>
      </c>
      <c r="I484" t="s">
        <v>52</v>
      </c>
      <c r="J484" t="s">
        <v>65</v>
      </c>
      <c r="K484" t="s">
        <v>54</v>
      </c>
      <c r="L484" t="s">
        <v>55</v>
      </c>
      <c r="O484" t="s">
        <v>66</v>
      </c>
      <c r="P484" t="s">
        <v>67</v>
      </c>
      <c r="Q484" s="6">
        <v>43720.04</v>
      </c>
    </row>
    <row r="485" spans="1:17">
      <c r="A485" t="s">
        <v>1073</v>
      </c>
      <c r="B485" s="5">
        <v>46148</v>
      </c>
      <c r="C485" t="s">
        <v>1074</v>
      </c>
      <c r="D485" t="s">
        <v>17</v>
      </c>
      <c r="E485" t="s">
        <v>2</v>
      </c>
      <c r="F485" t="s">
        <v>50</v>
      </c>
      <c r="G485" t="s">
        <v>100</v>
      </c>
      <c r="H485" s="6">
        <v>129.83000000000001</v>
      </c>
      <c r="I485" t="s">
        <v>52</v>
      </c>
      <c r="J485" t="s">
        <v>177</v>
      </c>
      <c r="K485" t="s">
        <v>54</v>
      </c>
      <c r="L485" t="s">
        <v>102</v>
      </c>
      <c r="O485" t="s">
        <v>178</v>
      </c>
      <c r="P485" t="s">
        <v>179</v>
      </c>
      <c r="Q485" s="6">
        <v>44729.86</v>
      </c>
    </row>
    <row r="486" spans="1:17">
      <c r="A486" t="s">
        <v>1075</v>
      </c>
      <c r="B486" s="5">
        <v>46149</v>
      </c>
      <c r="C486" t="s">
        <v>1076</v>
      </c>
      <c r="D486" t="s">
        <v>17</v>
      </c>
      <c r="E486" t="s">
        <v>2</v>
      </c>
      <c r="F486" t="s">
        <v>50</v>
      </c>
      <c r="G486" t="s">
        <v>100</v>
      </c>
      <c r="H486" s="6">
        <v>15</v>
      </c>
      <c r="I486" t="s">
        <v>52</v>
      </c>
      <c r="J486" t="s">
        <v>101</v>
      </c>
      <c r="K486" t="s">
        <v>54</v>
      </c>
      <c r="L486" t="s">
        <v>102</v>
      </c>
      <c r="O486" t="s">
        <v>103</v>
      </c>
      <c r="P486" t="s">
        <v>104</v>
      </c>
      <c r="Q486" s="6">
        <v>43403.37</v>
      </c>
    </row>
    <row r="487" spans="1:17">
      <c r="A487" t="s">
        <v>1077</v>
      </c>
      <c r="B487" s="5">
        <v>46149</v>
      </c>
      <c r="C487" t="s">
        <v>1078</v>
      </c>
      <c r="D487" t="s">
        <v>17</v>
      </c>
      <c r="E487" t="s">
        <v>2</v>
      </c>
      <c r="F487" t="s">
        <v>50</v>
      </c>
      <c r="G487" t="s">
        <v>51</v>
      </c>
      <c r="H487" s="6">
        <v>44.9</v>
      </c>
      <c r="I487" t="s">
        <v>52</v>
      </c>
      <c r="J487" t="s">
        <v>65</v>
      </c>
      <c r="K487" t="s">
        <v>54</v>
      </c>
      <c r="L487" t="s">
        <v>55</v>
      </c>
      <c r="O487" t="s">
        <v>66</v>
      </c>
      <c r="P487" t="s">
        <v>67</v>
      </c>
      <c r="Q487" s="6">
        <v>43418.37</v>
      </c>
    </row>
    <row r="488" spans="1:17">
      <c r="A488" t="s">
        <v>1079</v>
      </c>
      <c r="B488" s="5">
        <v>46149</v>
      </c>
      <c r="C488" t="s">
        <v>1080</v>
      </c>
      <c r="D488" t="s">
        <v>17</v>
      </c>
      <c r="E488" t="s">
        <v>2</v>
      </c>
      <c r="F488" t="s">
        <v>50</v>
      </c>
      <c r="G488" t="s">
        <v>100</v>
      </c>
      <c r="H488" s="6">
        <v>19.73</v>
      </c>
      <c r="I488" t="s">
        <v>52</v>
      </c>
      <c r="J488" t="s">
        <v>114</v>
      </c>
      <c r="K488" t="s">
        <v>54</v>
      </c>
      <c r="L488" t="s">
        <v>102</v>
      </c>
      <c r="O488" t="s">
        <v>103</v>
      </c>
      <c r="P488" t="s">
        <v>104</v>
      </c>
      <c r="Q488" s="6">
        <v>43273.37</v>
      </c>
    </row>
    <row r="489" spans="1:17">
      <c r="A489" t="s">
        <v>1081</v>
      </c>
      <c r="B489" s="5">
        <v>46149</v>
      </c>
      <c r="C489" t="s">
        <v>1082</v>
      </c>
      <c r="D489" t="s">
        <v>17</v>
      </c>
      <c r="E489" t="s">
        <v>2</v>
      </c>
      <c r="F489" t="s">
        <v>50</v>
      </c>
      <c r="G489" t="s">
        <v>51</v>
      </c>
      <c r="H489" s="6">
        <v>110.27</v>
      </c>
      <c r="I489" t="s">
        <v>52</v>
      </c>
      <c r="J489" t="s">
        <v>196</v>
      </c>
      <c r="K489" t="s">
        <v>54</v>
      </c>
      <c r="L489" t="s">
        <v>55</v>
      </c>
      <c r="O489" t="s">
        <v>197</v>
      </c>
      <c r="P489" t="s">
        <v>198</v>
      </c>
      <c r="Q489" s="6">
        <v>43293.1</v>
      </c>
    </row>
    <row r="490" spans="1:17">
      <c r="A490" t="s">
        <v>1083</v>
      </c>
      <c r="B490" s="5">
        <v>46149</v>
      </c>
      <c r="C490" t="s">
        <v>1084</v>
      </c>
      <c r="D490" t="s">
        <v>17</v>
      </c>
      <c r="E490" t="s">
        <v>2</v>
      </c>
      <c r="F490" t="s">
        <v>50</v>
      </c>
      <c r="G490" t="s">
        <v>100</v>
      </c>
      <c r="H490" s="6">
        <v>15</v>
      </c>
      <c r="I490" t="s">
        <v>52</v>
      </c>
      <c r="J490" t="s">
        <v>101</v>
      </c>
      <c r="K490" t="s">
        <v>54</v>
      </c>
      <c r="L490" t="s">
        <v>102</v>
      </c>
      <c r="O490" t="s">
        <v>103</v>
      </c>
      <c r="P490" t="s">
        <v>104</v>
      </c>
      <c r="Q490" s="6">
        <v>43463.27</v>
      </c>
    </row>
    <row r="491" spans="1:17">
      <c r="A491" t="s">
        <v>1085</v>
      </c>
      <c r="B491" s="5">
        <v>46149</v>
      </c>
      <c r="C491" t="s">
        <v>1086</v>
      </c>
      <c r="D491" t="s">
        <v>17</v>
      </c>
      <c r="E491" t="s">
        <v>2</v>
      </c>
      <c r="F491" t="s">
        <v>50</v>
      </c>
      <c r="G491" t="s">
        <v>100</v>
      </c>
      <c r="H491" s="6">
        <v>23.24</v>
      </c>
      <c r="I491" t="s">
        <v>52</v>
      </c>
      <c r="J491" t="s">
        <v>114</v>
      </c>
      <c r="K491" t="s">
        <v>54</v>
      </c>
      <c r="L491" t="s">
        <v>102</v>
      </c>
      <c r="O491" t="s">
        <v>103</v>
      </c>
      <c r="P491" t="s">
        <v>104</v>
      </c>
      <c r="Q491" s="6">
        <v>43250.13</v>
      </c>
    </row>
    <row r="492" spans="1:17">
      <c r="A492" t="s">
        <v>1087</v>
      </c>
      <c r="B492" s="5">
        <v>46150</v>
      </c>
      <c r="C492" t="s">
        <v>1088</v>
      </c>
      <c r="D492" t="s">
        <v>17</v>
      </c>
      <c r="E492" t="s">
        <v>2</v>
      </c>
      <c r="F492" t="s">
        <v>50</v>
      </c>
      <c r="G492" t="s">
        <v>51</v>
      </c>
      <c r="H492" s="6">
        <v>143.94</v>
      </c>
      <c r="I492" t="s">
        <v>52</v>
      </c>
      <c r="J492" t="s">
        <v>196</v>
      </c>
      <c r="K492" t="s">
        <v>54</v>
      </c>
      <c r="L492" t="s">
        <v>55</v>
      </c>
      <c r="O492" t="s">
        <v>197</v>
      </c>
      <c r="P492" t="s">
        <v>198</v>
      </c>
      <c r="Q492" s="6">
        <v>43028.2</v>
      </c>
    </row>
    <row r="493" spans="1:17">
      <c r="A493" t="s">
        <v>1089</v>
      </c>
      <c r="B493" s="5">
        <v>46150</v>
      </c>
      <c r="C493" t="s">
        <v>1090</v>
      </c>
      <c r="D493" t="s">
        <v>17</v>
      </c>
      <c r="E493" t="s">
        <v>2</v>
      </c>
      <c r="F493" t="s">
        <v>50</v>
      </c>
      <c r="G493" t="s">
        <v>100</v>
      </c>
      <c r="H493" s="6">
        <v>17.32</v>
      </c>
      <c r="I493" t="s">
        <v>52</v>
      </c>
      <c r="J493" t="s">
        <v>114</v>
      </c>
      <c r="K493" t="s">
        <v>54</v>
      </c>
      <c r="L493" t="s">
        <v>102</v>
      </c>
      <c r="O493" t="s">
        <v>103</v>
      </c>
      <c r="P493" t="s">
        <v>104</v>
      </c>
      <c r="Q493" s="6">
        <v>42952.06</v>
      </c>
    </row>
    <row r="494" spans="1:17">
      <c r="A494" t="s">
        <v>1091</v>
      </c>
      <c r="B494" s="5">
        <v>46150</v>
      </c>
      <c r="C494" t="s">
        <v>1092</v>
      </c>
      <c r="D494" t="s">
        <v>17</v>
      </c>
      <c r="E494" t="s">
        <v>2</v>
      </c>
      <c r="F494" t="s">
        <v>50</v>
      </c>
      <c r="G494" t="s">
        <v>88</v>
      </c>
      <c r="H494" s="6">
        <v>200</v>
      </c>
      <c r="I494" t="s">
        <v>52</v>
      </c>
      <c r="J494" t="s">
        <v>89</v>
      </c>
      <c r="K494" t="s">
        <v>54</v>
      </c>
      <c r="L494" t="s">
        <v>90</v>
      </c>
      <c r="M494" t="s">
        <v>91</v>
      </c>
      <c r="N494" t="s">
        <v>12</v>
      </c>
      <c r="O494" t="s">
        <v>92</v>
      </c>
      <c r="P494" t="s">
        <v>93</v>
      </c>
      <c r="Q494" s="6">
        <v>42752.06</v>
      </c>
    </row>
    <row r="495" spans="1:17">
      <c r="A495" t="s">
        <v>1093</v>
      </c>
      <c r="B495" s="5">
        <v>46150</v>
      </c>
      <c r="C495" t="s">
        <v>1094</v>
      </c>
      <c r="D495" t="s">
        <v>17</v>
      </c>
      <c r="E495" t="s">
        <v>2</v>
      </c>
      <c r="F495" t="s">
        <v>50</v>
      </c>
      <c r="G495" t="s">
        <v>51</v>
      </c>
      <c r="H495" s="6">
        <v>8.61</v>
      </c>
      <c r="I495" t="s">
        <v>52</v>
      </c>
      <c r="J495" t="s">
        <v>121</v>
      </c>
      <c r="K495" t="s">
        <v>54</v>
      </c>
      <c r="L495" t="s">
        <v>55</v>
      </c>
      <c r="O495" t="s">
        <v>122</v>
      </c>
      <c r="P495" t="s">
        <v>123</v>
      </c>
      <c r="Q495" s="6">
        <v>43019.59</v>
      </c>
    </row>
    <row r="496" spans="1:17">
      <c r="A496" t="s">
        <v>1095</v>
      </c>
      <c r="B496" s="5">
        <v>46150</v>
      </c>
      <c r="C496" t="s">
        <v>1096</v>
      </c>
      <c r="D496" t="s">
        <v>17</v>
      </c>
      <c r="E496" t="s">
        <v>2</v>
      </c>
      <c r="F496" t="s">
        <v>50</v>
      </c>
      <c r="G496" t="s">
        <v>51</v>
      </c>
      <c r="H496" s="6">
        <v>13.83</v>
      </c>
      <c r="I496" t="s">
        <v>52</v>
      </c>
      <c r="J496" t="s">
        <v>121</v>
      </c>
      <c r="K496" t="s">
        <v>54</v>
      </c>
      <c r="L496" t="s">
        <v>55</v>
      </c>
      <c r="O496" t="s">
        <v>122</v>
      </c>
      <c r="P496" t="s">
        <v>123</v>
      </c>
      <c r="Q496" s="6">
        <v>43005.760000000002</v>
      </c>
    </row>
    <row r="497" spans="1:17">
      <c r="A497" t="s">
        <v>1097</v>
      </c>
      <c r="B497" s="5">
        <v>46150</v>
      </c>
      <c r="C497" t="s">
        <v>1098</v>
      </c>
      <c r="D497" t="s">
        <v>17</v>
      </c>
      <c r="E497" t="s">
        <v>2</v>
      </c>
      <c r="F497" t="s">
        <v>50</v>
      </c>
      <c r="G497" t="s">
        <v>100</v>
      </c>
      <c r="H497" s="6">
        <v>15</v>
      </c>
      <c r="I497" t="s">
        <v>52</v>
      </c>
      <c r="J497" t="s">
        <v>101</v>
      </c>
      <c r="K497" t="s">
        <v>54</v>
      </c>
      <c r="L497" t="s">
        <v>102</v>
      </c>
      <c r="O497" t="s">
        <v>103</v>
      </c>
      <c r="P497" t="s">
        <v>104</v>
      </c>
      <c r="Q497" s="6">
        <v>42969.38</v>
      </c>
    </row>
    <row r="498" spans="1:17">
      <c r="A498" t="s">
        <v>1099</v>
      </c>
      <c r="B498" s="5">
        <v>46150</v>
      </c>
      <c r="C498" t="s">
        <v>1100</v>
      </c>
      <c r="D498" t="s">
        <v>17</v>
      </c>
      <c r="E498" t="s">
        <v>2</v>
      </c>
      <c r="F498" t="s">
        <v>50</v>
      </c>
      <c r="G498" t="s">
        <v>51</v>
      </c>
      <c r="H498" s="6">
        <v>77.989999999999995</v>
      </c>
      <c r="I498" t="s">
        <v>52</v>
      </c>
      <c r="J498" t="s">
        <v>196</v>
      </c>
      <c r="K498" t="s">
        <v>54</v>
      </c>
      <c r="L498" t="s">
        <v>55</v>
      </c>
      <c r="O498" t="s">
        <v>197</v>
      </c>
      <c r="P498" t="s">
        <v>198</v>
      </c>
      <c r="Q498" s="6">
        <v>43172.14</v>
      </c>
    </row>
    <row r="499" spans="1:17">
      <c r="A499" t="s">
        <v>1101</v>
      </c>
      <c r="B499" s="5">
        <v>46150</v>
      </c>
      <c r="C499" t="s">
        <v>1102</v>
      </c>
      <c r="D499" t="s">
        <v>17</v>
      </c>
      <c r="E499" t="s">
        <v>2</v>
      </c>
      <c r="F499" t="s">
        <v>50</v>
      </c>
      <c r="G499" t="s">
        <v>51</v>
      </c>
      <c r="H499" s="6">
        <v>21.38</v>
      </c>
      <c r="I499" t="s">
        <v>52</v>
      </c>
      <c r="J499" t="s">
        <v>81</v>
      </c>
      <c r="K499" t="s">
        <v>54</v>
      </c>
      <c r="L499" t="s">
        <v>55</v>
      </c>
      <c r="O499" t="s">
        <v>82</v>
      </c>
      <c r="P499" t="s">
        <v>83</v>
      </c>
      <c r="Q499" s="6">
        <v>42984.38</v>
      </c>
    </row>
    <row r="500" spans="1:17">
      <c r="A500" t="s">
        <v>1103</v>
      </c>
      <c r="B500" s="5">
        <v>46151</v>
      </c>
      <c r="C500" t="s">
        <v>1104</v>
      </c>
      <c r="D500" t="s">
        <v>17</v>
      </c>
      <c r="E500" t="s">
        <v>2</v>
      </c>
      <c r="F500" t="s">
        <v>50</v>
      </c>
      <c r="G500" t="s">
        <v>51</v>
      </c>
      <c r="H500" s="6">
        <v>18.32</v>
      </c>
      <c r="I500" t="s">
        <v>52</v>
      </c>
      <c r="J500" t="s">
        <v>121</v>
      </c>
      <c r="K500" t="s">
        <v>54</v>
      </c>
      <c r="L500" t="s">
        <v>55</v>
      </c>
      <c r="O500" t="s">
        <v>122</v>
      </c>
      <c r="P500" t="s">
        <v>123</v>
      </c>
      <c r="Q500" s="6">
        <v>42547.53</v>
      </c>
    </row>
    <row r="501" spans="1:17">
      <c r="A501" t="s">
        <v>1105</v>
      </c>
      <c r="B501" s="5">
        <v>46151</v>
      </c>
      <c r="C501" t="s">
        <v>1106</v>
      </c>
      <c r="D501" t="s">
        <v>17</v>
      </c>
      <c r="E501" t="s">
        <v>2</v>
      </c>
      <c r="F501" t="s">
        <v>50</v>
      </c>
      <c r="G501" t="s">
        <v>51</v>
      </c>
      <c r="H501" s="6">
        <v>41.7</v>
      </c>
      <c r="I501" t="s">
        <v>52</v>
      </c>
      <c r="J501" t="s">
        <v>126</v>
      </c>
      <c r="K501" t="s">
        <v>54</v>
      </c>
      <c r="L501" t="s">
        <v>55</v>
      </c>
      <c r="O501" t="s">
        <v>56</v>
      </c>
      <c r="P501" t="s">
        <v>57</v>
      </c>
      <c r="Q501" s="6">
        <v>42710.36</v>
      </c>
    </row>
    <row r="502" spans="1:17">
      <c r="A502" t="s">
        <v>1107</v>
      </c>
      <c r="B502" s="5">
        <v>46151</v>
      </c>
      <c r="C502" t="s">
        <v>1108</v>
      </c>
      <c r="D502" t="s">
        <v>17</v>
      </c>
      <c r="E502" t="s">
        <v>2</v>
      </c>
      <c r="F502" t="s">
        <v>50</v>
      </c>
      <c r="G502" t="s">
        <v>51</v>
      </c>
      <c r="H502" s="6">
        <v>48.22</v>
      </c>
      <c r="I502" t="s">
        <v>52</v>
      </c>
      <c r="J502" t="s">
        <v>60</v>
      </c>
      <c r="K502" t="s">
        <v>54</v>
      </c>
      <c r="L502" t="s">
        <v>55</v>
      </c>
      <c r="O502" t="s">
        <v>61</v>
      </c>
      <c r="P502" t="s">
        <v>62</v>
      </c>
      <c r="Q502" s="6">
        <v>42499.31</v>
      </c>
    </row>
    <row r="503" spans="1:17">
      <c r="A503" t="s">
        <v>1109</v>
      </c>
      <c r="B503" s="5">
        <v>46151</v>
      </c>
      <c r="C503" t="s">
        <v>1110</v>
      </c>
      <c r="D503" t="s">
        <v>17</v>
      </c>
      <c r="E503" t="s">
        <v>2</v>
      </c>
      <c r="F503" t="s">
        <v>149</v>
      </c>
      <c r="G503" t="s">
        <v>72</v>
      </c>
      <c r="H503" s="6">
        <v>93.44</v>
      </c>
      <c r="I503" t="s">
        <v>52</v>
      </c>
      <c r="J503" t="s">
        <v>233</v>
      </c>
      <c r="K503" t="s">
        <v>54</v>
      </c>
      <c r="L503" t="s">
        <v>74</v>
      </c>
      <c r="O503" t="s">
        <v>75</v>
      </c>
      <c r="P503" t="s">
        <v>76</v>
      </c>
      <c r="Q503" s="6">
        <v>42578.96</v>
      </c>
    </row>
    <row r="504" spans="1:17">
      <c r="A504" t="s">
        <v>1111</v>
      </c>
      <c r="B504" s="5">
        <v>46151</v>
      </c>
      <c r="C504" t="s">
        <v>1112</v>
      </c>
      <c r="D504" t="s">
        <v>17</v>
      </c>
      <c r="E504" t="s">
        <v>2</v>
      </c>
      <c r="F504" t="s">
        <v>50</v>
      </c>
      <c r="G504" t="s">
        <v>100</v>
      </c>
      <c r="H504" s="6">
        <v>20.83</v>
      </c>
      <c r="I504" t="s">
        <v>52</v>
      </c>
      <c r="J504" t="s">
        <v>114</v>
      </c>
      <c r="K504" t="s">
        <v>54</v>
      </c>
      <c r="L504" t="s">
        <v>102</v>
      </c>
      <c r="O504" t="s">
        <v>103</v>
      </c>
      <c r="P504" t="s">
        <v>104</v>
      </c>
      <c r="Q504" s="6">
        <v>42565.85</v>
      </c>
    </row>
    <row r="505" spans="1:17">
      <c r="A505" t="s">
        <v>1113</v>
      </c>
      <c r="B505" s="5">
        <v>46151</v>
      </c>
      <c r="C505" t="s">
        <v>1114</v>
      </c>
      <c r="D505" t="s">
        <v>17</v>
      </c>
      <c r="E505" t="s">
        <v>2</v>
      </c>
      <c r="F505" t="s">
        <v>50</v>
      </c>
      <c r="G505" t="s">
        <v>100</v>
      </c>
      <c r="H505" s="6">
        <v>13.79</v>
      </c>
      <c r="I505" t="s">
        <v>52</v>
      </c>
      <c r="J505" t="s">
        <v>114</v>
      </c>
      <c r="K505" t="s">
        <v>54</v>
      </c>
      <c r="L505" t="s">
        <v>102</v>
      </c>
      <c r="O505" t="s">
        <v>103</v>
      </c>
      <c r="P505" t="s">
        <v>104</v>
      </c>
      <c r="Q505" s="6">
        <v>42485.52</v>
      </c>
    </row>
    <row r="506" spans="1:17">
      <c r="A506" t="s">
        <v>1115</v>
      </c>
      <c r="B506" s="5">
        <v>46151</v>
      </c>
      <c r="C506" t="s">
        <v>1116</v>
      </c>
      <c r="D506" t="s">
        <v>17</v>
      </c>
      <c r="E506" t="s">
        <v>2</v>
      </c>
      <c r="F506" t="s">
        <v>50</v>
      </c>
      <c r="G506" t="s">
        <v>51</v>
      </c>
      <c r="H506" s="6">
        <v>18.84</v>
      </c>
      <c r="I506" t="s">
        <v>52</v>
      </c>
      <c r="J506" t="s">
        <v>65</v>
      </c>
      <c r="K506" t="s">
        <v>54</v>
      </c>
      <c r="L506" t="s">
        <v>55</v>
      </c>
      <c r="O506" t="s">
        <v>66</v>
      </c>
      <c r="P506" t="s">
        <v>67</v>
      </c>
      <c r="Q506" s="6">
        <v>42586.68</v>
      </c>
    </row>
    <row r="507" spans="1:17">
      <c r="A507" t="s">
        <v>1117</v>
      </c>
      <c r="B507" s="5">
        <v>46151</v>
      </c>
      <c r="C507" t="s">
        <v>1118</v>
      </c>
      <c r="D507" t="s">
        <v>17</v>
      </c>
      <c r="E507" t="s">
        <v>2</v>
      </c>
      <c r="F507" t="s">
        <v>50</v>
      </c>
      <c r="G507" t="s">
        <v>51</v>
      </c>
      <c r="H507" s="6">
        <v>96.47</v>
      </c>
      <c r="I507" t="s">
        <v>52</v>
      </c>
      <c r="J507" t="s">
        <v>65</v>
      </c>
      <c r="K507" t="s">
        <v>54</v>
      </c>
      <c r="L507" t="s">
        <v>55</v>
      </c>
      <c r="O507" t="s">
        <v>66</v>
      </c>
      <c r="P507" t="s">
        <v>67</v>
      </c>
      <c r="Q507" s="6">
        <v>42605.52</v>
      </c>
    </row>
    <row r="508" spans="1:17">
      <c r="A508" t="s">
        <v>1119</v>
      </c>
      <c r="B508" s="5">
        <v>46151</v>
      </c>
      <c r="C508" t="s">
        <v>1120</v>
      </c>
      <c r="D508" t="s">
        <v>17</v>
      </c>
      <c r="E508" t="s">
        <v>2</v>
      </c>
      <c r="F508" t="s">
        <v>50</v>
      </c>
      <c r="G508" t="s">
        <v>51</v>
      </c>
      <c r="H508" s="6">
        <v>8.3699999999999992</v>
      </c>
      <c r="I508" t="s">
        <v>52</v>
      </c>
      <c r="J508" t="s">
        <v>126</v>
      </c>
      <c r="K508" t="s">
        <v>54</v>
      </c>
      <c r="L508" t="s">
        <v>55</v>
      </c>
      <c r="O508" t="s">
        <v>56</v>
      </c>
      <c r="P508" t="s">
        <v>57</v>
      </c>
      <c r="Q508" s="6">
        <v>42701.99</v>
      </c>
    </row>
    <row r="509" spans="1:17">
      <c r="A509" t="s">
        <v>1121</v>
      </c>
      <c r="B509" s="5">
        <v>46152</v>
      </c>
      <c r="C509" t="s">
        <v>1122</v>
      </c>
      <c r="D509" t="s">
        <v>17</v>
      </c>
      <c r="E509" t="s">
        <v>2</v>
      </c>
      <c r="F509" t="s">
        <v>50</v>
      </c>
      <c r="G509" t="s">
        <v>100</v>
      </c>
      <c r="H509" s="6">
        <v>15</v>
      </c>
      <c r="I509" t="s">
        <v>52</v>
      </c>
      <c r="J509" t="s">
        <v>101</v>
      </c>
      <c r="K509" t="s">
        <v>54</v>
      </c>
      <c r="L509" t="s">
        <v>102</v>
      </c>
      <c r="O509" t="s">
        <v>103</v>
      </c>
      <c r="P509" t="s">
        <v>104</v>
      </c>
      <c r="Q509" s="6">
        <v>42534.09</v>
      </c>
    </row>
    <row r="510" spans="1:17">
      <c r="A510" t="s">
        <v>1123</v>
      </c>
      <c r="B510" s="5">
        <v>46152</v>
      </c>
      <c r="C510" t="s">
        <v>1124</v>
      </c>
      <c r="D510" t="s">
        <v>17</v>
      </c>
      <c r="E510" t="s">
        <v>2</v>
      </c>
      <c r="F510" t="s">
        <v>50</v>
      </c>
      <c r="G510" t="s">
        <v>51</v>
      </c>
      <c r="H510" s="6">
        <v>37.42</v>
      </c>
      <c r="I510" t="s">
        <v>52</v>
      </c>
      <c r="J510" t="s">
        <v>81</v>
      </c>
      <c r="K510" t="s">
        <v>54</v>
      </c>
      <c r="L510" t="s">
        <v>55</v>
      </c>
      <c r="O510" t="s">
        <v>82</v>
      </c>
      <c r="P510" t="s">
        <v>83</v>
      </c>
      <c r="Q510" s="6">
        <v>42449.68</v>
      </c>
    </row>
    <row r="511" spans="1:17">
      <c r="A511" t="s">
        <v>1125</v>
      </c>
      <c r="B511" s="5">
        <v>46152</v>
      </c>
      <c r="C511" t="s">
        <v>1126</v>
      </c>
      <c r="D511" t="s">
        <v>17</v>
      </c>
      <c r="E511" t="s">
        <v>2</v>
      </c>
      <c r="F511" t="s">
        <v>50</v>
      </c>
      <c r="G511" t="s">
        <v>51</v>
      </c>
      <c r="H511" s="6">
        <v>29.87</v>
      </c>
      <c r="I511" t="s">
        <v>52</v>
      </c>
      <c r="J511" t="s">
        <v>65</v>
      </c>
      <c r="K511" t="s">
        <v>54</v>
      </c>
      <c r="L511" t="s">
        <v>55</v>
      </c>
      <c r="O511" t="s">
        <v>66</v>
      </c>
      <c r="P511" t="s">
        <v>67</v>
      </c>
      <c r="Q511" s="6">
        <v>42549.09</v>
      </c>
    </row>
    <row r="512" spans="1:17">
      <c r="A512" t="s">
        <v>1127</v>
      </c>
      <c r="B512" s="5">
        <v>46152</v>
      </c>
      <c r="C512" t="s">
        <v>1128</v>
      </c>
      <c r="D512" t="s">
        <v>17</v>
      </c>
      <c r="E512" t="s">
        <v>2</v>
      </c>
      <c r="F512" t="s">
        <v>50</v>
      </c>
      <c r="G512" t="s">
        <v>51</v>
      </c>
      <c r="H512" s="6">
        <v>46.99</v>
      </c>
      <c r="I512" t="s">
        <v>52</v>
      </c>
      <c r="J512" t="s">
        <v>60</v>
      </c>
      <c r="K512" t="s">
        <v>54</v>
      </c>
      <c r="L512" t="s">
        <v>55</v>
      </c>
      <c r="O512" t="s">
        <v>61</v>
      </c>
      <c r="P512" t="s">
        <v>62</v>
      </c>
      <c r="Q512" s="6">
        <v>42487.1</v>
      </c>
    </row>
    <row r="513" spans="1:17">
      <c r="A513" t="s">
        <v>1129</v>
      </c>
      <c r="B513" s="5">
        <v>46152</v>
      </c>
      <c r="C513" t="s">
        <v>1130</v>
      </c>
      <c r="D513" t="s">
        <v>17</v>
      </c>
      <c r="E513" t="s">
        <v>2</v>
      </c>
      <c r="F513" t="s">
        <v>50</v>
      </c>
      <c r="G513" t="s">
        <v>51</v>
      </c>
      <c r="H513" s="6">
        <v>47.18</v>
      </c>
      <c r="I513" t="s">
        <v>52</v>
      </c>
      <c r="J513" t="s">
        <v>65</v>
      </c>
      <c r="K513" t="s">
        <v>54</v>
      </c>
      <c r="L513" t="s">
        <v>55</v>
      </c>
      <c r="O513" t="s">
        <v>66</v>
      </c>
      <c r="P513" t="s">
        <v>67</v>
      </c>
      <c r="Q513" s="6">
        <v>42402.5</v>
      </c>
    </row>
    <row r="514" spans="1:17">
      <c r="A514" t="s">
        <v>1131</v>
      </c>
      <c r="B514" s="5">
        <v>46153</v>
      </c>
      <c r="C514" t="s">
        <v>1132</v>
      </c>
      <c r="D514" t="s">
        <v>17</v>
      </c>
      <c r="E514" t="s">
        <v>2</v>
      </c>
      <c r="F514" t="s">
        <v>50</v>
      </c>
      <c r="G514" t="s">
        <v>100</v>
      </c>
      <c r="H514" s="6">
        <v>18.45</v>
      </c>
      <c r="I514" t="s">
        <v>52</v>
      </c>
      <c r="J514" t="s">
        <v>114</v>
      </c>
      <c r="K514" t="s">
        <v>54</v>
      </c>
      <c r="L514" t="s">
        <v>102</v>
      </c>
      <c r="O514" t="s">
        <v>103</v>
      </c>
      <c r="P514" t="s">
        <v>104</v>
      </c>
      <c r="Q514" s="6">
        <v>42384.05</v>
      </c>
    </row>
    <row r="515" spans="1:17">
      <c r="A515" t="s">
        <v>1133</v>
      </c>
      <c r="B515" s="5">
        <v>46153</v>
      </c>
      <c r="C515" t="s">
        <v>1134</v>
      </c>
      <c r="D515" t="s">
        <v>17</v>
      </c>
      <c r="E515" t="s">
        <v>2</v>
      </c>
      <c r="F515" t="s">
        <v>50</v>
      </c>
      <c r="G515" t="s">
        <v>51</v>
      </c>
      <c r="H515" s="6">
        <v>7.41</v>
      </c>
      <c r="I515" t="s">
        <v>52</v>
      </c>
      <c r="J515" t="s">
        <v>121</v>
      </c>
      <c r="K515" t="s">
        <v>54</v>
      </c>
      <c r="L515" t="s">
        <v>55</v>
      </c>
      <c r="O515" t="s">
        <v>122</v>
      </c>
      <c r="P515" t="s">
        <v>123</v>
      </c>
      <c r="Q515" s="6">
        <v>42172.29</v>
      </c>
    </row>
    <row r="516" spans="1:17">
      <c r="A516" t="s">
        <v>1135</v>
      </c>
      <c r="B516" s="5">
        <v>46153</v>
      </c>
      <c r="C516" t="s">
        <v>1136</v>
      </c>
      <c r="D516" t="s">
        <v>17</v>
      </c>
      <c r="E516" t="s">
        <v>2</v>
      </c>
      <c r="F516" t="s">
        <v>50</v>
      </c>
      <c r="G516" t="s">
        <v>100</v>
      </c>
      <c r="H516" s="6">
        <v>14.98</v>
      </c>
      <c r="I516" t="s">
        <v>52</v>
      </c>
      <c r="J516" t="s">
        <v>114</v>
      </c>
      <c r="K516" t="s">
        <v>54</v>
      </c>
      <c r="L516" t="s">
        <v>102</v>
      </c>
      <c r="O516" t="s">
        <v>103</v>
      </c>
      <c r="P516" t="s">
        <v>104</v>
      </c>
      <c r="Q516" s="6">
        <v>42226.74</v>
      </c>
    </row>
    <row r="517" spans="1:17">
      <c r="A517" t="s">
        <v>1137</v>
      </c>
      <c r="B517" s="5">
        <v>46153</v>
      </c>
      <c r="C517" t="s">
        <v>1138</v>
      </c>
      <c r="D517" t="s">
        <v>17</v>
      </c>
      <c r="E517" t="s">
        <v>2</v>
      </c>
      <c r="F517" t="s">
        <v>50</v>
      </c>
      <c r="G517" t="s">
        <v>51</v>
      </c>
      <c r="H517" s="6">
        <v>8.81</v>
      </c>
      <c r="I517" t="s">
        <v>52</v>
      </c>
      <c r="J517" t="s">
        <v>81</v>
      </c>
      <c r="K517" t="s">
        <v>54</v>
      </c>
      <c r="L517" t="s">
        <v>55</v>
      </c>
      <c r="O517" t="s">
        <v>82</v>
      </c>
      <c r="P517" t="s">
        <v>83</v>
      </c>
      <c r="Q517" s="6">
        <v>42375.24</v>
      </c>
    </row>
    <row r="518" spans="1:17">
      <c r="A518" t="s">
        <v>1139</v>
      </c>
      <c r="B518" s="5">
        <v>46153</v>
      </c>
      <c r="C518" t="s">
        <v>1140</v>
      </c>
      <c r="D518" t="s">
        <v>17</v>
      </c>
      <c r="E518" t="s">
        <v>2</v>
      </c>
      <c r="F518" t="s">
        <v>50</v>
      </c>
      <c r="G518" t="s">
        <v>51</v>
      </c>
      <c r="H518" s="6">
        <v>20.65</v>
      </c>
      <c r="I518" t="s">
        <v>52</v>
      </c>
      <c r="J518" t="s">
        <v>121</v>
      </c>
      <c r="K518" t="s">
        <v>54</v>
      </c>
      <c r="L518" t="s">
        <v>55</v>
      </c>
      <c r="O518" t="s">
        <v>122</v>
      </c>
      <c r="P518" t="s">
        <v>123</v>
      </c>
      <c r="Q518" s="6">
        <v>42354.59</v>
      </c>
    </row>
    <row r="519" spans="1:17">
      <c r="A519" t="s">
        <v>1141</v>
      </c>
      <c r="B519" s="5">
        <v>46153</v>
      </c>
      <c r="C519" t="s">
        <v>1142</v>
      </c>
      <c r="D519" t="s">
        <v>17</v>
      </c>
      <c r="E519" t="s">
        <v>2</v>
      </c>
      <c r="F519" t="s">
        <v>50</v>
      </c>
      <c r="G519" t="s">
        <v>51</v>
      </c>
      <c r="H519" s="6">
        <v>47.04</v>
      </c>
      <c r="I519" t="s">
        <v>52</v>
      </c>
      <c r="J519" t="s">
        <v>60</v>
      </c>
      <c r="K519" t="s">
        <v>54</v>
      </c>
      <c r="L519" t="s">
        <v>55</v>
      </c>
      <c r="O519" t="s">
        <v>61</v>
      </c>
      <c r="P519" t="s">
        <v>62</v>
      </c>
      <c r="Q519" s="6">
        <v>42179.7</v>
      </c>
    </row>
    <row r="520" spans="1:17">
      <c r="A520" t="s">
        <v>1143</v>
      </c>
      <c r="B520" s="5">
        <v>46153</v>
      </c>
      <c r="C520" t="s">
        <v>1144</v>
      </c>
      <c r="D520" t="s">
        <v>17</v>
      </c>
      <c r="E520" t="s">
        <v>2</v>
      </c>
      <c r="F520" t="s">
        <v>50</v>
      </c>
      <c r="G520" t="s">
        <v>51</v>
      </c>
      <c r="H520" s="6">
        <v>112.87</v>
      </c>
      <c r="I520" t="s">
        <v>52</v>
      </c>
      <c r="J520" t="s">
        <v>196</v>
      </c>
      <c r="K520" t="s">
        <v>54</v>
      </c>
      <c r="L520" t="s">
        <v>55</v>
      </c>
      <c r="O520" t="s">
        <v>197</v>
      </c>
      <c r="P520" t="s">
        <v>198</v>
      </c>
      <c r="Q520" s="6">
        <v>42241.72</v>
      </c>
    </row>
    <row r="521" spans="1:17">
      <c r="A521" t="s">
        <v>1145</v>
      </c>
      <c r="B521" s="5">
        <v>46154</v>
      </c>
      <c r="C521" t="s">
        <v>1146</v>
      </c>
      <c r="D521" t="s">
        <v>17</v>
      </c>
      <c r="E521" t="s">
        <v>2</v>
      </c>
      <c r="F521" t="s">
        <v>50</v>
      </c>
      <c r="G521" t="s">
        <v>51</v>
      </c>
      <c r="H521" s="6">
        <v>5.43</v>
      </c>
      <c r="I521" t="s">
        <v>52</v>
      </c>
      <c r="J521" t="s">
        <v>53</v>
      </c>
      <c r="K521" t="s">
        <v>54</v>
      </c>
      <c r="L521" t="s">
        <v>55</v>
      </c>
      <c r="O521" t="s">
        <v>56</v>
      </c>
      <c r="P521" t="s">
        <v>57</v>
      </c>
      <c r="Q521" s="6">
        <v>42051.74</v>
      </c>
    </row>
    <row r="522" spans="1:17">
      <c r="A522" t="s">
        <v>1147</v>
      </c>
      <c r="B522" s="5">
        <v>46154</v>
      </c>
      <c r="C522" t="s">
        <v>1148</v>
      </c>
      <c r="D522" t="s">
        <v>17</v>
      </c>
      <c r="E522" t="s">
        <v>2</v>
      </c>
      <c r="F522" t="s">
        <v>50</v>
      </c>
      <c r="G522" t="s">
        <v>51</v>
      </c>
      <c r="H522" s="6">
        <v>26.1</v>
      </c>
      <c r="I522" t="s">
        <v>52</v>
      </c>
      <c r="J522" t="s">
        <v>60</v>
      </c>
      <c r="K522" t="s">
        <v>54</v>
      </c>
      <c r="L522" t="s">
        <v>55</v>
      </c>
      <c r="O522" t="s">
        <v>61</v>
      </c>
      <c r="P522" t="s">
        <v>62</v>
      </c>
      <c r="Q522" s="6">
        <v>42117.02</v>
      </c>
    </row>
    <row r="523" spans="1:17">
      <c r="A523" t="s">
        <v>1149</v>
      </c>
      <c r="B523" s="5">
        <v>46154</v>
      </c>
      <c r="C523" t="s">
        <v>1150</v>
      </c>
      <c r="D523" t="s">
        <v>17</v>
      </c>
      <c r="E523" t="s">
        <v>2</v>
      </c>
      <c r="F523" t="s">
        <v>50</v>
      </c>
      <c r="G523" t="s">
        <v>51</v>
      </c>
      <c r="H523" s="6">
        <v>9.5399999999999991</v>
      </c>
      <c r="I523" t="s">
        <v>52</v>
      </c>
      <c r="J523" t="s">
        <v>81</v>
      </c>
      <c r="K523" t="s">
        <v>54</v>
      </c>
      <c r="L523" t="s">
        <v>55</v>
      </c>
      <c r="O523" t="s">
        <v>82</v>
      </c>
      <c r="P523" t="s">
        <v>83</v>
      </c>
      <c r="Q523" s="6">
        <v>42162.75</v>
      </c>
    </row>
    <row r="524" spans="1:17">
      <c r="A524" t="s">
        <v>1151</v>
      </c>
      <c r="B524" s="5">
        <v>46154</v>
      </c>
      <c r="C524" t="s">
        <v>1152</v>
      </c>
      <c r="D524" t="s">
        <v>17</v>
      </c>
      <c r="E524" t="s">
        <v>2</v>
      </c>
      <c r="F524" t="s">
        <v>50</v>
      </c>
      <c r="G524" t="s">
        <v>51</v>
      </c>
      <c r="H524" s="6">
        <v>22.26</v>
      </c>
      <c r="I524" t="s">
        <v>52</v>
      </c>
      <c r="J524" t="s">
        <v>60</v>
      </c>
      <c r="K524" t="s">
        <v>54</v>
      </c>
      <c r="L524" t="s">
        <v>55</v>
      </c>
      <c r="O524" t="s">
        <v>61</v>
      </c>
      <c r="P524" t="s">
        <v>62</v>
      </c>
      <c r="Q524" s="6">
        <v>42057.17</v>
      </c>
    </row>
    <row r="525" spans="1:17">
      <c r="A525" t="s">
        <v>1153</v>
      </c>
      <c r="B525" s="5">
        <v>46154</v>
      </c>
      <c r="C525" t="s">
        <v>1154</v>
      </c>
      <c r="D525" t="s">
        <v>17</v>
      </c>
      <c r="E525" t="s">
        <v>2</v>
      </c>
      <c r="F525" t="s">
        <v>50</v>
      </c>
      <c r="G525" t="s">
        <v>51</v>
      </c>
      <c r="H525" s="6">
        <v>4.63</v>
      </c>
      <c r="I525" t="s">
        <v>52</v>
      </c>
      <c r="J525" t="s">
        <v>121</v>
      </c>
      <c r="K525" t="s">
        <v>54</v>
      </c>
      <c r="L525" t="s">
        <v>55</v>
      </c>
      <c r="O525" t="s">
        <v>122</v>
      </c>
      <c r="P525" t="s">
        <v>123</v>
      </c>
      <c r="Q525" s="6">
        <v>42143.12</v>
      </c>
    </row>
    <row r="526" spans="1:17">
      <c r="A526" t="s">
        <v>1155</v>
      </c>
      <c r="B526" s="5">
        <v>46154</v>
      </c>
      <c r="C526" t="s">
        <v>1156</v>
      </c>
      <c r="D526" t="s">
        <v>17</v>
      </c>
      <c r="E526" t="s">
        <v>2</v>
      </c>
      <c r="F526" t="s">
        <v>50</v>
      </c>
      <c r="G526" t="s">
        <v>51</v>
      </c>
      <c r="H526" s="6">
        <v>37.590000000000003</v>
      </c>
      <c r="I526" t="s">
        <v>52</v>
      </c>
      <c r="J526" t="s">
        <v>126</v>
      </c>
      <c r="K526" t="s">
        <v>54</v>
      </c>
      <c r="L526" t="s">
        <v>55</v>
      </c>
      <c r="O526" t="s">
        <v>56</v>
      </c>
      <c r="P526" t="s">
        <v>57</v>
      </c>
      <c r="Q526" s="6">
        <v>42079.43</v>
      </c>
    </row>
    <row r="527" spans="1:17">
      <c r="A527" t="s">
        <v>1157</v>
      </c>
      <c r="B527" s="5">
        <v>46154</v>
      </c>
      <c r="C527" t="s">
        <v>1158</v>
      </c>
      <c r="D527" t="s">
        <v>17</v>
      </c>
      <c r="E527" t="s">
        <v>2</v>
      </c>
      <c r="F527" t="s">
        <v>149</v>
      </c>
      <c r="G527" t="s">
        <v>72</v>
      </c>
      <c r="H527" s="6">
        <v>115.51</v>
      </c>
      <c r="I527" t="s">
        <v>52</v>
      </c>
      <c r="J527" t="s">
        <v>233</v>
      </c>
      <c r="K527" t="s">
        <v>54</v>
      </c>
      <c r="L527" t="s">
        <v>74</v>
      </c>
      <c r="O527" t="s">
        <v>75</v>
      </c>
      <c r="P527" t="s">
        <v>76</v>
      </c>
      <c r="Q527" s="6">
        <v>42152.25</v>
      </c>
    </row>
    <row r="528" spans="1:17">
      <c r="A528" t="s">
        <v>1159</v>
      </c>
      <c r="B528" s="5">
        <v>46154</v>
      </c>
      <c r="C528" t="s">
        <v>1160</v>
      </c>
      <c r="D528" t="s">
        <v>17</v>
      </c>
      <c r="E528" t="s">
        <v>2</v>
      </c>
      <c r="F528" t="s">
        <v>50</v>
      </c>
      <c r="G528" t="s">
        <v>100</v>
      </c>
      <c r="H528" s="6">
        <v>15</v>
      </c>
      <c r="I528" t="s">
        <v>52</v>
      </c>
      <c r="J528" t="s">
        <v>101</v>
      </c>
      <c r="K528" t="s">
        <v>54</v>
      </c>
      <c r="L528" t="s">
        <v>102</v>
      </c>
      <c r="O528" t="s">
        <v>103</v>
      </c>
      <c r="P528" t="s">
        <v>104</v>
      </c>
      <c r="Q528" s="6">
        <v>42147.75</v>
      </c>
    </row>
    <row r="529" spans="1:17">
      <c r="A529" t="s">
        <v>1161</v>
      </c>
      <c r="B529" s="5">
        <v>46154</v>
      </c>
      <c r="C529" t="s">
        <v>1162</v>
      </c>
      <c r="D529" t="s">
        <v>17</v>
      </c>
      <c r="E529" t="s">
        <v>2</v>
      </c>
      <c r="F529" t="s">
        <v>50</v>
      </c>
      <c r="G529" t="s">
        <v>88</v>
      </c>
      <c r="H529" s="6">
        <v>100</v>
      </c>
      <c r="I529" t="s">
        <v>52</v>
      </c>
      <c r="J529" t="s">
        <v>89</v>
      </c>
      <c r="K529" t="s">
        <v>54</v>
      </c>
      <c r="L529" t="s">
        <v>90</v>
      </c>
      <c r="M529" t="s">
        <v>91</v>
      </c>
      <c r="N529" t="s">
        <v>12</v>
      </c>
      <c r="O529" t="s">
        <v>92</v>
      </c>
      <c r="P529" t="s">
        <v>93</v>
      </c>
      <c r="Q529" s="6">
        <v>42052.25</v>
      </c>
    </row>
    <row r="530" spans="1:17">
      <c r="A530" t="s">
        <v>1163</v>
      </c>
      <c r="B530" s="5">
        <v>46154</v>
      </c>
      <c r="C530" t="s">
        <v>1164</v>
      </c>
      <c r="D530" t="s">
        <v>17</v>
      </c>
      <c r="E530" t="s">
        <v>2</v>
      </c>
      <c r="F530" t="s">
        <v>50</v>
      </c>
      <c r="G530" t="s">
        <v>100</v>
      </c>
      <c r="H530" s="6">
        <v>15</v>
      </c>
      <c r="I530" t="s">
        <v>52</v>
      </c>
      <c r="J530" t="s">
        <v>101</v>
      </c>
      <c r="K530" t="s">
        <v>54</v>
      </c>
      <c r="L530" t="s">
        <v>102</v>
      </c>
      <c r="O530" t="s">
        <v>103</v>
      </c>
      <c r="P530" t="s">
        <v>104</v>
      </c>
      <c r="Q530" s="6">
        <v>42036.74</v>
      </c>
    </row>
    <row r="531" spans="1:17">
      <c r="A531" t="s">
        <v>1165</v>
      </c>
      <c r="B531" s="5">
        <v>46155</v>
      </c>
      <c r="C531" t="s">
        <v>1166</v>
      </c>
      <c r="D531" t="s">
        <v>17</v>
      </c>
      <c r="E531" t="s">
        <v>2</v>
      </c>
      <c r="F531" t="s">
        <v>50</v>
      </c>
      <c r="G531" t="s">
        <v>100</v>
      </c>
      <c r="H531" s="6">
        <v>15</v>
      </c>
      <c r="I531" t="s">
        <v>52</v>
      </c>
      <c r="J531" t="s">
        <v>101</v>
      </c>
      <c r="K531" t="s">
        <v>54</v>
      </c>
      <c r="L531" t="s">
        <v>102</v>
      </c>
      <c r="O531" t="s">
        <v>103</v>
      </c>
      <c r="P531" t="s">
        <v>104</v>
      </c>
      <c r="Q531" s="6">
        <v>41951.040000000001</v>
      </c>
    </row>
    <row r="532" spans="1:17">
      <c r="A532" t="s">
        <v>1167</v>
      </c>
      <c r="B532" s="5">
        <v>46155</v>
      </c>
      <c r="C532" t="s">
        <v>1168</v>
      </c>
      <c r="D532" t="s">
        <v>17</v>
      </c>
      <c r="E532" t="s">
        <v>2</v>
      </c>
      <c r="F532" t="s">
        <v>50</v>
      </c>
      <c r="G532" t="s">
        <v>51</v>
      </c>
      <c r="H532" s="6">
        <v>40.06</v>
      </c>
      <c r="I532" t="s">
        <v>52</v>
      </c>
      <c r="J532" t="s">
        <v>60</v>
      </c>
      <c r="K532" t="s">
        <v>54</v>
      </c>
      <c r="L532" t="s">
        <v>55</v>
      </c>
      <c r="O532" t="s">
        <v>61</v>
      </c>
      <c r="P532" t="s">
        <v>62</v>
      </c>
      <c r="Q532" s="6">
        <v>41966.04</v>
      </c>
    </row>
    <row r="533" spans="1:17">
      <c r="A533" t="s">
        <v>1169</v>
      </c>
      <c r="B533" s="5">
        <v>46155</v>
      </c>
      <c r="C533" t="s">
        <v>1170</v>
      </c>
      <c r="D533" t="s">
        <v>17</v>
      </c>
      <c r="E533" t="s">
        <v>2</v>
      </c>
      <c r="F533" t="s">
        <v>50</v>
      </c>
      <c r="G533" t="s">
        <v>100</v>
      </c>
      <c r="H533" s="6">
        <v>12.54</v>
      </c>
      <c r="I533" t="s">
        <v>52</v>
      </c>
      <c r="J533" t="s">
        <v>114</v>
      </c>
      <c r="K533" t="s">
        <v>54</v>
      </c>
      <c r="L533" t="s">
        <v>102</v>
      </c>
      <c r="O533" t="s">
        <v>103</v>
      </c>
      <c r="P533" t="s">
        <v>104</v>
      </c>
      <c r="Q533" s="6">
        <v>42039.71</v>
      </c>
    </row>
    <row r="534" spans="1:17">
      <c r="A534" t="s">
        <v>1171</v>
      </c>
      <c r="B534" s="5">
        <v>46155</v>
      </c>
      <c r="C534" t="s">
        <v>1172</v>
      </c>
      <c r="D534" t="s">
        <v>17</v>
      </c>
      <c r="E534" t="s">
        <v>2</v>
      </c>
      <c r="F534" t="s">
        <v>50</v>
      </c>
      <c r="G534" t="s">
        <v>51</v>
      </c>
      <c r="H534" s="6">
        <v>20.190000000000001</v>
      </c>
      <c r="I534" t="s">
        <v>52</v>
      </c>
      <c r="J534" t="s">
        <v>126</v>
      </c>
      <c r="K534" t="s">
        <v>54</v>
      </c>
      <c r="L534" t="s">
        <v>55</v>
      </c>
      <c r="O534" t="s">
        <v>56</v>
      </c>
      <c r="P534" t="s">
        <v>57</v>
      </c>
      <c r="Q534" s="6">
        <v>41930.85</v>
      </c>
    </row>
    <row r="535" spans="1:17">
      <c r="A535" t="s">
        <v>1173</v>
      </c>
      <c r="B535" s="5">
        <v>46155</v>
      </c>
      <c r="C535" t="s">
        <v>1174</v>
      </c>
      <c r="D535" t="s">
        <v>17</v>
      </c>
      <c r="E535" t="s">
        <v>2</v>
      </c>
      <c r="F535" t="s">
        <v>50</v>
      </c>
      <c r="G535" t="s">
        <v>51</v>
      </c>
      <c r="H535" s="6">
        <v>25.39</v>
      </c>
      <c r="I535" t="s">
        <v>52</v>
      </c>
      <c r="J535" t="s">
        <v>126</v>
      </c>
      <c r="K535" t="s">
        <v>54</v>
      </c>
      <c r="L535" t="s">
        <v>55</v>
      </c>
      <c r="O535" t="s">
        <v>56</v>
      </c>
      <c r="P535" t="s">
        <v>57</v>
      </c>
      <c r="Q535" s="6">
        <v>42006.1</v>
      </c>
    </row>
    <row r="536" spans="1:17">
      <c r="A536" t="s">
        <v>1175</v>
      </c>
      <c r="B536" s="5">
        <v>46155</v>
      </c>
      <c r="C536" t="s">
        <v>1176</v>
      </c>
      <c r="D536" t="s">
        <v>17</v>
      </c>
      <c r="E536" t="s">
        <v>2</v>
      </c>
      <c r="F536" t="s">
        <v>50</v>
      </c>
      <c r="G536" t="s">
        <v>51</v>
      </c>
      <c r="H536" s="6">
        <v>8.2200000000000006</v>
      </c>
      <c r="I536" t="s">
        <v>52</v>
      </c>
      <c r="J536" t="s">
        <v>53</v>
      </c>
      <c r="K536" t="s">
        <v>54</v>
      </c>
      <c r="L536" t="s">
        <v>55</v>
      </c>
      <c r="O536" t="s">
        <v>56</v>
      </c>
      <c r="P536" t="s">
        <v>57</v>
      </c>
      <c r="Q536" s="6">
        <v>42031.49</v>
      </c>
    </row>
    <row r="537" spans="1:17">
      <c r="A537" t="s">
        <v>1177</v>
      </c>
      <c r="B537" s="5">
        <v>46156</v>
      </c>
      <c r="C537" t="s">
        <v>1178</v>
      </c>
      <c r="D537" t="s">
        <v>17</v>
      </c>
      <c r="E537" t="s">
        <v>2</v>
      </c>
      <c r="F537" t="s">
        <v>50</v>
      </c>
      <c r="G537" t="s">
        <v>100</v>
      </c>
      <c r="H537" s="6">
        <v>88.12</v>
      </c>
      <c r="I537" t="s">
        <v>52</v>
      </c>
      <c r="J537" t="s">
        <v>244</v>
      </c>
      <c r="K537" t="s">
        <v>54</v>
      </c>
      <c r="L537" t="s">
        <v>102</v>
      </c>
      <c r="O537" t="s">
        <v>178</v>
      </c>
      <c r="P537" t="s">
        <v>245</v>
      </c>
      <c r="Q537" s="6">
        <v>44641.74</v>
      </c>
    </row>
    <row r="538" spans="1:17">
      <c r="A538" t="s">
        <v>1179</v>
      </c>
      <c r="B538" s="5">
        <v>46156</v>
      </c>
      <c r="C538" t="s">
        <v>1180</v>
      </c>
      <c r="D538" t="s">
        <v>17</v>
      </c>
      <c r="E538" t="s">
        <v>2</v>
      </c>
      <c r="F538" t="s">
        <v>50</v>
      </c>
      <c r="G538" t="s">
        <v>51</v>
      </c>
      <c r="H538" s="6">
        <v>35.270000000000003</v>
      </c>
      <c r="I538" t="s">
        <v>52</v>
      </c>
      <c r="J538" t="s">
        <v>126</v>
      </c>
      <c r="K538" t="s">
        <v>54</v>
      </c>
      <c r="L538" t="s">
        <v>55</v>
      </c>
      <c r="O538" t="s">
        <v>56</v>
      </c>
      <c r="P538" t="s">
        <v>57</v>
      </c>
      <c r="Q538" s="6">
        <v>41689.08</v>
      </c>
    </row>
    <row r="539" spans="1:17">
      <c r="A539" t="s">
        <v>1181</v>
      </c>
      <c r="B539" s="5">
        <v>46156</v>
      </c>
      <c r="C539" t="s">
        <v>1182</v>
      </c>
      <c r="D539" t="s">
        <v>17</v>
      </c>
      <c r="E539" t="s">
        <v>2</v>
      </c>
      <c r="F539" t="s">
        <v>50</v>
      </c>
      <c r="G539" t="s">
        <v>100</v>
      </c>
      <c r="H539" s="6">
        <v>15</v>
      </c>
      <c r="I539" t="s">
        <v>52</v>
      </c>
      <c r="J539" t="s">
        <v>101</v>
      </c>
      <c r="K539" t="s">
        <v>54</v>
      </c>
      <c r="L539" t="s">
        <v>102</v>
      </c>
      <c r="O539" t="s">
        <v>103</v>
      </c>
      <c r="P539" t="s">
        <v>104</v>
      </c>
      <c r="Q539" s="6">
        <v>41915.85</v>
      </c>
    </row>
    <row r="540" spans="1:17">
      <c r="A540" t="s">
        <v>1183</v>
      </c>
      <c r="B540" s="5">
        <v>46156</v>
      </c>
      <c r="C540" t="s">
        <v>1184</v>
      </c>
      <c r="D540" t="s">
        <v>17</v>
      </c>
      <c r="E540" t="s">
        <v>2</v>
      </c>
      <c r="F540" t="s">
        <v>50</v>
      </c>
      <c r="G540" t="s">
        <v>51</v>
      </c>
      <c r="H540" s="6">
        <v>97.26</v>
      </c>
      <c r="I540" t="s">
        <v>52</v>
      </c>
      <c r="J540" t="s">
        <v>196</v>
      </c>
      <c r="K540" t="s">
        <v>54</v>
      </c>
      <c r="L540" t="s">
        <v>55</v>
      </c>
      <c r="O540" t="s">
        <v>197</v>
      </c>
      <c r="P540" t="s">
        <v>198</v>
      </c>
      <c r="Q540" s="6">
        <v>41818.589999999997</v>
      </c>
    </row>
    <row r="541" spans="1:17">
      <c r="A541" t="s">
        <v>1185</v>
      </c>
      <c r="B541" s="5">
        <v>46156</v>
      </c>
      <c r="C541" t="s">
        <v>1186</v>
      </c>
      <c r="D541" t="s">
        <v>17</v>
      </c>
      <c r="E541" t="s">
        <v>2</v>
      </c>
      <c r="F541" t="s">
        <v>50</v>
      </c>
      <c r="G541" t="s">
        <v>51</v>
      </c>
      <c r="H541" s="6">
        <v>9.94</v>
      </c>
      <c r="I541" t="s">
        <v>52</v>
      </c>
      <c r="J541" t="s">
        <v>121</v>
      </c>
      <c r="K541" t="s">
        <v>54</v>
      </c>
      <c r="L541" t="s">
        <v>55</v>
      </c>
      <c r="O541" t="s">
        <v>122</v>
      </c>
      <c r="P541" t="s">
        <v>123</v>
      </c>
      <c r="Q541" s="6">
        <v>41724.35</v>
      </c>
    </row>
    <row r="542" spans="1:17">
      <c r="A542" t="s">
        <v>1187</v>
      </c>
      <c r="B542" s="5">
        <v>46156</v>
      </c>
      <c r="C542" t="s">
        <v>1188</v>
      </c>
      <c r="D542" t="s">
        <v>17</v>
      </c>
      <c r="E542" t="s">
        <v>2</v>
      </c>
      <c r="F542" t="s">
        <v>50</v>
      </c>
      <c r="G542" t="s">
        <v>51</v>
      </c>
      <c r="H542" s="6">
        <v>70.010000000000005</v>
      </c>
      <c r="I542" t="s">
        <v>52</v>
      </c>
      <c r="J542" t="s">
        <v>196</v>
      </c>
      <c r="K542" t="s">
        <v>54</v>
      </c>
      <c r="L542" t="s">
        <v>55</v>
      </c>
      <c r="O542" t="s">
        <v>197</v>
      </c>
      <c r="P542" t="s">
        <v>198</v>
      </c>
      <c r="Q542" s="6">
        <v>41734.29</v>
      </c>
    </row>
    <row r="543" spans="1:17">
      <c r="A543" t="s">
        <v>1189</v>
      </c>
      <c r="B543" s="5">
        <v>46156</v>
      </c>
      <c r="C543" t="s">
        <v>1190</v>
      </c>
      <c r="D543" t="s">
        <v>17</v>
      </c>
      <c r="E543" t="s">
        <v>2</v>
      </c>
      <c r="F543" t="s">
        <v>50</v>
      </c>
      <c r="G543" t="s">
        <v>51</v>
      </c>
      <c r="H543" s="6">
        <v>90.04</v>
      </c>
      <c r="I543" t="s">
        <v>52</v>
      </c>
      <c r="J543" t="s">
        <v>196</v>
      </c>
      <c r="K543" t="s">
        <v>54</v>
      </c>
      <c r="L543" t="s">
        <v>55</v>
      </c>
      <c r="O543" t="s">
        <v>197</v>
      </c>
      <c r="P543" t="s">
        <v>198</v>
      </c>
      <c r="Q543" s="6">
        <v>41599.040000000001</v>
      </c>
    </row>
    <row r="544" spans="1:17">
      <c r="A544" t="s">
        <v>1191</v>
      </c>
      <c r="B544" s="5">
        <v>46156</v>
      </c>
      <c r="C544" t="s">
        <v>1192</v>
      </c>
      <c r="D544" t="s">
        <v>17</v>
      </c>
      <c r="E544" t="s">
        <v>2</v>
      </c>
      <c r="F544" t="s">
        <v>149</v>
      </c>
      <c r="G544" t="s">
        <v>72</v>
      </c>
      <c r="H544" s="6">
        <v>85.46</v>
      </c>
      <c r="I544" t="s">
        <v>52</v>
      </c>
      <c r="J544" t="s">
        <v>316</v>
      </c>
      <c r="K544" t="s">
        <v>54</v>
      </c>
      <c r="L544" t="s">
        <v>74</v>
      </c>
      <c r="O544" t="s">
        <v>75</v>
      </c>
      <c r="P544" t="s">
        <v>76</v>
      </c>
      <c r="Q544" s="6">
        <v>41684.5</v>
      </c>
    </row>
    <row r="545" spans="1:17">
      <c r="A545" t="s">
        <v>1193</v>
      </c>
      <c r="B545" s="5">
        <v>46156</v>
      </c>
      <c r="C545" t="s">
        <v>1194</v>
      </c>
      <c r="D545" t="s">
        <v>17</v>
      </c>
      <c r="E545" t="s">
        <v>2</v>
      </c>
      <c r="F545" t="s">
        <v>50</v>
      </c>
      <c r="G545" t="s">
        <v>51</v>
      </c>
      <c r="H545" s="6">
        <v>14.29</v>
      </c>
      <c r="I545" t="s">
        <v>52</v>
      </c>
      <c r="J545" t="s">
        <v>53</v>
      </c>
      <c r="K545" t="s">
        <v>54</v>
      </c>
      <c r="L545" t="s">
        <v>55</v>
      </c>
      <c r="O545" t="s">
        <v>56</v>
      </c>
      <c r="P545" t="s">
        <v>57</v>
      </c>
      <c r="Q545" s="6">
        <v>41804.300000000003</v>
      </c>
    </row>
    <row r="546" spans="1:17">
      <c r="A546" t="s">
        <v>1195</v>
      </c>
      <c r="B546" s="5">
        <v>46157</v>
      </c>
      <c r="C546" t="s">
        <v>1196</v>
      </c>
      <c r="D546" t="s">
        <v>17</v>
      </c>
      <c r="E546" t="s">
        <v>2</v>
      </c>
      <c r="F546" t="s">
        <v>50</v>
      </c>
      <c r="G546" t="s">
        <v>100</v>
      </c>
      <c r="H546" s="6">
        <v>18.91</v>
      </c>
      <c r="I546" t="s">
        <v>52</v>
      </c>
      <c r="J546" t="s">
        <v>114</v>
      </c>
      <c r="K546" t="s">
        <v>54</v>
      </c>
      <c r="L546" t="s">
        <v>102</v>
      </c>
      <c r="O546" t="s">
        <v>103</v>
      </c>
      <c r="P546" t="s">
        <v>104</v>
      </c>
      <c r="Q546" s="6">
        <v>41600.65</v>
      </c>
    </row>
    <row r="547" spans="1:17">
      <c r="A547" t="s">
        <v>1197</v>
      </c>
      <c r="B547" s="5">
        <v>46157</v>
      </c>
      <c r="C547" t="s">
        <v>1198</v>
      </c>
      <c r="D547" t="s">
        <v>17</v>
      </c>
      <c r="E547" t="s">
        <v>2</v>
      </c>
      <c r="F547" t="s">
        <v>50</v>
      </c>
      <c r="G547" t="s">
        <v>51</v>
      </c>
      <c r="H547" s="6">
        <v>5.01</v>
      </c>
      <c r="I547" t="s">
        <v>52</v>
      </c>
      <c r="J547" t="s">
        <v>121</v>
      </c>
      <c r="K547" t="s">
        <v>54</v>
      </c>
      <c r="L547" t="s">
        <v>55</v>
      </c>
      <c r="O547" t="s">
        <v>122</v>
      </c>
      <c r="P547" t="s">
        <v>123</v>
      </c>
      <c r="Q547" s="6">
        <v>41377.06</v>
      </c>
    </row>
    <row r="548" spans="1:17">
      <c r="A548" t="s">
        <v>1199</v>
      </c>
      <c r="B548" s="5">
        <v>46157</v>
      </c>
      <c r="C548" t="s">
        <v>1200</v>
      </c>
      <c r="D548" t="s">
        <v>17</v>
      </c>
      <c r="E548" t="s">
        <v>2</v>
      </c>
      <c r="F548" t="s">
        <v>149</v>
      </c>
      <c r="G548" t="s">
        <v>321</v>
      </c>
      <c r="H548" s="6">
        <v>3115.19</v>
      </c>
      <c r="I548" t="s">
        <v>52</v>
      </c>
      <c r="J548" t="s">
        <v>9</v>
      </c>
      <c r="K548" t="s">
        <v>54</v>
      </c>
      <c r="L548" t="s">
        <v>102</v>
      </c>
      <c r="O548" t="s">
        <v>322</v>
      </c>
      <c r="P548" t="s">
        <v>323</v>
      </c>
      <c r="Q548" s="6">
        <v>29056.53</v>
      </c>
    </row>
    <row r="549" spans="1:17">
      <c r="A549" t="s">
        <v>1201</v>
      </c>
      <c r="B549" s="5">
        <v>46157</v>
      </c>
      <c r="C549" t="s">
        <v>1202</v>
      </c>
      <c r="D549" t="s">
        <v>17</v>
      </c>
      <c r="E549" t="s">
        <v>2</v>
      </c>
      <c r="F549" t="s">
        <v>50</v>
      </c>
      <c r="G549" t="s">
        <v>51</v>
      </c>
      <c r="H549" s="6">
        <v>129.05000000000001</v>
      </c>
      <c r="I549" t="s">
        <v>52</v>
      </c>
      <c r="J549" t="s">
        <v>196</v>
      </c>
      <c r="K549" t="s">
        <v>54</v>
      </c>
      <c r="L549" t="s">
        <v>55</v>
      </c>
      <c r="O549" t="s">
        <v>197</v>
      </c>
      <c r="P549" t="s">
        <v>198</v>
      </c>
      <c r="Q549" s="6">
        <v>41471.599999999999</v>
      </c>
    </row>
    <row r="550" spans="1:17">
      <c r="A550" t="s">
        <v>1203</v>
      </c>
      <c r="B550" s="5">
        <v>46157</v>
      </c>
      <c r="C550" t="s">
        <v>1204</v>
      </c>
      <c r="D550" t="s">
        <v>17</v>
      </c>
      <c r="E550" t="s">
        <v>2</v>
      </c>
      <c r="F550" t="s">
        <v>50</v>
      </c>
      <c r="G550" t="s">
        <v>51</v>
      </c>
      <c r="H550" s="6">
        <v>13.33</v>
      </c>
      <c r="I550" t="s">
        <v>52</v>
      </c>
      <c r="J550" t="s">
        <v>121</v>
      </c>
      <c r="K550" t="s">
        <v>54</v>
      </c>
      <c r="L550" t="s">
        <v>55</v>
      </c>
      <c r="O550" t="s">
        <v>122</v>
      </c>
      <c r="P550" t="s">
        <v>123</v>
      </c>
      <c r="Q550" s="6">
        <v>41619.56</v>
      </c>
    </row>
    <row r="551" spans="1:17">
      <c r="A551" t="s">
        <v>1205</v>
      </c>
      <c r="B551" s="5">
        <v>46157</v>
      </c>
      <c r="C551" t="s">
        <v>1206</v>
      </c>
      <c r="D551" t="s">
        <v>17</v>
      </c>
      <c r="E551" t="s">
        <v>2</v>
      </c>
      <c r="F551" t="s">
        <v>50</v>
      </c>
      <c r="G551" t="s">
        <v>51</v>
      </c>
      <c r="H551" s="6">
        <v>36.61</v>
      </c>
      <c r="I551" t="s">
        <v>52</v>
      </c>
      <c r="J551" t="s">
        <v>126</v>
      </c>
      <c r="K551" t="s">
        <v>54</v>
      </c>
      <c r="L551" t="s">
        <v>55</v>
      </c>
      <c r="O551" t="s">
        <v>56</v>
      </c>
      <c r="P551" t="s">
        <v>57</v>
      </c>
      <c r="Q551" s="6">
        <v>41647.89</v>
      </c>
    </row>
    <row r="552" spans="1:17">
      <c r="A552" t="s">
        <v>1207</v>
      </c>
      <c r="B552" s="5">
        <v>46157</v>
      </c>
      <c r="C552" t="s">
        <v>1208</v>
      </c>
      <c r="D552" t="s">
        <v>17</v>
      </c>
      <c r="E552" t="s">
        <v>2</v>
      </c>
      <c r="F552" t="s">
        <v>50</v>
      </c>
      <c r="G552" t="s">
        <v>51</v>
      </c>
      <c r="H552" s="6">
        <v>89.53</v>
      </c>
      <c r="I552" t="s">
        <v>52</v>
      </c>
      <c r="J552" t="s">
        <v>65</v>
      </c>
      <c r="K552" t="s">
        <v>54</v>
      </c>
      <c r="L552" t="s">
        <v>55</v>
      </c>
      <c r="O552" t="s">
        <v>66</v>
      </c>
      <c r="P552" t="s">
        <v>67</v>
      </c>
      <c r="Q552" s="6">
        <v>41382.07</v>
      </c>
    </row>
    <row r="553" spans="1:17">
      <c r="A553" t="s">
        <v>1209</v>
      </c>
      <c r="B553" s="5">
        <v>46157</v>
      </c>
      <c r="C553" t="s">
        <v>1210</v>
      </c>
      <c r="D553" t="s">
        <v>17</v>
      </c>
      <c r="E553" t="s">
        <v>2</v>
      </c>
      <c r="F553" t="s">
        <v>50</v>
      </c>
      <c r="G553" t="s">
        <v>100</v>
      </c>
      <c r="H553" s="6">
        <v>15</v>
      </c>
      <c r="I553" t="s">
        <v>52</v>
      </c>
      <c r="J553" t="s">
        <v>101</v>
      </c>
      <c r="K553" t="s">
        <v>54</v>
      </c>
      <c r="L553" t="s">
        <v>102</v>
      </c>
      <c r="O553" t="s">
        <v>103</v>
      </c>
      <c r="P553" t="s">
        <v>104</v>
      </c>
      <c r="Q553" s="6">
        <v>41632.89</v>
      </c>
    </row>
    <row r="554" spans="1:17">
      <c r="A554" t="s">
        <v>1211</v>
      </c>
      <c r="B554" s="5">
        <v>46158</v>
      </c>
      <c r="C554" t="s">
        <v>1212</v>
      </c>
      <c r="D554" t="s">
        <v>17</v>
      </c>
      <c r="E554" t="s">
        <v>2</v>
      </c>
      <c r="F554" t="s">
        <v>50</v>
      </c>
      <c r="G554" t="s">
        <v>100</v>
      </c>
      <c r="H554" s="6">
        <v>12.26</v>
      </c>
      <c r="I554" t="s">
        <v>52</v>
      </c>
      <c r="J554" t="s">
        <v>114</v>
      </c>
      <c r="K554" t="s">
        <v>54</v>
      </c>
      <c r="L554" t="s">
        <v>102</v>
      </c>
      <c r="O554" t="s">
        <v>103</v>
      </c>
      <c r="P554" t="s">
        <v>104</v>
      </c>
      <c r="Q554" s="6">
        <v>41349.800000000003</v>
      </c>
    </row>
    <row r="555" spans="1:17">
      <c r="A555" t="s">
        <v>1213</v>
      </c>
      <c r="B555" s="5">
        <v>46158</v>
      </c>
      <c r="C555" t="s">
        <v>1214</v>
      </c>
      <c r="D555" t="s">
        <v>17</v>
      </c>
      <c r="E555" t="s">
        <v>2</v>
      </c>
      <c r="F555" t="s">
        <v>50</v>
      </c>
      <c r="G555" t="s">
        <v>51</v>
      </c>
      <c r="H555" s="6">
        <v>9.82</v>
      </c>
      <c r="I555" t="s">
        <v>52</v>
      </c>
      <c r="J555" t="s">
        <v>53</v>
      </c>
      <c r="K555" t="s">
        <v>54</v>
      </c>
      <c r="L555" t="s">
        <v>55</v>
      </c>
      <c r="O555" t="s">
        <v>56</v>
      </c>
      <c r="P555" t="s">
        <v>57</v>
      </c>
      <c r="Q555" s="6">
        <v>41339.980000000003</v>
      </c>
    </row>
    <row r="556" spans="1:17">
      <c r="A556" t="s">
        <v>1215</v>
      </c>
      <c r="B556" s="5">
        <v>46158</v>
      </c>
      <c r="C556" t="s">
        <v>1216</v>
      </c>
      <c r="D556" t="s">
        <v>17</v>
      </c>
      <c r="E556" t="s">
        <v>2</v>
      </c>
      <c r="F556" t="s">
        <v>50</v>
      </c>
      <c r="G556" t="s">
        <v>51</v>
      </c>
      <c r="H556" s="6">
        <v>21.93</v>
      </c>
      <c r="I556" t="s">
        <v>52</v>
      </c>
      <c r="J556" t="s">
        <v>126</v>
      </c>
      <c r="K556" t="s">
        <v>54</v>
      </c>
      <c r="L556" t="s">
        <v>55</v>
      </c>
      <c r="O556" t="s">
        <v>56</v>
      </c>
      <c r="P556" t="s">
        <v>57</v>
      </c>
      <c r="Q556" s="6">
        <v>41318.050000000003</v>
      </c>
    </row>
    <row r="557" spans="1:17">
      <c r="A557" t="s">
        <v>1217</v>
      </c>
      <c r="B557" s="5">
        <v>46158</v>
      </c>
      <c r="C557" t="s">
        <v>1218</v>
      </c>
      <c r="D557" t="s">
        <v>17</v>
      </c>
      <c r="E557" t="s">
        <v>2</v>
      </c>
      <c r="F557" t="s">
        <v>149</v>
      </c>
      <c r="G557" t="s">
        <v>72</v>
      </c>
      <c r="H557" s="6">
        <v>23.61</v>
      </c>
      <c r="I557" t="s">
        <v>52</v>
      </c>
      <c r="J557" t="s">
        <v>316</v>
      </c>
      <c r="K557" t="s">
        <v>54</v>
      </c>
      <c r="L557" t="s">
        <v>74</v>
      </c>
      <c r="O557" t="s">
        <v>75</v>
      </c>
      <c r="P557" t="s">
        <v>76</v>
      </c>
      <c r="Q557" s="6">
        <v>41221.9</v>
      </c>
    </row>
    <row r="558" spans="1:17">
      <c r="A558" t="s">
        <v>1219</v>
      </c>
      <c r="B558" s="5">
        <v>46158</v>
      </c>
      <c r="C558" t="s">
        <v>1220</v>
      </c>
      <c r="D558" t="s">
        <v>17</v>
      </c>
      <c r="E558" t="s">
        <v>2</v>
      </c>
      <c r="F558" t="s">
        <v>50</v>
      </c>
      <c r="G558" t="s">
        <v>51</v>
      </c>
      <c r="H558" s="6">
        <v>104.76</v>
      </c>
      <c r="I558" t="s">
        <v>52</v>
      </c>
      <c r="J558" t="s">
        <v>196</v>
      </c>
      <c r="K558" t="s">
        <v>54</v>
      </c>
      <c r="L558" t="s">
        <v>55</v>
      </c>
      <c r="O558" t="s">
        <v>197</v>
      </c>
      <c r="P558" t="s">
        <v>198</v>
      </c>
      <c r="Q558" s="6">
        <v>41213.29</v>
      </c>
    </row>
    <row r="559" spans="1:17">
      <c r="A559" t="s">
        <v>1221</v>
      </c>
      <c r="B559" s="5">
        <v>46158</v>
      </c>
      <c r="C559" t="s">
        <v>1222</v>
      </c>
      <c r="D559" t="s">
        <v>17</v>
      </c>
      <c r="E559" t="s">
        <v>2</v>
      </c>
      <c r="F559" t="s">
        <v>50</v>
      </c>
      <c r="G559" t="s">
        <v>100</v>
      </c>
      <c r="H559" s="6">
        <v>15</v>
      </c>
      <c r="I559" t="s">
        <v>52</v>
      </c>
      <c r="J559" t="s">
        <v>101</v>
      </c>
      <c r="K559" t="s">
        <v>54</v>
      </c>
      <c r="L559" t="s">
        <v>102</v>
      </c>
      <c r="O559" t="s">
        <v>103</v>
      </c>
      <c r="P559" t="s">
        <v>104</v>
      </c>
      <c r="Q559" s="6">
        <v>41198.29</v>
      </c>
    </row>
    <row r="560" spans="1:17">
      <c r="A560" t="s">
        <v>1223</v>
      </c>
      <c r="B560" s="5">
        <v>46158</v>
      </c>
      <c r="C560" t="s">
        <v>1224</v>
      </c>
      <c r="D560" t="s">
        <v>17</v>
      </c>
      <c r="E560" t="s">
        <v>2</v>
      </c>
      <c r="F560" t="s">
        <v>50</v>
      </c>
      <c r="G560" t="s">
        <v>100</v>
      </c>
      <c r="H560" s="6">
        <v>15</v>
      </c>
      <c r="I560" t="s">
        <v>52</v>
      </c>
      <c r="J560" t="s">
        <v>101</v>
      </c>
      <c r="K560" t="s">
        <v>54</v>
      </c>
      <c r="L560" t="s">
        <v>102</v>
      </c>
      <c r="O560" t="s">
        <v>103</v>
      </c>
      <c r="P560" t="s">
        <v>104</v>
      </c>
      <c r="Q560" s="6">
        <v>41362.06</v>
      </c>
    </row>
    <row r="561" spans="1:17">
      <c r="A561" t="s">
        <v>1225</v>
      </c>
      <c r="B561" s="5">
        <v>46159</v>
      </c>
      <c r="C561" t="s">
        <v>1226</v>
      </c>
      <c r="D561" t="s">
        <v>17</v>
      </c>
      <c r="E561" t="s">
        <v>2</v>
      </c>
      <c r="F561" t="s">
        <v>50</v>
      </c>
      <c r="G561" t="s">
        <v>51</v>
      </c>
      <c r="H561" s="6">
        <v>48.63</v>
      </c>
      <c r="I561" t="s">
        <v>52</v>
      </c>
      <c r="J561" t="s">
        <v>196</v>
      </c>
      <c r="K561" t="s">
        <v>54</v>
      </c>
      <c r="L561" t="s">
        <v>55</v>
      </c>
      <c r="O561" t="s">
        <v>197</v>
      </c>
      <c r="P561" t="s">
        <v>198</v>
      </c>
      <c r="Q561" s="6">
        <v>40940.730000000003</v>
      </c>
    </row>
    <row r="562" spans="1:17">
      <c r="A562" t="s">
        <v>1227</v>
      </c>
      <c r="B562" s="5">
        <v>46159</v>
      </c>
      <c r="C562" t="s">
        <v>1228</v>
      </c>
      <c r="D562" t="s">
        <v>17</v>
      </c>
      <c r="E562" t="s">
        <v>2</v>
      </c>
      <c r="F562" t="s">
        <v>50</v>
      </c>
      <c r="G562" t="s">
        <v>51</v>
      </c>
      <c r="H562" s="6">
        <v>103.85</v>
      </c>
      <c r="I562" t="s">
        <v>52</v>
      </c>
      <c r="J562" t="s">
        <v>196</v>
      </c>
      <c r="K562" t="s">
        <v>54</v>
      </c>
      <c r="L562" t="s">
        <v>55</v>
      </c>
      <c r="O562" t="s">
        <v>197</v>
      </c>
      <c r="P562" t="s">
        <v>198</v>
      </c>
      <c r="Q562" s="6">
        <v>41118.050000000003</v>
      </c>
    </row>
    <row r="563" spans="1:17">
      <c r="A563" t="s">
        <v>1229</v>
      </c>
      <c r="B563" s="5">
        <v>46159</v>
      </c>
      <c r="C563" t="s">
        <v>1230</v>
      </c>
      <c r="D563" t="s">
        <v>17</v>
      </c>
      <c r="E563" t="s">
        <v>2</v>
      </c>
      <c r="F563" t="s">
        <v>50</v>
      </c>
      <c r="G563" t="s">
        <v>51</v>
      </c>
      <c r="H563" s="6">
        <v>21.21</v>
      </c>
      <c r="I563" t="s">
        <v>52</v>
      </c>
      <c r="J563" t="s">
        <v>121</v>
      </c>
      <c r="K563" t="s">
        <v>54</v>
      </c>
      <c r="L563" t="s">
        <v>55</v>
      </c>
      <c r="O563" t="s">
        <v>122</v>
      </c>
      <c r="P563" t="s">
        <v>123</v>
      </c>
      <c r="Q563" s="6">
        <v>41096.839999999997</v>
      </c>
    </row>
    <row r="564" spans="1:17">
      <c r="A564" t="s">
        <v>1231</v>
      </c>
      <c r="B564" s="5">
        <v>46159</v>
      </c>
      <c r="C564" t="s">
        <v>1232</v>
      </c>
      <c r="D564" t="s">
        <v>17</v>
      </c>
      <c r="E564" t="s">
        <v>2</v>
      </c>
      <c r="F564" t="s">
        <v>50</v>
      </c>
      <c r="G564" t="s">
        <v>100</v>
      </c>
      <c r="H564" s="6">
        <v>12.8</v>
      </c>
      <c r="I564" t="s">
        <v>52</v>
      </c>
      <c r="J564" t="s">
        <v>114</v>
      </c>
      <c r="K564" t="s">
        <v>54</v>
      </c>
      <c r="L564" t="s">
        <v>102</v>
      </c>
      <c r="O564" t="s">
        <v>103</v>
      </c>
      <c r="P564" t="s">
        <v>104</v>
      </c>
      <c r="Q564" s="6">
        <v>40927.93</v>
      </c>
    </row>
    <row r="565" spans="1:17">
      <c r="A565" t="s">
        <v>1233</v>
      </c>
      <c r="B565" s="5">
        <v>46159</v>
      </c>
      <c r="C565" t="s">
        <v>1234</v>
      </c>
      <c r="D565" t="s">
        <v>17</v>
      </c>
      <c r="E565" t="s">
        <v>2</v>
      </c>
      <c r="F565" t="s">
        <v>149</v>
      </c>
      <c r="G565" t="s">
        <v>72</v>
      </c>
      <c r="H565" s="6">
        <v>104.43</v>
      </c>
      <c r="I565" t="s">
        <v>52</v>
      </c>
      <c r="J565" t="s">
        <v>611</v>
      </c>
      <c r="K565" t="s">
        <v>54</v>
      </c>
      <c r="L565" t="s">
        <v>74</v>
      </c>
      <c r="O565" t="s">
        <v>75</v>
      </c>
      <c r="P565" t="s">
        <v>76</v>
      </c>
      <c r="Q565" s="6">
        <v>41032.36</v>
      </c>
    </row>
    <row r="566" spans="1:17">
      <c r="A566" t="s">
        <v>1235</v>
      </c>
      <c r="B566" s="5">
        <v>46159</v>
      </c>
      <c r="C566" t="s">
        <v>1236</v>
      </c>
      <c r="D566" t="s">
        <v>17</v>
      </c>
      <c r="E566" t="s">
        <v>2</v>
      </c>
      <c r="F566" t="s">
        <v>50</v>
      </c>
      <c r="G566" t="s">
        <v>51</v>
      </c>
      <c r="H566" s="6">
        <v>92.02</v>
      </c>
      <c r="I566" t="s">
        <v>52</v>
      </c>
      <c r="J566" t="s">
        <v>196</v>
      </c>
      <c r="K566" t="s">
        <v>54</v>
      </c>
      <c r="L566" t="s">
        <v>55</v>
      </c>
      <c r="O566" t="s">
        <v>197</v>
      </c>
      <c r="P566" t="s">
        <v>198</v>
      </c>
      <c r="Q566" s="6">
        <v>40989.360000000001</v>
      </c>
    </row>
    <row r="567" spans="1:17">
      <c r="A567" t="s">
        <v>1237</v>
      </c>
      <c r="B567" s="5">
        <v>46159</v>
      </c>
      <c r="C567" t="s">
        <v>1238</v>
      </c>
      <c r="D567" t="s">
        <v>17</v>
      </c>
      <c r="E567" t="s">
        <v>2</v>
      </c>
      <c r="F567" t="s">
        <v>50</v>
      </c>
      <c r="G567" t="s">
        <v>51</v>
      </c>
      <c r="H567" s="6">
        <v>15.46</v>
      </c>
      <c r="I567" t="s">
        <v>52</v>
      </c>
      <c r="J567" t="s">
        <v>126</v>
      </c>
      <c r="K567" t="s">
        <v>54</v>
      </c>
      <c r="L567" t="s">
        <v>55</v>
      </c>
      <c r="O567" t="s">
        <v>56</v>
      </c>
      <c r="P567" t="s">
        <v>57</v>
      </c>
      <c r="Q567" s="6">
        <v>41081.379999999997</v>
      </c>
    </row>
    <row r="568" spans="1:17">
      <c r="A568" t="s">
        <v>1239</v>
      </c>
      <c r="B568" s="5">
        <v>46160</v>
      </c>
      <c r="C568" t="s">
        <v>1240</v>
      </c>
      <c r="D568" t="s">
        <v>17</v>
      </c>
      <c r="E568" t="s">
        <v>2</v>
      </c>
      <c r="F568" t="s">
        <v>50</v>
      </c>
      <c r="G568" t="s">
        <v>51</v>
      </c>
      <c r="H568" s="6">
        <v>16.86</v>
      </c>
      <c r="I568" t="s">
        <v>52</v>
      </c>
      <c r="J568" t="s">
        <v>53</v>
      </c>
      <c r="K568" t="s">
        <v>54</v>
      </c>
      <c r="L568" t="s">
        <v>55</v>
      </c>
      <c r="O568" t="s">
        <v>56</v>
      </c>
      <c r="P568" t="s">
        <v>57</v>
      </c>
      <c r="Q568" s="6">
        <v>40989.199999999997</v>
      </c>
    </row>
    <row r="569" spans="1:17">
      <c r="A569" t="s">
        <v>1241</v>
      </c>
      <c r="B569" s="5">
        <v>46160</v>
      </c>
      <c r="C569" t="s">
        <v>1242</v>
      </c>
      <c r="D569" t="s">
        <v>17</v>
      </c>
      <c r="E569" t="s">
        <v>2</v>
      </c>
      <c r="F569" t="s">
        <v>50</v>
      </c>
      <c r="G569" t="s">
        <v>51</v>
      </c>
      <c r="H569" s="6">
        <v>14.13</v>
      </c>
      <c r="I569" t="s">
        <v>52</v>
      </c>
      <c r="J569" t="s">
        <v>81</v>
      </c>
      <c r="K569" t="s">
        <v>54</v>
      </c>
      <c r="L569" t="s">
        <v>55</v>
      </c>
      <c r="O569" t="s">
        <v>82</v>
      </c>
      <c r="P569" t="s">
        <v>83</v>
      </c>
      <c r="Q569" s="6">
        <v>40975.07</v>
      </c>
    </row>
    <row r="570" spans="1:17">
      <c r="A570" t="s">
        <v>1243</v>
      </c>
      <c r="B570" s="5">
        <v>46160</v>
      </c>
      <c r="C570" t="s">
        <v>1244</v>
      </c>
      <c r="D570" t="s">
        <v>17</v>
      </c>
      <c r="E570" t="s">
        <v>2</v>
      </c>
      <c r="F570" t="s">
        <v>50</v>
      </c>
      <c r="G570" t="s">
        <v>51</v>
      </c>
      <c r="H570" s="6">
        <v>30.99</v>
      </c>
      <c r="I570" t="s">
        <v>52</v>
      </c>
      <c r="J570" t="s">
        <v>126</v>
      </c>
      <c r="K570" t="s">
        <v>54</v>
      </c>
      <c r="L570" t="s">
        <v>55</v>
      </c>
      <c r="O570" t="s">
        <v>56</v>
      </c>
      <c r="P570" t="s">
        <v>57</v>
      </c>
      <c r="Q570" s="6">
        <v>40900.019999999997</v>
      </c>
    </row>
    <row r="571" spans="1:17">
      <c r="A571" t="s">
        <v>1245</v>
      </c>
      <c r="B571" s="5">
        <v>46160</v>
      </c>
      <c r="C571" t="s">
        <v>1246</v>
      </c>
      <c r="D571" t="s">
        <v>17</v>
      </c>
      <c r="E571" t="s">
        <v>2</v>
      </c>
      <c r="F571" t="s">
        <v>50</v>
      </c>
      <c r="G571" t="s">
        <v>51</v>
      </c>
      <c r="H571" s="6">
        <v>26.3</v>
      </c>
      <c r="I571" t="s">
        <v>52</v>
      </c>
      <c r="J571" t="s">
        <v>81</v>
      </c>
      <c r="K571" t="s">
        <v>54</v>
      </c>
      <c r="L571" t="s">
        <v>55</v>
      </c>
      <c r="O571" t="s">
        <v>82</v>
      </c>
      <c r="P571" t="s">
        <v>83</v>
      </c>
      <c r="Q571" s="6">
        <v>41006.06</v>
      </c>
    </row>
    <row r="572" spans="1:17">
      <c r="A572" t="s">
        <v>1247</v>
      </c>
      <c r="B572" s="5">
        <v>46160</v>
      </c>
      <c r="C572" t="s">
        <v>1248</v>
      </c>
      <c r="D572" t="s">
        <v>17</v>
      </c>
      <c r="E572" t="s">
        <v>2</v>
      </c>
      <c r="F572" t="s">
        <v>50</v>
      </c>
      <c r="G572" t="s">
        <v>100</v>
      </c>
      <c r="H572" s="6">
        <v>89.99</v>
      </c>
      <c r="I572" t="s">
        <v>52</v>
      </c>
      <c r="J572" t="s">
        <v>384</v>
      </c>
      <c r="K572" t="s">
        <v>54</v>
      </c>
      <c r="L572" t="s">
        <v>102</v>
      </c>
      <c r="O572" t="s">
        <v>178</v>
      </c>
      <c r="P572" t="s">
        <v>385</v>
      </c>
      <c r="Q572" s="6">
        <v>44551.75</v>
      </c>
    </row>
    <row r="573" spans="1:17">
      <c r="A573" t="s">
        <v>1249</v>
      </c>
      <c r="B573" s="5">
        <v>46160</v>
      </c>
      <c r="C573" t="s">
        <v>1250</v>
      </c>
      <c r="D573" t="s">
        <v>17</v>
      </c>
      <c r="E573" t="s">
        <v>2</v>
      </c>
      <c r="F573" t="s">
        <v>50</v>
      </c>
      <c r="G573" t="s">
        <v>51</v>
      </c>
      <c r="H573" s="6">
        <v>44.06</v>
      </c>
      <c r="I573" t="s">
        <v>52</v>
      </c>
      <c r="J573" t="s">
        <v>81</v>
      </c>
      <c r="K573" t="s">
        <v>54</v>
      </c>
      <c r="L573" t="s">
        <v>55</v>
      </c>
      <c r="O573" t="s">
        <v>82</v>
      </c>
      <c r="P573" t="s">
        <v>83</v>
      </c>
      <c r="Q573" s="6">
        <v>40931.01</v>
      </c>
    </row>
    <row r="574" spans="1:17">
      <c r="A574" t="s">
        <v>1251</v>
      </c>
      <c r="B574" s="5">
        <v>46161</v>
      </c>
      <c r="C574" t="s">
        <v>1252</v>
      </c>
      <c r="D574" t="s">
        <v>17</v>
      </c>
      <c r="E574" t="s">
        <v>2</v>
      </c>
      <c r="F574" t="s">
        <v>50</v>
      </c>
      <c r="G574" t="s">
        <v>51</v>
      </c>
      <c r="H574" s="6">
        <v>51.78</v>
      </c>
      <c r="I574" t="s">
        <v>52</v>
      </c>
      <c r="J574" t="s">
        <v>81</v>
      </c>
      <c r="K574" t="s">
        <v>54</v>
      </c>
      <c r="L574" t="s">
        <v>55</v>
      </c>
      <c r="O574" t="s">
        <v>82</v>
      </c>
      <c r="P574" t="s">
        <v>83</v>
      </c>
      <c r="Q574" s="6">
        <v>40835.74</v>
      </c>
    </row>
    <row r="575" spans="1:17">
      <c r="A575" t="s">
        <v>1253</v>
      </c>
      <c r="B575" s="5">
        <v>46161</v>
      </c>
      <c r="C575" t="s">
        <v>1254</v>
      </c>
      <c r="D575" t="s">
        <v>17</v>
      </c>
      <c r="E575" t="s">
        <v>2</v>
      </c>
      <c r="F575" t="s">
        <v>50</v>
      </c>
      <c r="G575" t="s">
        <v>51</v>
      </c>
      <c r="H575" s="6">
        <v>79.55</v>
      </c>
      <c r="I575" t="s">
        <v>52</v>
      </c>
      <c r="J575" t="s">
        <v>65</v>
      </c>
      <c r="K575" t="s">
        <v>54</v>
      </c>
      <c r="L575" t="s">
        <v>55</v>
      </c>
      <c r="O575" t="s">
        <v>66</v>
      </c>
      <c r="P575" t="s">
        <v>67</v>
      </c>
      <c r="Q575" s="6">
        <v>40756.19</v>
      </c>
    </row>
    <row r="576" spans="1:17">
      <c r="A576" t="s">
        <v>1255</v>
      </c>
      <c r="B576" s="5">
        <v>46161</v>
      </c>
      <c r="C576" t="s">
        <v>1256</v>
      </c>
      <c r="D576" t="s">
        <v>17</v>
      </c>
      <c r="E576" t="s">
        <v>2</v>
      </c>
      <c r="F576" t="s">
        <v>50</v>
      </c>
      <c r="G576" t="s">
        <v>51</v>
      </c>
      <c r="H576" s="6">
        <v>50.27</v>
      </c>
      <c r="I576" t="s">
        <v>52</v>
      </c>
      <c r="J576" t="s">
        <v>60</v>
      </c>
      <c r="K576" t="s">
        <v>54</v>
      </c>
      <c r="L576" t="s">
        <v>55</v>
      </c>
      <c r="O576" t="s">
        <v>61</v>
      </c>
      <c r="P576" t="s">
        <v>62</v>
      </c>
      <c r="Q576" s="6">
        <v>40673.339999999997</v>
      </c>
    </row>
    <row r="577" spans="1:17">
      <c r="A577" t="s">
        <v>1257</v>
      </c>
      <c r="B577" s="5">
        <v>46161</v>
      </c>
      <c r="C577" t="s">
        <v>1258</v>
      </c>
      <c r="D577" t="s">
        <v>17</v>
      </c>
      <c r="E577" t="s">
        <v>2</v>
      </c>
      <c r="F577" t="s">
        <v>50</v>
      </c>
      <c r="G577" t="s">
        <v>100</v>
      </c>
      <c r="H577" s="6">
        <v>12.5</v>
      </c>
      <c r="I577" t="s">
        <v>52</v>
      </c>
      <c r="J577" t="s">
        <v>114</v>
      </c>
      <c r="K577" t="s">
        <v>54</v>
      </c>
      <c r="L577" t="s">
        <v>102</v>
      </c>
      <c r="O577" t="s">
        <v>103</v>
      </c>
      <c r="P577" t="s">
        <v>104</v>
      </c>
      <c r="Q577" s="6">
        <v>40887.519999999997</v>
      </c>
    </row>
    <row r="578" spans="1:17">
      <c r="A578" t="s">
        <v>1259</v>
      </c>
      <c r="B578" s="5">
        <v>46161</v>
      </c>
      <c r="C578" t="s">
        <v>1260</v>
      </c>
      <c r="D578" t="s">
        <v>17</v>
      </c>
      <c r="E578" t="s">
        <v>2</v>
      </c>
      <c r="F578" t="s">
        <v>50</v>
      </c>
      <c r="G578" t="s">
        <v>100</v>
      </c>
      <c r="H578" s="6">
        <v>15</v>
      </c>
      <c r="I578" t="s">
        <v>52</v>
      </c>
      <c r="J578" t="s">
        <v>101</v>
      </c>
      <c r="K578" t="s">
        <v>54</v>
      </c>
      <c r="L578" t="s">
        <v>102</v>
      </c>
      <c r="O578" t="s">
        <v>103</v>
      </c>
      <c r="P578" t="s">
        <v>104</v>
      </c>
      <c r="Q578" s="6">
        <v>40723.61</v>
      </c>
    </row>
    <row r="579" spans="1:17">
      <c r="A579" t="s">
        <v>1261</v>
      </c>
      <c r="B579" s="5">
        <v>46161</v>
      </c>
      <c r="C579" t="s">
        <v>1262</v>
      </c>
      <c r="D579" t="s">
        <v>17</v>
      </c>
      <c r="E579" t="s">
        <v>2</v>
      </c>
      <c r="F579" t="s">
        <v>50</v>
      </c>
      <c r="G579" t="s">
        <v>100</v>
      </c>
      <c r="H579" s="6">
        <v>17.579999999999998</v>
      </c>
      <c r="I579" t="s">
        <v>52</v>
      </c>
      <c r="J579" t="s">
        <v>114</v>
      </c>
      <c r="K579" t="s">
        <v>54</v>
      </c>
      <c r="L579" t="s">
        <v>102</v>
      </c>
      <c r="O579" t="s">
        <v>103</v>
      </c>
      <c r="P579" t="s">
        <v>104</v>
      </c>
      <c r="Q579" s="6">
        <v>40738.61</v>
      </c>
    </row>
    <row r="580" spans="1:17">
      <c r="A580" t="s">
        <v>1263</v>
      </c>
      <c r="B580" s="5">
        <v>46161</v>
      </c>
      <c r="C580" t="s">
        <v>1264</v>
      </c>
      <c r="D580" t="s">
        <v>17</v>
      </c>
      <c r="E580" t="s">
        <v>2</v>
      </c>
      <c r="F580" t="s">
        <v>50</v>
      </c>
      <c r="G580" t="s">
        <v>72</v>
      </c>
      <c r="H580" s="6">
        <v>144.91999999999999</v>
      </c>
      <c r="I580" t="s">
        <v>52</v>
      </c>
      <c r="J580" t="s">
        <v>606</v>
      </c>
      <c r="K580" t="s">
        <v>54</v>
      </c>
      <c r="L580" t="s">
        <v>74</v>
      </c>
      <c r="O580" t="s">
        <v>75</v>
      </c>
      <c r="P580" t="s">
        <v>76</v>
      </c>
      <c r="Q580" s="6">
        <v>40528.42</v>
      </c>
    </row>
    <row r="581" spans="1:17">
      <c r="A581" t="s">
        <v>1265</v>
      </c>
      <c r="B581" s="5">
        <v>46162</v>
      </c>
      <c r="C581" t="s">
        <v>1266</v>
      </c>
      <c r="D581" t="s">
        <v>17</v>
      </c>
      <c r="E581" t="s">
        <v>2</v>
      </c>
      <c r="F581" t="s">
        <v>50</v>
      </c>
      <c r="G581" t="s">
        <v>51</v>
      </c>
      <c r="H581" s="6">
        <v>43.95</v>
      </c>
      <c r="I581" t="s">
        <v>52</v>
      </c>
      <c r="J581" t="s">
        <v>60</v>
      </c>
      <c r="K581" t="s">
        <v>54</v>
      </c>
      <c r="L581" t="s">
        <v>55</v>
      </c>
      <c r="O581" t="s">
        <v>61</v>
      </c>
      <c r="P581" t="s">
        <v>62</v>
      </c>
      <c r="Q581" s="6">
        <v>40275.03</v>
      </c>
    </row>
    <row r="582" spans="1:17">
      <c r="A582" t="s">
        <v>1267</v>
      </c>
      <c r="B582" s="5">
        <v>46162</v>
      </c>
      <c r="C582" t="s">
        <v>1268</v>
      </c>
      <c r="D582" t="s">
        <v>17</v>
      </c>
      <c r="E582" t="s">
        <v>2</v>
      </c>
      <c r="F582" t="s">
        <v>50</v>
      </c>
      <c r="G582" t="s">
        <v>51</v>
      </c>
      <c r="H582" s="6">
        <v>4.95</v>
      </c>
      <c r="I582" t="s">
        <v>52</v>
      </c>
      <c r="J582" t="s">
        <v>121</v>
      </c>
      <c r="K582" t="s">
        <v>54</v>
      </c>
      <c r="L582" t="s">
        <v>55</v>
      </c>
      <c r="O582" t="s">
        <v>122</v>
      </c>
      <c r="P582" t="s">
        <v>123</v>
      </c>
      <c r="Q582" s="6">
        <v>40394.1</v>
      </c>
    </row>
    <row r="583" spans="1:17">
      <c r="A583" t="s">
        <v>1269</v>
      </c>
      <c r="B583" s="5">
        <v>46162</v>
      </c>
      <c r="C583" t="s">
        <v>1270</v>
      </c>
      <c r="D583" t="s">
        <v>17</v>
      </c>
      <c r="E583" t="s">
        <v>2</v>
      </c>
      <c r="F583" t="s">
        <v>50</v>
      </c>
      <c r="G583" t="s">
        <v>51</v>
      </c>
      <c r="H583" s="6">
        <v>14.85</v>
      </c>
      <c r="I583" t="s">
        <v>52</v>
      </c>
      <c r="J583" t="s">
        <v>53</v>
      </c>
      <c r="K583" t="s">
        <v>54</v>
      </c>
      <c r="L583" t="s">
        <v>55</v>
      </c>
      <c r="O583" t="s">
        <v>56</v>
      </c>
      <c r="P583" t="s">
        <v>57</v>
      </c>
      <c r="Q583" s="6">
        <v>40513.57</v>
      </c>
    </row>
    <row r="584" spans="1:17">
      <c r="A584" t="s">
        <v>1271</v>
      </c>
      <c r="B584" s="5">
        <v>46162</v>
      </c>
      <c r="C584" t="s">
        <v>1272</v>
      </c>
      <c r="D584" t="s">
        <v>17</v>
      </c>
      <c r="E584" t="s">
        <v>2</v>
      </c>
      <c r="F584" t="s">
        <v>50</v>
      </c>
      <c r="G584" t="s">
        <v>51</v>
      </c>
      <c r="H584" s="6">
        <v>75.12</v>
      </c>
      <c r="I584" t="s">
        <v>52</v>
      </c>
      <c r="J584" t="s">
        <v>65</v>
      </c>
      <c r="K584" t="s">
        <v>54</v>
      </c>
      <c r="L584" t="s">
        <v>55</v>
      </c>
      <c r="O584" t="s">
        <v>66</v>
      </c>
      <c r="P584" t="s">
        <v>67</v>
      </c>
      <c r="Q584" s="6">
        <v>40318.980000000003</v>
      </c>
    </row>
    <row r="585" spans="1:17">
      <c r="A585" t="s">
        <v>1273</v>
      </c>
      <c r="B585" s="5">
        <v>46162</v>
      </c>
      <c r="C585" t="s">
        <v>1274</v>
      </c>
      <c r="D585" t="s">
        <v>17</v>
      </c>
      <c r="E585" t="s">
        <v>2</v>
      </c>
      <c r="F585" t="s">
        <v>149</v>
      </c>
      <c r="G585" t="s">
        <v>72</v>
      </c>
      <c r="H585" s="6">
        <v>130.26</v>
      </c>
      <c r="I585" t="s">
        <v>52</v>
      </c>
      <c r="J585" t="s">
        <v>316</v>
      </c>
      <c r="K585" t="s">
        <v>54</v>
      </c>
      <c r="L585" t="s">
        <v>74</v>
      </c>
      <c r="O585" t="s">
        <v>75</v>
      </c>
      <c r="P585" t="s">
        <v>76</v>
      </c>
      <c r="Q585" s="6">
        <v>40405.29</v>
      </c>
    </row>
    <row r="586" spans="1:17">
      <c r="A586" t="s">
        <v>1275</v>
      </c>
      <c r="B586" s="5">
        <v>46162</v>
      </c>
      <c r="C586" t="s">
        <v>1276</v>
      </c>
      <c r="D586" t="s">
        <v>17</v>
      </c>
      <c r="E586" t="s">
        <v>2</v>
      </c>
      <c r="F586" t="s">
        <v>50</v>
      </c>
      <c r="G586" t="s">
        <v>51</v>
      </c>
      <c r="H586" s="6">
        <v>114.52</v>
      </c>
      <c r="I586" t="s">
        <v>52</v>
      </c>
      <c r="J586" t="s">
        <v>65</v>
      </c>
      <c r="K586" t="s">
        <v>54</v>
      </c>
      <c r="L586" t="s">
        <v>55</v>
      </c>
      <c r="O586" t="s">
        <v>66</v>
      </c>
      <c r="P586" t="s">
        <v>67</v>
      </c>
      <c r="Q586" s="6">
        <v>40399.050000000003</v>
      </c>
    </row>
    <row r="587" spans="1:17">
      <c r="A587" t="s">
        <v>1277</v>
      </c>
      <c r="B587" s="5">
        <v>46163</v>
      </c>
      <c r="C587" t="s">
        <v>1278</v>
      </c>
      <c r="D587" t="s">
        <v>17</v>
      </c>
      <c r="E587" t="s">
        <v>2</v>
      </c>
      <c r="F587" t="s">
        <v>50</v>
      </c>
      <c r="G587" t="s">
        <v>51</v>
      </c>
      <c r="H587" s="6">
        <v>16.14</v>
      </c>
      <c r="I587" t="s">
        <v>52</v>
      </c>
      <c r="J587" t="s">
        <v>53</v>
      </c>
      <c r="K587" t="s">
        <v>54</v>
      </c>
      <c r="L587" t="s">
        <v>55</v>
      </c>
      <c r="O587" t="s">
        <v>56</v>
      </c>
      <c r="P587" t="s">
        <v>57</v>
      </c>
      <c r="Q587" s="6">
        <v>40175.14</v>
      </c>
    </row>
    <row r="588" spans="1:17">
      <c r="A588" t="s">
        <v>1279</v>
      </c>
      <c r="B588" s="5">
        <v>46163</v>
      </c>
      <c r="C588" t="s">
        <v>1280</v>
      </c>
      <c r="D588" t="s">
        <v>17</v>
      </c>
      <c r="E588" t="s">
        <v>2</v>
      </c>
      <c r="F588" t="s">
        <v>50</v>
      </c>
      <c r="G588" t="s">
        <v>100</v>
      </c>
      <c r="H588" s="6">
        <v>12.53</v>
      </c>
      <c r="I588" t="s">
        <v>52</v>
      </c>
      <c r="J588" t="s">
        <v>114</v>
      </c>
      <c r="K588" t="s">
        <v>54</v>
      </c>
      <c r="L588" t="s">
        <v>102</v>
      </c>
      <c r="O588" t="s">
        <v>103</v>
      </c>
      <c r="P588" t="s">
        <v>104</v>
      </c>
      <c r="Q588" s="6">
        <v>40237.39</v>
      </c>
    </row>
    <row r="589" spans="1:17">
      <c r="A589" t="s">
        <v>1281</v>
      </c>
      <c r="B589" s="5">
        <v>46163</v>
      </c>
      <c r="C589" t="s">
        <v>1282</v>
      </c>
      <c r="D589" t="s">
        <v>17</v>
      </c>
      <c r="E589" t="s">
        <v>2</v>
      </c>
      <c r="F589" t="s">
        <v>50</v>
      </c>
      <c r="G589" t="s">
        <v>51</v>
      </c>
      <c r="H589" s="6">
        <v>17.989999999999998</v>
      </c>
      <c r="I589" t="s">
        <v>52</v>
      </c>
      <c r="J589" t="s">
        <v>126</v>
      </c>
      <c r="K589" t="s">
        <v>54</v>
      </c>
      <c r="L589" t="s">
        <v>55</v>
      </c>
      <c r="O589" t="s">
        <v>56</v>
      </c>
      <c r="P589" t="s">
        <v>57</v>
      </c>
      <c r="Q589" s="6">
        <v>40157.15</v>
      </c>
    </row>
    <row r="590" spans="1:17">
      <c r="A590" t="s">
        <v>1283</v>
      </c>
      <c r="B590" s="5">
        <v>46163</v>
      </c>
      <c r="C590" t="s">
        <v>1284</v>
      </c>
      <c r="D590" t="s">
        <v>17</v>
      </c>
      <c r="E590" t="s">
        <v>2</v>
      </c>
      <c r="F590" t="s">
        <v>50</v>
      </c>
      <c r="G590" t="s">
        <v>51</v>
      </c>
      <c r="H590" s="6">
        <v>155.37</v>
      </c>
      <c r="I590" t="s">
        <v>52</v>
      </c>
      <c r="J590" t="s">
        <v>196</v>
      </c>
      <c r="K590" t="s">
        <v>54</v>
      </c>
      <c r="L590" t="s">
        <v>55</v>
      </c>
      <c r="O590" t="s">
        <v>197</v>
      </c>
      <c r="P590" t="s">
        <v>198</v>
      </c>
      <c r="Q590" s="6">
        <v>40249.919999999998</v>
      </c>
    </row>
    <row r="591" spans="1:17">
      <c r="A591" t="s">
        <v>1285</v>
      </c>
      <c r="B591" s="5">
        <v>46163</v>
      </c>
      <c r="C591" t="s">
        <v>1286</v>
      </c>
      <c r="D591" t="s">
        <v>17</v>
      </c>
      <c r="E591" t="s">
        <v>2</v>
      </c>
      <c r="F591" t="s">
        <v>50</v>
      </c>
      <c r="G591" t="s">
        <v>51</v>
      </c>
      <c r="H591" s="6">
        <v>28.78</v>
      </c>
      <c r="I591" t="s">
        <v>52</v>
      </c>
      <c r="J591" t="s">
        <v>60</v>
      </c>
      <c r="K591" t="s">
        <v>54</v>
      </c>
      <c r="L591" t="s">
        <v>55</v>
      </c>
      <c r="O591" t="s">
        <v>61</v>
      </c>
      <c r="P591" t="s">
        <v>62</v>
      </c>
      <c r="Q591" s="6">
        <v>40191.279999999999</v>
      </c>
    </row>
    <row r="592" spans="1:17">
      <c r="A592" t="s">
        <v>1287</v>
      </c>
      <c r="B592" s="5">
        <v>46163</v>
      </c>
      <c r="C592" t="s">
        <v>1288</v>
      </c>
      <c r="D592" t="s">
        <v>17</v>
      </c>
      <c r="E592" t="s">
        <v>2</v>
      </c>
      <c r="F592" t="s">
        <v>50</v>
      </c>
      <c r="G592" t="s">
        <v>51</v>
      </c>
      <c r="H592" s="6">
        <v>17.329999999999998</v>
      </c>
      <c r="I592" t="s">
        <v>52</v>
      </c>
      <c r="J592" t="s">
        <v>53</v>
      </c>
      <c r="K592" t="s">
        <v>54</v>
      </c>
      <c r="L592" t="s">
        <v>55</v>
      </c>
      <c r="O592" t="s">
        <v>56</v>
      </c>
      <c r="P592" t="s">
        <v>57</v>
      </c>
      <c r="Q592" s="6">
        <v>40220.06</v>
      </c>
    </row>
    <row r="593" spans="1:17">
      <c r="A593" t="s">
        <v>1289</v>
      </c>
      <c r="B593" s="5">
        <v>46164</v>
      </c>
      <c r="C593" t="s">
        <v>1290</v>
      </c>
      <c r="D593" t="s">
        <v>17</v>
      </c>
      <c r="E593" t="s">
        <v>2</v>
      </c>
      <c r="F593" t="s">
        <v>50</v>
      </c>
      <c r="G593" t="s">
        <v>100</v>
      </c>
      <c r="H593" s="6">
        <v>15</v>
      </c>
      <c r="I593" t="s">
        <v>52</v>
      </c>
      <c r="J593" t="s">
        <v>101</v>
      </c>
      <c r="K593" t="s">
        <v>54</v>
      </c>
      <c r="L593" t="s">
        <v>102</v>
      </c>
      <c r="O593" t="s">
        <v>103</v>
      </c>
      <c r="P593" t="s">
        <v>104</v>
      </c>
      <c r="Q593" s="6">
        <v>39858.74</v>
      </c>
    </row>
    <row r="594" spans="1:17">
      <c r="A594" t="s">
        <v>1291</v>
      </c>
      <c r="B594" s="5">
        <v>46164</v>
      </c>
      <c r="C594" t="s">
        <v>892</v>
      </c>
      <c r="D594" t="s">
        <v>17</v>
      </c>
      <c r="E594" t="s">
        <v>2</v>
      </c>
      <c r="F594" t="s">
        <v>50</v>
      </c>
      <c r="G594" t="s">
        <v>51</v>
      </c>
      <c r="H594" s="6">
        <v>11.59</v>
      </c>
      <c r="I594" t="s">
        <v>52</v>
      </c>
      <c r="J594" t="s">
        <v>121</v>
      </c>
      <c r="K594" t="s">
        <v>54</v>
      </c>
      <c r="L594" t="s">
        <v>55</v>
      </c>
      <c r="O594" t="s">
        <v>122</v>
      </c>
      <c r="P594" t="s">
        <v>123</v>
      </c>
      <c r="Q594" s="6">
        <v>40114.46</v>
      </c>
    </row>
    <row r="595" spans="1:17">
      <c r="A595" t="s">
        <v>1292</v>
      </c>
      <c r="B595" s="5">
        <v>46164</v>
      </c>
      <c r="C595" t="s">
        <v>1293</v>
      </c>
      <c r="D595" t="s">
        <v>17</v>
      </c>
      <c r="E595" t="s">
        <v>2</v>
      </c>
      <c r="F595" t="s">
        <v>50</v>
      </c>
      <c r="G595" t="s">
        <v>51</v>
      </c>
      <c r="H595" s="6">
        <v>38.26</v>
      </c>
      <c r="I595" t="s">
        <v>52</v>
      </c>
      <c r="J595" t="s">
        <v>81</v>
      </c>
      <c r="K595" t="s">
        <v>54</v>
      </c>
      <c r="L595" t="s">
        <v>55</v>
      </c>
      <c r="O595" t="s">
        <v>82</v>
      </c>
      <c r="P595" t="s">
        <v>83</v>
      </c>
      <c r="Q595" s="6">
        <v>40062.47</v>
      </c>
    </row>
    <row r="596" spans="1:17">
      <c r="A596" t="s">
        <v>1294</v>
      </c>
      <c r="B596" s="5">
        <v>46164</v>
      </c>
      <c r="C596" t="s">
        <v>1295</v>
      </c>
      <c r="D596" t="s">
        <v>17</v>
      </c>
      <c r="E596" t="s">
        <v>2</v>
      </c>
      <c r="F596" t="s">
        <v>50</v>
      </c>
      <c r="G596" t="s">
        <v>51</v>
      </c>
      <c r="H596" s="6">
        <v>36.46</v>
      </c>
      <c r="I596" t="s">
        <v>52</v>
      </c>
      <c r="J596" t="s">
        <v>81</v>
      </c>
      <c r="K596" t="s">
        <v>54</v>
      </c>
      <c r="L596" t="s">
        <v>55</v>
      </c>
      <c r="O596" t="s">
        <v>82</v>
      </c>
      <c r="P596" t="s">
        <v>83</v>
      </c>
      <c r="Q596" s="6">
        <v>39873.74</v>
      </c>
    </row>
    <row r="597" spans="1:17">
      <c r="A597" t="s">
        <v>1296</v>
      </c>
      <c r="B597" s="5">
        <v>46164</v>
      </c>
      <c r="C597" t="s">
        <v>1297</v>
      </c>
      <c r="D597" t="s">
        <v>17</v>
      </c>
      <c r="E597" t="s">
        <v>2</v>
      </c>
      <c r="F597" t="s">
        <v>50</v>
      </c>
      <c r="G597" t="s">
        <v>51</v>
      </c>
      <c r="H597" s="6">
        <v>31.1</v>
      </c>
      <c r="I597" t="s">
        <v>52</v>
      </c>
      <c r="J597" t="s">
        <v>126</v>
      </c>
      <c r="K597" t="s">
        <v>54</v>
      </c>
      <c r="L597" t="s">
        <v>55</v>
      </c>
      <c r="O597" t="s">
        <v>56</v>
      </c>
      <c r="P597" t="s">
        <v>57</v>
      </c>
      <c r="Q597" s="6">
        <v>40126.050000000003</v>
      </c>
    </row>
    <row r="598" spans="1:17">
      <c r="A598" t="s">
        <v>1298</v>
      </c>
      <c r="B598" s="5">
        <v>46164</v>
      </c>
      <c r="C598" t="s">
        <v>1299</v>
      </c>
      <c r="D598" t="s">
        <v>17</v>
      </c>
      <c r="E598" t="s">
        <v>2</v>
      </c>
      <c r="F598" t="s">
        <v>50</v>
      </c>
      <c r="G598" t="s">
        <v>51</v>
      </c>
      <c r="H598" s="6">
        <v>100.06</v>
      </c>
      <c r="I598" t="s">
        <v>52</v>
      </c>
      <c r="J598" t="s">
        <v>196</v>
      </c>
      <c r="K598" t="s">
        <v>54</v>
      </c>
      <c r="L598" t="s">
        <v>55</v>
      </c>
      <c r="O598" t="s">
        <v>197</v>
      </c>
      <c r="P598" t="s">
        <v>198</v>
      </c>
      <c r="Q598" s="6">
        <v>39910.199999999997</v>
      </c>
    </row>
    <row r="599" spans="1:17">
      <c r="A599" t="s">
        <v>1300</v>
      </c>
      <c r="B599" s="5">
        <v>46164</v>
      </c>
      <c r="C599" t="s">
        <v>1301</v>
      </c>
      <c r="D599" t="s">
        <v>17</v>
      </c>
      <c r="E599" t="s">
        <v>2</v>
      </c>
      <c r="F599" t="s">
        <v>50</v>
      </c>
      <c r="G599" t="s">
        <v>51</v>
      </c>
      <c r="H599" s="6">
        <v>13.73</v>
      </c>
      <c r="I599" t="s">
        <v>52</v>
      </c>
      <c r="J599" t="s">
        <v>53</v>
      </c>
      <c r="K599" t="s">
        <v>54</v>
      </c>
      <c r="L599" t="s">
        <v>55</v>
      </c>
      <c r="O599" t="s">
        <v>56</v>
      </c>
      <c r="P599" t="s">
        <v>57</v>
      </c>
      <c r="Q599" s="6">
        <v>40100.730000000003</v>
      </c>
    </row>
    <row r="600" spans="1:17">
      <c r="A600" t="s">
        <v>1302</v>
      </c>
      <c r="B600" s="5">
        <v>46164</v>
      </c>
      <c r="C600" t="s">
        <v>1303</v>
      </c>
      <c r="D600" t="s">
        <v>17</v>
      </c>
      <c r="E600" t="s">
        <v>2</v>
      </c>
      <c r="F600" t="s">
        <v>50</v>
      </c>
      <c r="G600" t="s">
        <v>51</v>
      </c>
      <c r="H600" s="6">
        <v>52.21</v>
      </c>
      <c r="I600" t="s">
        <v>52</v>
      </c>
      <c r="J600" t="s">
        <v>81</v>
      </c>
      <c r="K600" t="s">
        <v>54</v>
      </c>
      <c r="L600" t="s">
        <v>55</v>
      </c>
      <c r="O600" t="s">
        <v>82</v>
      </c>
      <c r="P600" t="s">
        <v>83</v>
      </c>
      <c r="Q600" s="6">
        <v>40010.26</v>
      </c>
    </row>
    <row r="601" spans="1:17">
      <c r="A601" t="s">
        <v>1304</v>
      </c>
      <c r="B601" s="5">
        <v>46165</v>
      </c>
      <c r="C601" t="s">
        <v>1305</v>
      </c>
      <c r="D601" t="s">
        <v>17</v>
      </c>
      <c r="E601" t="s">
        <v>2</v>
      </c>
      <c r="F601" t="s">
        <v>50</v>
      </c>
      <c r="G601" t="s">
        <v>51</v>
      </c>
      <c r="H601" s="6">
        <v>42.55</v>
      </c>
      <c r="I601" t="s">
        <v>52</v>
      </c>
      <c r="J601" t="s">
        <v>81</v>
      </c>
      <c r="K601" t="s">
        <v>54</v>
      </c>
      <c r="L601" t="s">
        <v>55</v>
      </c>
      <c r="O601" t="s">
        <v>82</v>
      </c>
      <c r="P601" t="s">
        <v>83</v>
      </c>
      <c r="Q601" s="6">
        <v>39555.160000000003</v>
      </c>
    </row>
    <row r="602" spans="1:17">
      <c r="A602" t="s">
        <v>1306</v>
      </c>
      <c r="B602" s="5">
        <v>46165</v>
      </c>
      <c r="C602" t="s">
        <v>1307</v>
      </c>
      <c r="D602" t="s">
        <v>17</v>
      </c>
      <c r="E602" t="s">
        <v>2</v>
      </c>
      <c r="F602" t="s">
        <v>50</v>
      </c>
      <c r="G602" t="s">
        <v>51</v>
      </c>
      <c r="H602" s="6">
        <v>68.47</v>
      </c>
      <c r="I602" t="s">
        <v>52</v>
      </c>
      <c r="J602" t="s">
        <v>60</v>
      </c>
      <c r="K602" t="s">
        <v>54</v>
      </c>
      <c r="L602" t="s">
        <v>55</v>
      </c>
      <c r="O602" t="s">
        <v>61</v>
      </c>
      <c r="P602" t="s">
        <v>62</v>
      </c>
      <c r="Q602" s="6">
        <v>39790.269999999997</v>
      </c>
    </row>
    <row r="603" spans="1:17">
      <c r="A603" t="s">
        <v>1308</v>
      </c>
      <c r="B603" s="5">
        <v>46165</v>
      </c>
      <c r="C603" t="s">
        <v>1309</v>
      </c>
      <c r="D603" t="s">
        <v>17</v>
      </c>
      <c r="E603" t="s">
        <v>2</v>
      </c>
      <c r="F603" t="s">
        <v>50</v>
      </c>
      <c r="G603" t="s">
        <v>51</v>
      </c>
      <c r="H603" s="6">
        <v>43.29</v>
      </c>
      <c r="I603" t="s">
        <v>52</v>
      </c>
      <c r="J603" t="s">
        <v>126</v>
      </c>
      <c r="K603" t="s">
        <v>54</v>
      </c>
      <c r="L603" t="s">
        <v>55</v>
      </c>
      <c r="O603" t="s">
        <v>56</v>
      </c>
      <c r="P603" t="s">
        <v>57</v>
      </c>
      <c r="Q603" s="6">
        <v>39603.019999999997</v>
      </c>
    </row>
    <row r="604" spans="1:17">
      <c r="A604" t="s">
        <v>1310</v>
      </c>
      <c r="B604" s="5">
        <v>46165</v>
      </c>
      <c r="C604" t="s">
        <v>1311</v>
      </c>
      <c r="D604" t="s">
        <v>17</v>
      </c>
      <c r="E604" t="s">
        <v>2</v>
      </c>
      <c r="F604" t="s">
        <v>50</v>
      </c>
      <c r="G604" t="s">
        <v>51</v>
      </c>
      <c r="H604" s="6">
        <v>5.31</v>
      </c>
      <c r="I604" t="s">
        <v>52</v>
      </c>
      <c r="J604" t="s">
        <v>53</v>
      </c>
      <c r="K604" t="s">
        <v>54</v>
      </c>
      <c r="L604" t="s">
        <v>55</v>
      </c>
      <c r="O604" t="s">
        <v>56</v>
      </c>
      <c r="P604" t="s">
        <v>57</v>
      </c>
      <c r="Q604" s="6">
        <v>39597.71</v>
      </c>
    </row>
    <row r="605" spans="1:17">
      <c r="A605" t="s">
        <v>1312</v>
      </c>
      <c r="B605" s="5">
        <v>46165</v>
      </c>
      <c r="C605" t="s">
        <v>1313</v>
      </c>
      <c r="D605" t="s">
        <v>17</v>
      </c>
      <c r="E605" t="s">
        <v>2</v>
      </c>
      <c r="F605" t="s">
        <v>50</v>
      </c>
      <c r="G605" t="s">
        <v>51</v>
      </c>
      <c r="H605" s="6">
        <v>143.96</v>
      </c>
      <c r="I605" t="s">
        <v>52</v>
      </c>
      <c r="J605" t="s">
        <v>65</v>
      </c>
      <c r="K605" t="s">
        <v>54</v>
      </c>
      <c r="L605" t="s">
        <v>55</v>
      </c>
      <c r="O605" t="s">
        <v>66</v>
      </c>
      <c r="P605" t="s">
        <v>67</v>
      </c>
      <c r="Q605" s="6">
        <v>39646.31</v>
      </c>
    </row>
    <row r="606" spans="1:17">
      <c r="A606" t="s">
        <v>1314</v>
      </c>
      <c r="B606" s="5">
        <v>46166</v>
      </c>
      <c r="C606" t="s">
        <v>1315</v>
      </c>
      <c r="D606" t="s">
        <v>17</v>
      </c>
      <c r="E606" t="s">
        <v>2</v>
      </c>
      <c r="F606" t="s">
        <v>50</v>
      </c>
      <c r="G606" t="s">
        <v>51</v>
      </c>
      <c r="H606" s="6">
        <v>15.45</v>
      </c>
      <c r="I606" t="s">
        <v>52</v>
      </c>
      <c r="J606" t="s">
        <v>121</v>
      </c>
      <c r="K606" t="s">
        <v>54</v>
      </c>
      <c r="L606" t="s">
        <v>55</v>
      </c>
      <c r="O606" t="s">
        <v>122</v>
      </c>
      <c r="P606" t="s">
        <v>123</v>
      </c>
      <c r="Q606" s="6">
        <v>39539.71</v>
      </c>
    </row>
    <row r="607" spans="1:17">
      <c r="A607" t="s">
        <v>1316</v>
      </c>
      <c r="B607" s="5">
        <v>46166</v>
      </c>
      <c r="C607" t="s">
        <v>1317</v>
      </c>
      <c r="D607" t="s">
        <v>17</v>
      </c>
      <c r="E607" t="s">
        <v>2</v>
      </c>
      <c r="F607" t="s">
        <v>50</v>
      </c>
      <c r="G607" t="s">
        <v>51</v>
      </c>
      <c r="H607" s="6">
        <v>4.7</v>
      </c>
      <c r="I607" t="s">
        <v>52</v>
      </c>
      <c r="J607" t="s">
        <v>121</v>
      </c>
      <c r="K607" t="s">
        <v>54</v>
      </c>
      <c r="L607" t="s">
        <v>55</v>
      </c>
      <c r="O607" t="s">
        <v>122</v>
      </c>
      <c r="P607" t="s">
        <v>123</v>
      </c>
      <c r="Q607" s="6">
        <v>39488.82</v>
      </c>
    </row>
    <row r="608" spans="1:17">
      <c r="A608" t="s">
        <v>1318</v>
      </c>
      <c r="B608" s="5">
        <v>46166</v>
      </c>
      <c r="C608" t="s">
        <v>1319</v>
      </c>
      <c r="D608" t="s">
        <v>17</v>
      </c>
      <c r="E608" t="s">
        <v>2</v>
      </c>
      <c r="F608" t="s">
        <v>50</v>
      </c>
      <c r="G608" t="s">
        <v>51</v>
      </c>
      <c r="H608" s="6">
        <v>53.81</v>
      </c>
      <c r="I608" t="s">
        <v>52</v>
      </c>
      <c r="J608" t="s">
        <v>81</v>
      </c>
      <c r="K608" t="s">
        <v>54</v>
      </c>
      <c r="L608" t="s">
        <v>55</v>
      </c>
      <c r="O608" t="s">
        <v>82</v>
      </c>
      <c r="P608" t="s">
        <v>83</v>
      </c>
      <c r="Q608" s="6">
        <v>39435.01</v>
      </c>
    </row>
    <row r="609" spans="1:17">
      <c r="A609" t="s">
        <v>1320</v>
      </c>
      <c r="B609" s="5">
        <v>46166</v>
      </c>
      <c r="C609" t="s">
        <v>1321</v>
      </c>
      <c r="D609" t="s">
        <v>17</v>
      </c>
      <c r="E609" t="s">
        <v>2</v>
      </c>
      <c r="F609" t="s">
        <v>50</v>
      </c>
      <c r="G609" t="s">
        <v>100</v>
      </c>
      <c r="H609" s="6">
        <v>15</v>
      </c>
      <c r="I609" t="s">
        <v>52</v>
      </c>
      <c r="J609" t="s">
        <v>101</v>
      </c>
      <c r="K609" t="s">
        <v>54</v>
      </c>
      <c r="L609" t="s">
        <v>102</v>
      </c>
      <c r="O609" t="s">
        <v>103</v>
      </c>
      <c r="P609" t="s">
        <v>104</v>
      </c>
      <c r="Q609" s="6">
        <v>39524.71</v>
      </c>
    </row>
    <row r="610" spans="1:17">
      <c r="A610" t="s">
        <v>1322</v>
      </c>
      <c r="B610" s="5">
        <v>46166</v>
      </c>
      <c r="C610" t="s">
        <v>1323</v>
      </c>
      <c r="D610" t="s">
        <v>17</v>
      </c>
      <c r="E610" t="s">
        <v>2</v>
      </c>
      <c r="F610" t="s">
        <v>50</v>
      </c>
      <c r="G610" t="s">
        <v>100</v>
      </c>
      <c r="H610" s="6">
        <v>15</v>
      </c>
      <c r="I610" t="s">
        <v>52</v>
      </c>
      <c r="J610" t="s">
        <v>101</v>
      </c>
      <c r="K610" t="s">
        <v>54</v>
      </c>
      <c r="L610" t="s">
        <v>102</v>
      </c>
      <c r="O610" t="s">
        <v>103</v>
      </c>
      <c r="P610" t="s">
        <v>104</v>
      </c>
      <c r="Q610" s="6">
        <v>39509.71</v>
      </c>
    </row>
    <row r="611" spans="1:17">
      <c r="A611" t="s">
        <v>1324</v>
      </c>
      <c r="B611" s="5">
        <v>46166</v>
      </c>
      <c r="C611" t="s">
        <v>1325</v>
      </c>
      <c r="D611" t="s">
        <v>17</v>
      </c>
      <c r="E611" t="s">
        <v>2</v>
      </c>
      <c r="F611" t="s">
        <v>50</v>
      </c>
      <c r="G611" t="s">
        <v>51</v>
      </c>
      <c r="H611" s="6">
        <v>16.190000000000001</v>
      </c>
      <c r="I611" t="s">
        <v>52</v>
      </c>
      <c r="J611" t="s">
        <v>121</v>
      </c>
      <c r="K611" t="s">
        <v>54</v>
      </c>
      <c r="L611" t="s">
        <v>55</v>
      </c>
      <c r="O611" t="s">
        <v>122</v>
      </c>
      <c r="P611" t="s">
        <v>123</v>
      </c>
      <c r="Q611" s="6">
        <v>39493.519999999997</v>
      </c>
    </row>
    <row r="612" spans="1:17">
      <c r="A612" t="s">
        <v>1326</v>
      </c>
      <c r="B612" s="5">
        <v>46167</v>
      </c>
      <c r="C612" t="s">
        <v>1327</v>
      </c>
      <c r="D612" t="s">
        <v>17</v>
      </c>
      <c r="E612" t="s">
        <v>2</v>
      </c>
      <c r="F612" t="s">
        <v>50</v>
      </c>
      <c r="G612" t="s">
        <v>51</v>
      </c>
      <c r="H612" s="6">
        <v>48.53</v>
      </c>
      <c r="I612" t="s">
        <v>52</v>
      </c>
      <c r="J612" t="s">
        <v>60</v>
      </c>
      <c r="K612" t="s">
        <v>54</v>
      </c>
      <c r="L612" t="s">
        <v>55</v>
      </c>
      <c r="O612" t="s">
        <v>61</v>
      </c>
      <c r="P612" t="s">
        <v>62</v>
      </c>
      <c r="Q612" s="6">
        <v>39386.480000000003</v>
      </c>
    </row>
    <row r="613" spans="1:17">
      <c r="A613" t="s">
        <v>1328</v>
      </c>
      <c r="B613" s="5">
        <v>46167</v>
      </c>
      <c r="C613" t="s">
        <v>1329</v>
      </c>
      <c r="D613" t="s">
        <v>17</v>
      </c>
      <c r="E613" t="s">
        <v>2</v>
      </c>
      <c r="F613" t="s">
        <v>50</v>
      </c>
      <c r="G613" t="s">
        <v>51</v>
      </c>
      <c r="H613" s="6">
        <v>17.91</v>
      </c>
      <c r="I613" t="s">
        <v>52</v>
      </c>
      <c r="J613" t="s">
        <v>126</v>
      </c>
      <c r="K613" t="s">
        <v>54</v>
      </c>
      <c r="L613" t="s">
        <v>55</v>
      </c>
      <c r="O613" t="s">
        <v>56</v>
      </c>
      <c r="P613" t="s">
        <v>57</v>
      </c>
      <c r="Q613" s="6">
        <v>39221.660000000003</v>
      </c>
    </row>
    <row r="614" spans="1:17">
      <c r="A614" t="s">
        <v>1330</v>
      </c>
      <c r="B614" s="5">
        <v>46167</v>
      </c>
      <c r="C614" t="s">
        <v>1331</v>
      </c>
      <c r="D614" t="s">
        <v>17</v>
      </c>
      <c r="E614" t="s">
        <v>2</v>
      </c>
      <c r="F614" t="s">
        <v>50</v>
      </c>
      <c r="G614" t="s">
        <v>51</v>
      </c>
      <c r="H614" s="6">
        <v>66.83</v>
      </c>
      <c r="I614" t="s">
        <v>52</v>
      </c>
      <c r="J614" t="s">
        <v>60</v>
      </c>
      <c r="K614" t="s">
        <v>54</v>
      </c>
      <c r="L614" t="s">
        <v>55</v>
      </c>
      <c r="O614" t="s">
        <v>61</v>
      </c>
      <c r="P614" t="s">
        <v>62</v>
      </c>
      <c r="Q614" s="6">
        <v>39249.25</v>
      </c>
    </row>
    <row r="615" spans="1:17">
      <c r="A615" t="s">
        <v>1332</v>
      </c>
      <c r="B615" s="5">
        <v>46167</v>
      </c>
      <c r="C615" t="s">
        <v>1333</v>
      </c>
      <c r="D615" t="s">
        <v>17</v>
      </c>
      <c r="E615" t="s">
        <v>2</v>
      </c>
      <c r="F615" t="s">
        <v>50</v>
      </c>
      <c r="G615" t="s">
        <v>51</v>
      </c>
      <c r="H615" s="6">
        <v>25.6</v>
      </c>
      <c r="I615" t="s">
        <v>52</v>
      </c>
      <c r="J615" t="s">
        <v>126</v>
      </c>
      <c r="K615" t="s">
        <v>54</v>
      </c>
      <c r="L615" t="s">
        <v>55</v>
      </c>
      <c r="O615" t="s">
        <v>56</v>
      </c>
      <c r="P615" t="s">
        <v>57</v>
      </c>
      <c r="Q615" s="6">
        <v>39360.879999999997</v>
      </c>
    </row>
    <row r="616" spans="1:17">
      <c r="A616" t="s">
        <v>1334</v>
      </c>
      <c r="B616" s="5">
        <v>46167</v>
      </c>
      <c r="C616" t="s">
        <v>1335</v>
      </c>
      <c r="D616" t="s">
        <v>17</v>
      </c>
      <c r="E616" t="s">
        <v>2</v>
      </c>
      <c r="F616" t="s">
        <v>50</v>
      </c>
      <c r="G616" t="s">
        <v>51</v>
      </c>
      <c r="H616" s="6">
        <v>9.68</v>
      </c>
      <c r="I616" t="s">
        <v>52</v>
      </c>
      <c r="J616" t="s">
        <v>121</v>
      </c>
      <c r="K616" t="s">
        <v>54</v>
      </c>
      <c r="L616" t="s">
        <v>55</v>
      </c>
      <c r="O616" t="s">
        <v>122</v>
      </c>
      <c r="P616" t="s">
        <v>123</v>
      </c>
      <c r="Q616" s="6">
        <v>39239.57</v>
      </c>
    </row>
    <row r="617" spans="1:17">
      <c r="A617" t="s">
        <v>1336</v>
      </c>
      <c r="B617" s="5">
        <v>46167</v>
      </c>
      <c r="C617" t="s">
        <v>1337</v>
      </c>
      <c r="D617" t="s">
        <v>17</v>
      </c>
      <c r="E617" t="s">
        <v>2</v>
      </c>
      <c r="F617" t="s">
        <v>50</v>
      </c>
      <c r="G617" t="s">
        <v>51</v>
      </c>
      <c r="H617" s="6">
        <v>44.8</v>
      </c>
      <c r="I617" t="s">
        <v>52</v>
      </c>
      <c r="J617" t="s">
        <v>126</v>
      </c>
      <c r="K617" t="s">
        <v>54</v>
      </c>
      <c r="L617" t="s">
        <v>55</v>
      </c>
      <c r="O617" t="s">
        <v>56</v>
      </c>
      <c r="P617" t="s">
        <v>57</v>
      </c>
      <c r="Q617" s="6">
        <v>39316.080000000002</v>
      </c>
    </row>
    <row r="618" spans="1:17">
      <c r="A618" t="s">
        <v>1338</v>
      </c>
      <c r="B618" s="5">
        <v>46168</v>
      </c>
      <c r="C618" t="s">
        <v>1339</v>
      </c>
      <c r="D618" t="s">
        <v>17</v>
      </c>
      <c r="E618" t="s">
        <v>2</v>
      </c>
      <c r="F618" t="s">
        <v>50</v>
      </c>
      <c r="G618" t="s">
        <v>51</v>
      </c>
      <c r="H618" s="6">
        <v>22.83</v>
      </c>
      <c r="I618" t="s">
        <v>52</v>
      </c>
      <c r="J618" t="s">
        <v>60</v>
      </c>
      <c r="K618" t="s">
        <v>54</v>
      </c>
      <c r="L618" t="s">
        <v>55</v>
      </c>
      <c r="O618" t="s">
        <v>61</v>
      </c>
      <c r="P618" t="s">
        <v>62</v>
      </c>
      <c r="Q618" s="6">
        <v>38755.46</v>
      </c>
    </row>
    <row r="619" spans="1:17">
      <c r="A619" t="s">
        <v>1340</v>
      </c>
      <c r="B619" s="5">
        <v>46168</v>
      </c>
      <c r="C619" t="s">
        <v>1341</v>
      </c>
      <c r="D619" t="s">
        <v>17</v>
      </c>
      <c r="E619" t="s">
        <v>2</v>
      </c>
      <c r="F619" t="s">
        <v>50</v>
      </c>
      <c r="G619" t="s">
        <v>51</v>
      </c>
      <c r="H619" s="6">
        <v>34.049999999999997</v>
      </c>
      <c r="I619" t="s">
        <v>52</v>
      </c>
      <c r="J619" t="s">
        <v>60</v>
      </c>
      <c r="K619" t="s">
        <v>54</v>
      </c>
      <c r="L619" t="s">
        <v>55</v>
      </c>
      <c r="O619" t="s">
        <v>61</v>
      </c>
      <c r="P619" t="s">
        <v>62</v>
      </c>
      <c r="Q619" s="6">
        <v>38931.56</v>
      </c>
    </row>
    <row r="620" spans="1:17">
      <c r="A620" t="s">
        <v>1342</v>
      </c>
      <c r="B620" s="5">
        <v>46168</v>
      </c>
      <c r="C620" t="s">
        <v>1343</v>
      </c>
      <c r="D620" t="s">
        <v>17</v>
      </c>
      <c r="E620" t="s">
        <v>2</v>
      </c>
      <c r="F620" t="s">
        <v>50</v>
      </c>
      <c r="G620" t="s">
        <v>51</v>
      </c>
      <c r="H620" s="6">
        <v>9.94</v>
      </c>
      <c r="I620" t="s">
        <v>52</v>
      </c>
      <c r="J620" t="s">
        <v>121</v>
      </c>
      <c r="K620" t="s">
        <v>54</v>
      </c>
      <c r="L620" t="s">
        <v>55</v>
      </c>
      <c r="O620" t="s">
        <v>122</v>
      </c>
      <c r="P620" t="s">
        <v>123</v>
      </c>
      <c r="Q620" s="6">
        <v>38778.29</v>
      </c>
    </row>
    <row r="621" spans="1:17">
      <c r="A621" t="s">
        <v>1344</v>
      </c>
      <c r="B621" s="5">
        <v>46168</v>
      </c>
      <c r="C621" t="s">
        <v>1345</v>
      </c>
      <c r="D621" t="s">
        <v>17</v>
      </c>
      <c r="E621" t="s">
        <v>2</v>
      </c>
      <c r="F621" t="s">
        <v>50</v>
      </c>
      <c r="G621" t="s">
        <v>51</v>
      </c>
      <c r="H621" s="6">
        <v>117.54</v>
      </c>
      <c r="I621" t="s">
        <v>52</v>
      </c>
      <c r="J621" t="s">
        <v>65</v>
      </c>
      <c r="K621" t="s">
        <v>54</v>
      </c>
      <c r="L621" t="s">
        <v>55</v>
      </c>
      <c r="O621" t="s">
        <v>66</v>
      </c>
      <c r="P621" t="s">
        <v>67</v>
      </c>
      <c r="Q621" s="6">
        <v>38965.61</v>
      </c>
    </row>
    <row r="622" spans="1:17">
      <c r="A622" t="s">
        <v>1346</v>
      </c>
      <c r="B622" s="5">
        <v>46168</v>
      </c>
      <c r="C622" t="s">
        <v>1347</v>
      </c>
      <c r="D622" t="s">
        <v>17</v>
      </c>
      <c r="E622" t="s">
        <v>2</v>
      </c>
      <c r="F622" t="s">
        <v>50</v>
      </c>
      <c r="G622" t="s">
        <v>51</v>
      </c>
      <c r="H622" s="6">
        <v>125.68</v>
      </c>
      <c r="I622" t="s">
        <v>52</v>
      </c>
      <c r="J622" t="s">
        <v>65</v>
      </c>
      <c r="K622" t="s">
        <v>54</v>
      </c>
      <c r="L622" t="s">
        <v>55</v>
      </c>
      <c r="O622" t="s">
        <v>66</v>
      </c>
      <c r="P622" t="s">
        <v>67</v>
      </c>
      <c r="Q622" s="6">
        <v>39095.980000000003</v>
      </c>
    </row>
    <row r="623" spans="1:17">
      <c r="A623" t="s">
        <v>1348</v>
      </c>
      <c r="B623" s="5">
        <v>46168</v>
      </c>
      <c r="C623" t="s">
        <v>1349</v>
      </c>
      <c r="D623" t="s">
        <v>17</v>
      </c>
      <c r="E623" t="s">
        <v>2</v>
      </c>
      <c r="F623" t="s">
        <v>149</v>
      </c>
      <c r="G623" t="s">
        <v>72</v>
      </c>
      <c r="H623" s="6">
        <v>83.68</v>
      </c>
      <c r="I623" t="s">
        <v>52</v>
      </c>
      <c r="J623" t="s">
        <v>150</v>
      </c>
      <c r="K623" t="s">
        <v>54</v>
      </c>
      <c r="L623" t="s">
        <v>74</v>
      </c>
      <c r="O623" t="s">
        <v>75</v>
      </c>
      <c r="P623" t="s">
        <v>76</v>
      </c>
      <c r="Q623" s="6">
        <v>38839.14</v>
      </c>
    </row>
    <row r="624" spans="1:17">
      <c r="A624" t="s">
        <v>1350</v>
      </c>
      <c r="B624" s="5">
        <v>46168</v>
      </c>
      <c r="C624" t="s">
        <v>1351</v>
      </c>
      <c r="D624" t="s">
        <v>17</v>
      </c>
      <c r="E624" t="s">
        <v>2</v>
      </c>
      <c r="F624" t="s">
        <v>50</v>
      </c>
      <c r="G624" t="s">
        <v>51</v>
      </c>
      <c r="H624" s="6">
        <v>143.33000000000001</v>
      </c>
      <c r="I624" t="s">
        <v>52</v>
      </c>
      <c r="J624" t="s">
        <v>65</v>
      </c>
      <c r="K624" t="s">
        <v>54</v>
      </c>
      <c r="L624" t="s">
        <v>55</v>
      </c>
      <c r="O624" t="s">
        <v>66</v>
      </c>
      <c r="P624" t="s">
        <v>67</v>
      </c>
      <c r="Q624" s="6">
        <v>38788.230000000003</v>
      </c>
    </row>
    <row r="625" spans="1:17">
      <c r="A625" t="s">
        <v>1352</v>
      </c>
      <c r="B625" s="5">
        <v>46168</v>
      </c>
      <c r="C625" t="s">
        <v>1353</v>
      </c>
      <c r="D625" t="s">
        <v>17</v>
      </c>
      <c r="E625" t="s">
        <v>2</v>
      </c>
      <c r="F625" t="s">
        <v>50</v>
      </c>
      <c r="G625" t="s">
        <v>100</v>
      </c>
      <c r="H625" s="6">
        <v>12.83</v>
      </c>
      <c r="I625" t="s">
        <v>52</v>
      </c>
      <c r="J625" t="s">
        <v>114</v>
      </c>
      <c r="K625" t="s">
        <v>54</v>
      </c>
      <c r="L625" t="s">
        <v>102</v>
      </c>
      <c r="O625" t="s">
        <v>103</v>
      </c>
      <c r="P625" t="s">
        <v>104</v>
      </c>
      <c r="Q625" s="6">
        <v>39083.15</v>
      </c>
    </row>
    <row r="626" spans="1:17">
      <c r="A626" t="s">
        <v>1354</v>
      </c>
      <c r="B626" s="5">
        <v>46169</v>
      </c>
      <c r="C626" t="s">
        <v>1355</v>
      </c>
      <c r="D626" t="s">
        <v>17</v>
      </c>
      <c r="E626" t="s">
        <v>2</v>
      </c>
      <c r="F626" t="s">
        <v>50</v>
      </c>
      <c r="G626" t="s">
        <v>100</v>
      </c>
      <c r="H626" s="6">
        <v>14.9</v>
      </c>
      <c r="I626" t="s">
        <v>52</v>
      </c>
      <c r="J626" t="s">
        <v>114</v>
      </c>
      <c r="K626" t="s">
        <v>54</v>
      </c>
      <c r="L626" t="s">
        <v>102</v>
      </c>
      <c r="O626" t="s">
        <v>103</v>
      </c>
      <c r="P626" t="s">
        <v>104</v>
      </c>
      <c r="Q626" s="6">
        <v>38741.1</v>
      </c>
    </row>
    <row r="627" spans="1:17">
      <c r="A627" t="s">
        <v>1356</v>
      </c>
      <c r="B627" s="5">
        <v>46169</v>
      </c>
      <c r="C627" t="s">
        <v>1357</v>
      </c>
      <c r="D627" t="s">
        <v>17</v>
      </c>
      <c r="E627" t="s">
        <v>2</v>
      </c>
      <c r="F627" t="s">
        <v>50</v>
      </c>
      <c r="G627" t="s">
        <v>51</v>
      </c>
      <c r="H627" s="6">
        <v>16.329999999999998</v>
      </c>
      <c r="I627" t="s">
        <v>52</v>
      </c>
      <c r="J627" t="s">
        <v>121</v>
      </c>
      <c r="K627" t="s">
        <v>54</v>
      </c>
      <c r="L627" t="s">
        <v>55</v>
      </c>
      <c r="O627" t="s">
        <v>122</v>
      </c>
      <c r="P627" t="s">
        <v>123</v>
      </c>
      <c r="Q627" s="6">
        <v>38822.81</v>
      </c>
    </row>
    <row r="628" spans="1:17">
      <c r="A628" t="s">
        <v>1358</v>
      </c>
      <c r="B628" s="5">
        <v>46169</v>
      </c>
      <c r="C628" t="s">
        <v>1359</v>
      </c>
      <c r="D628" t="s">
        <v>17</v>
      </c>
      <c r="E628" t="s">
        <v>2</v>
      </c>
      <c r="F628" t="s">
        <v>50</v>
      </c>
      <c r="G628" t="s">
        <v>51</v>
      </c>
      <c r="H628" s="6">
        <v>68.23</v>
      </c>
      <c r="I628" t="s">
        <v>52</v>
      </c>
      <c r="J628" t="s">
        <v>60</v>
      </c>
      <c r="K628" t="s">
        <v>54</v>
      </c>
      <c r="L628" t="s">
        <v>55</v>
      </c>
      <c r="O628" t="s">
        <v>61</v>
      </c>
      <c r="P628" t="s">
        <v>62</v>
      </c>
      <c r="Q628" s="6">
        <v>38656</v>
      </c>
    </row>
    <row r="629" spans="1:17">
      <c r="A629" t="s">
        <v>1360</v>
      </c>
      <c r="B629" s="5">
        <v>46169</v>
      </c>
      <c r="C629" t="s">
        <v>1361</v>
      </c>
      <c r="D629" t="s">
        <v>17</v>
      </c>
      <c r="E629" t="s">
        <v>2</v>
      </c>
      <c r="F629" t="s">
        <v>50</v>
      </c>
      <c r="G629" t="s">
        <v>51</v>
      </c>
      <c r="H629" s="6">
        <v>57.28</v>
      </c>
      <c r="I629" t="s">
        <v>52</v>
      </c>
      <c r="J629" t="s">
        <v>65</v>
      </c>
      <c r="K629" t="s">
        <v>54</v>
      </c>
      <c r="L629" t="s">
        <v>55</v>
      </c>
      <c r="O629" t="s">
        <v>66</v>
      </c>
      <c r="P629" t="s">
        <v>67</v>
      </c>
      <c r="Q629" s="6">
        <v>38598.720000000001</v>
      </c>
    </row>
    <row r="630" spans="1:17">
      <c r="A630" t="s">
        <v>1362</v>
      </c>
      <c r="B630" s="5">
        <v>46169</v>
      </c>
      <c r="C630" t="s">
        <v>1363</v>
      </c>
      <c r="D630" t="s">
        <v>17</v>
      </c>
      <c r="E630" t="s">
        <v>2</v>
      </c>
      <c r="F630" t="s">
        <v>50</v>
      </c>
      <c r="G630" t="s">
        <v>51</v>
      </c>
      <c r="H630" s="6">
        <v>36.06</v>
      </c>
      <c r="I630" t="s">
        <v>52</v>
      </c>
      <c r="J630" t="s">
        <v>126</v>
      </c>
      <c r="K630" t="s">
        <v>54</v>
      </c>
      <c r="L630" t="s">
        <v>55</v>
      </c>
      <c r="O630" t="s">
        <v>56</v>
      </c>
      <c r="P630" t="s">
        <v>57</v>
      </c>
      <c r="Q630" s="6">
        <v>38562.660000000003</v>
      </c>
    </row>
    <row r="631" spans="1:17">
      <c r="A631" t="s">
        <v>1364</v>
      </c>
      <c r="B631" s="5">
        <v>46169</v>
      </c>
      <c r="C631" t="s">
        <v>1365</v>
      </c>
      <c r="D631" t="s">
        <v>17</v>
      </c>
      <c r="E631" t="s">
        <v>2</v>
      </c>
      <c r="F631" t="s">
        <v>50</v>
      </c>
      <c r="G631" t="s">
        <v>51</v>
      </c>
      <c r="H631" s="6">
        <v>47.57</v>
      </c>
      <c r="I631" t="s">
        <v>52</v>
      </c>
      <c r="J631" t="s">
        <v>60</v>
      </c>
      <c r="K631" t="s">
        <v>54</v>
      </c>
      <c r="L631" t="s">
        <v>55</v>
      </c>
      <c r="O631" t="s">
        <v>61</v>
      </c>
      <c r="P631" t="s">
        <v>62</v>
      </c>
      <c r="Q631" s="6">
        <v>38756</v>
      </c>
    </row>
    <row r="632" spans="1:17">
      <c r="A632" t="s">
        <v>1366</v>
      </c>
      <c r="B632" s="5">
        <v>46169</v>
      </c>
      <c r="C632" t="s">
        <v>1367</v>
      </c>
      <c r="D632" t="s">
        <v>17</v>
      </c>
      <c r="E632" t="s">
        <v>2</v>
      </c>
      <c r="F632" t="s">
        <v>50</v>
      </c>
      <c r="G632" t="s">
        <v>51</v>
      </c>
      <c r="H632" s="6">
        <v>16.87</v>
      </c>
      <c r="I632" t="s">
        <v>52</v>
      </c>
      <c r="J632" t="s">
        <v>121</v>
      </c>
      <c r="K632" t="s">
        <v>54</v>
      </c>
      <c r="L632" t="s">
        <v>55</v>
      </c>
      <c r="O632" t="s">
        <v>122</v>
      </c>
      <c r="P632" t="s">
        <v>123</v>
      </c>
      <c r="Q632" s="6">
        <v>38724.230000000003</v>
      </c>
    </row>
    <row r="633" spans="1:17">
      <c r="A633" t="s">
        <v>1368</v>
      </c>
      <c r="B633" s="5">
        <v>46169</v>
      </c>
      <c r="C633" t="s">
        <v>1369</v>
      </c>
      <c r="D633" t="s">
        <v>17</v>
      </c>
      <c r="E633" t="s">
        <v>2</v>
      </c>
      <c r="F633" t="s">
        <v>50</v>
      </c>
      <c r="G633" t="s">
        <v>100</v>
      </c>
      <c r="H633" s="6">
        <v>19.239999999999998</v>
      </c>
      <c r="I633" t="s">
        <v>52</v>
      </c>
      <c r="J633" t="s">
        <v>114</v>
      </c>
      <c r="K633" t="s">
        <v>54</v>
      </c>
      <c r="L633" t="s">
        <v>102</v>
      </c>
      <c r="O633" t="s">
        <v>103</v>
      </c>
      <c r="P633" t="s">
        <v>104</v>
      </c>
      <c r="Q633" s="6">
        <v>38803.57</v>
      </c>
    </row>
    <row r="634" spans="1:17">
      <c r="A634" t="s">
        <v>1370</v>
      </c>
      <c r="B634" s="5">
        <v>46170</v>
      </c>
      <c r="C634" t="s">
        <v>1371</v>
      </c>
      <c r="D634" t="s">
        <v>17</v>
      </c>
      <c r="E634" t="s">
        <v>2</v>
      </c>
      <c r="F634" t="s">
        <v>50</v>
      </c>
      <c r="G634" t="s">
        <v>100</v>
      </c>
      <c r="H634" s="6">
        <v>10.039999999999999</v>
      </c>
      <c r="I634" t="s">
        <v>52</v>
      </c>
      <c r="J634" t="s">
        <v>114</v>
      </c>
      <c r="K634" t="s">
        <v>54</v>
      </c>
      <c r="L634" t="s">
        <v>102</v>
      </c>
      <c r="O634" t="s">
        <v>103</v>
      </c>
      <c r="P634" t="s">
        <v>104</v>
      </c>
      <c r="Q634" s="6">
        <v>38384.370000000003</v>
      </c>
    </row>
    <row r="635" spans="1:17">
      <c r="A635" t="s">
        <v>1372</v>
      </c>
      <c r="B635" s="5">
        <v>46170</v>
      </c>
      <c r="C635" t="s">
        <v>1373</v>
      </c>
      <c r="D635" t="s">
        <v>17</v>
      </c>
      <c r="E635" t="s">
        <v>2</v>
      </c>
      <c r="F635" t="s">
        <v>50</v>
      </c>
      <c r="G635" t="s">
        <v>51</v>
      </c>
      <c r="H635" s="6">
        <v>60.57</v>
      </c>
      <c r="I635" t="s">
        <v>52</v>
      </c>
      <c r="J635" t="s">
        <v>60</v>
      </c>
      <c r="K635" t="s">
        <v>54</v>
      </c>
      <c r="L635" t="s">
        <v>55</v>
      </c>
      <c r="O635" t="s">
        <v>61</v>
      </c>
      <c r="P635" t="s">
        <v>62</v>
      </c>
      <c r="Q635" s="6">
        <v>38479.22</v>
      </c>
    </row>
    <row r="636" spans="1:17">
      <c r="A636" t="s">
        <v>1374</v>
      </c>
      <c r="B636" s="5">
        <v>46170</v>
      </c>
      <c r="C636" t="s">
        <v>1375</v>
      </c>
      <c r="D636" t="s">
        <v>17</v>
      </c>
      <c r="E636" t="s">
        <v>2</v>
      </c>
      <c r="F636" t="s">
        <v>50</v>
      </c>
      <c r="G636" t="s">
        <v>51</v>
      </c>
      <c r="H636" s="6">
        <v>8.17</v>
      </c>
      <c r="I636" t="s">
        <v>52</v>
      </c>
      <c r="J636" t="s">
        <v>121</v>
      </c>
      <c r="K636" t="s">
        <v>54</v>
      </c>
      <c r="L636" t="s">
        <v>55</v>
      </c>
      <c r="O636" t="s">
        <v>122</v>
      </c>
      <c r="P636" t="s">
        <v>123</v>
      </c>
      <c r="Q636" s="6">
        <v>38471.050000000003</v>
      </c>
    </row>
    <row r="637" spans="1:17">
      <c r="A637" t="s">
        <v>1376</v>
      </c>
      <c r="B637" s="5">
        <v>46170</v>
      </c>
      <c r="C637" t="s">
        <v>1377</v>
      </c>
      <c r="D637" t="s">
        <v>17</v>
      </c>
      <c r="E637" t="s">
        <v>2</v>
      </c>
      <c r="F637" t="s">
        <v>50</v>
      </c>
      <c r="G637" t="s">
        <v>51</v>
      </c>
      <c r="H637" s="6">
        <v>14.83</v>
      </c>
      <c r="I637" t="s">
        <v>52</v>
      </c>
      <c r="J637" t="s">
        <v>53</v>
      </c>
      <c r="K637" t="s">
        <v>54</v>
      </c>
      <c r="L637" t="s">
        <v>55</v>
      </c>
      <c r="O637" t="s">
        <v>56</v>
      </c>
      <c r="P637" t="s">
        <v>57</v>
      </c>
      <c r="Q637" s="6">
        <v>38394.410000000003</v>
      </c>
    </row>
    <row r="638" spans="1:17">
      <c r="A638" t="s">
        <v>1378</v>
      </c>
      <c r="B638" s="5">
        <v>46170</v>
      </c>
      <c r="C638" t="s">
        <v>1379</v>
      </c>
      <c r="D638" t="s">
        <v>17</v>
      </c>
      <c r="E638" t="s">
        <v>2</v>
      </c>
      <c r="F638" t="s">
        <v>50</v>
      </c>
      <c r="G638" t="s">
        <v>100</v>
      </c>
      <c r="H638" s="6">
        <v>15</v>
      </c>
      <c r="I638" t="s">
        <v>52</v>
      </c>
      <c r="J638" t="s">
        <v>101</v>
      </c>
      <c r="K638" t="s">
        <v>54</v>
      </c>
      <c r="L638" t="s">
        <v>102</v>
      </c>
      <c r="O638" t="s">
        <v>103</v>
      </c>
      <c r="P638" t="s">
        <v>104</v>
      </c>
      <c r="Q638" s="6">
        <v>38409.24</v>
      </c>
    </row>
    <row r="639" spans="1:17">
      <c r="A639" t="s">
        <v>1380</v>
      </c>
      <c r="B639" s="5">
        <v>46170</v>
      </c>
      <c r="C639" t="s">
        <v>1381</v>
      </c>
      <c r="D639" t="s">
        <v>17</v>
      </c>
      <c r="E639" t="s">
        <v>2</v>
      </c>
      <c r="F639" t="s">
        <v>149</v>
      </c>
      <c r="G639" t="s">
        <v>321</v>
      </c>
      <c r="H639" s="6">
        <v>3229.67</v>
      </c>
      <c r="I639" t="s">
        <v>52</v>
      </c>
      <c r="J639" t="s">
        <v>9</v>
      </c>
      <c r="K639" t="s">
        <v>54</v>
      </c>
      <c r="L639" t="s">
        <v>102</v>
      </c>
      <c r="O639" t="s">
        <v>322</v>
      </c>
      <c r="P639" t="s">
        <v>323</v>
      </c>
      <c r="Q639" s="6">
        <v>32286.2</v>
      </c>
    </row>
    <row r="640" spans="1:17">
      <c r="A640" t="s">
        <v>1382</v>
      </c>
      <c r="B640" s="5">
        <v>46170</v>
      </c>
      <c r="C640" t="s">
        <v>1383</v>
      </c>
      <c r="D640" t="s">
        <v>17</v>
      </c>
      <c r="E640" t="s">
        <v>2</v>
      </c>
      <c r="F640" t="s">
        <v>50</v>
      </c>
      <c r="G640" t="s">
        <v>51</v>
      </c>
      <c r="H640" s="6">
        <v>22.87</v>
      </c>
      <c r="I640" t="s">
        <v>52</v>
      </c>
      <c r="J640" t="s">
        <v>126</v>
      </c>
      <c r="K640" t="s">
        <v>54</v>
      </c>
      <c r="L640" t="s">
        <v>55</v>
      </c>
      <c r="O640" t="s">
        <v>56</v>
      </c>
      <c r="P640" t="s">
        <v>57</v>
      </c>
      <c r="Q640" s="6">
        <v>38539.79</v>
      </c>
    </row>
    <row r="641" spans="1:17">
      <c r="A641" t="s">
        <v>1384</v>
      </c>
      <c r="B641" s="5">
        <v>46170</v>
      </c>
      <c r="C641" t="s">
        <v>1385</v>
      </c>
      <c r="D641" t="s">
        <v>17</v>
      </c>
      <c r="E641" t="s">
        <v>2</v>
      </c>
      <c r="F641" t="s">
        <v>50</v>
      </c>
      <c r="G641" t="s">
        <v>51</v>
      </c>
      <c r="H641" s="6">
        <v>46.81</v>
      </c>
      <c r="I641" t="s">
        <v>52</v>
      </c>
      <c r="J641" t="s">
        <v>60</v>
      </c>
      <c r="K641" t="s">
        <v>54</v>
      </c>
      <c r="L641" t="s">
        <v>55</v>
      </c>
      <c r="O641" t="s">
        <v>61</v>
      </c>
      <c r="P641" t="s">
        <v>62</v>
      </c>
      <c r="Q641" s="6">
        <v>38424.239999999998</v>
      </c>
    </row>
    <row r="642" spans="1:17">
      <c r="A642" t="s">
        <v>1386</v>
      </c>
      <c r="B642" s="5">
        <v>46171</v>
      </c>
      <c r="C642" t="s">
        <v>1387</v>
      </c>
      <c r="D642" t="s">
        <v>17</v>
      </c>
      <c r="E642" t="s">
        <v>2</v>
      </c>
      <c r="F642" t="s">
        <v>50</v>
      </c>
      <c r="G642" t="s">
        <v>51</v>
      </c>
      <c r="H642" s="6">
        <v>47.1</v>
      </c>
      <c r="I642" t="s">
        <v>52</v>
      </c>
      <c r="J642" t="s">
        <v>60</v>
      </c>
      <c r="K642" t="s">
        <v>54</v>
      </c>
      <c r="L642" t="s">
        <v>55</v>
      </c>
      <c r="O642" t="s">
        <v>61</v>
      </c>
      <c r="P642" t="s">
        <v>62</v>
      </c>
      <c r="Q642" s="6">
        <v>38262.639999999999</v>
      </c>
    </row>
    <row r="643" spans="1:17">
      <c r="A643" t="s">
        <v>1388</v>
      </c>
      <c r="B643" s="5">
        <v>46171</v>
      </c>
      <c r="C643" t="s">
        <v>1389</v>
      </c>
      <c r="D643" t="s">
        <v>17</v>
      </c>
      <c r="E643" t="s">
        <v>2</v>
      </c>
      <c r="F643" t="s">
        <v>50</v>
      </c>
      <c r="G643" t="s">
        <v>51</v>
      </c>
      <c r="H643" s="6">
        <v>45.25</v>
      </c>
      <c r="I643" t="s">
        <v>52</v>
      </c>
      <c r="J643" t="s">
        <v>126</v>
      </c>
      <c r="K643" t="s">
        <v>54</v>
      </c>
      <c r="L643" t="s">
        <v>55</v>
      </c>
      <c r="O643" t="s">
        <v>56</v>
      </c>
      <c r="P643" t="s">
        <v>57</v>
      </c>
      <c r="Q643" s="6">
        <v>38339.120000000003</v>
      </c>
    </row>
    <row r="644" spans="1:17">
      <c r="A644" t="s">
        <v>1390</v>
      </c>
      <c r="B644" s="5">
        <v>46171</v>
      </c>
      <c r="C644" t="s">
        <v>1391</v>
      </c>
      <c r="D644" t="s">
        <v>17</v>
      </c>
      <c r="E644" t="s">
        <v>2</v>
      </c>
      <c r="F644" t="s">
        <v>50</v>
      </c>
      <c r="G644" t="s">
        <v>51</v>
      </c>
      <c r="H644" s="6">
        <v>22.11</v>
      </c>
      <c r="I644" t="s">
        <v>52</v>
      </c>
      <c r="J644" t="s">
        <v>81</v>
      </c>
      <c r="K644" t="s">
        <v>54</v>
      </c>
      <c r="L644" t="s">
        <v>55</v>
      </c>
      <c r="O644" t="s">
        <v>82</v>
      </c>
      <c r="P644" t="s">
        <v>83</v>
      </c>
      <c r="Q644" s="6">
        <v>38309.74</v>
      </c>
    </row>
    <row r="645" spans="1:17">
      <c r="A645" t="s">
        <v>1392</v>
      </c>
      <c r="B645" s="5">
        <v>46171</v>
      </c>
      <c r="C645" t="s">
        <v>1393</v>
      </c>
      <c r="D645" t="s">
        <v>17</v>
      </c>
      <c r="E645" t="s">
        <v>2</v>
      </c>
      <c r="F645" t="s">
        <v>50</v>
      </c>
      <c r="G645" t="s">
        <v>51</v>
      </c>
      <c r="H645" s="6">
        <v>7.27</v>
      </c>
      <c r="I645" t="s">
        <v>52</v>
      </c>
      <c r="J645" t="s">
        <v>121</v>
      </c>
      <c r="K645" t="s">
        <v>54</v>
      </c>
      <c r="L645" t="s">
        <v>55</v>
      </c>
      <c r="O645" t="s">
        <v>122</v>
      </c>
      <c r="P645" t="s">
        <v>123</v>
      </c>
      <c r="Q645" s="6">
        <v>38331.85</v>
      </c>
    </row>
    <row r="646" spans="1:17">
      <c r="A646" t="s">
        <v>1394</v>
      </c>
      <c r="B646" s="5">
        <v>46171</v>
      </c>
      <c r="C646" t="s">
        <v>1395</v>
      </c>
      <c r="D646" t="s">
        <v>17</v>
      </c>
      <c r="E646" t="s">
        <v>2</v>
      </c>
      <c r="F646" t="s">
        <v>50</v>
      </c>
      <c r="G646" t="s">
        <v>100</v>
      </c>
      <c r="H646" s="6">
        <v>15</v>
      </c>
      <c r="I646" t="s">
        <v>52</v>
      </c>
      <c r="J646" t="s">
        <v>101</v>
      </c>
      <c r="K646" t="s">
        <v>54</v>
      </c>
      <c r="L646" t="s">
        <v>102</v>
      </c>
      <c r="O646" t="s">
        <v>103</v>
      </c>
      <c r="P646" t="s">
        <v>104</v>
      </c>
      <c r="Q646" s="6">
        <v>38222.92</v>
      </c>
    </row>
    <row r="647" spans="1:17">
      <c r="A647" t="s">
        <v>1396</v>
      </c>
      <c r="B647" s="5">
        <v>46171</v>
      </c>
      <c r="C647" t="s">
        <v>1397</v>
      </c>
      <c r="D647" t="s">
        <v>17</v>
      </c>
      <c r="E647" t="s">
        <v>2</v>
      </c>
      <c r="F647" t="s">
        <v>50</v>
      </c>
      <c r="G647" t="s">
        <v>88</v>
      </c>
      <c r="H647" s="6">
        <v>60</v>
      </c>
      <c r="I647" t="s">
        <v>52</v>
      </c>
      <c r="J647" t="s">
        <v>89</v>
      </c>
      <c r="K647" t="s">
        <v>54</v>
      </c>
      <c r="L647" t="s">
        <v>90</v>
      </c>
      <c r="M647" t="s">
        <v>91</v>
      </c>
      <c r="N647" t="s">
        <v>12</v>
      </c>
      <c r="O647" t="s">
        <v>92</v>
      </c>
      <c r="P647" t="s">
        <v>93</v>
      </c>
      <c r="Q647" s="6">
        <v>38162.92</v>
      </c>
    </row>
    <row r="648" spans="1:17">
      <c r="A648" t="s">
        <v>1398</v>
      </c>
      <c r="B648" s="5">
        <v>46171</v>
      </c>
      <c r="C648" t="s">
        <v>1399</v>
      </c>
      <c r="D648" t="s">
        <v>17</v>
      </c>
      <c r="E648" t="s">
        <v>2</v>
      </c>
      <c r="F648" t="s">
        <v>50</v>
      </c>
      <c r="G648" t="s">
        <v>100</v>
      </c>
      <c r="H648" s="6">
        <v>24.72</v>
      </c>
      <c r="I648" t="s">
        <v>52</v>
      </c>
      <c r="J648" t="s">
        <v>114</v>
      </c>
      <c r="K648" t="s">
        <v>54</v>
      </c>
      <c r="L648" t="s">
        <v>102</v>
      </c>
      <c r="O648" t="s">
        <v>103</v>
      </c>
      <c r="P648" t="s">
        <v>104</v>
      </c>
      <c r="Q648" s="6">
        <v>38237.919999999998</v>
      </c>
    </row>
    <row r="649" spans="1:17">
      <c r="A649" t="s">
        <v>1400</v>
      </c>
      <c r="B649" s="5">
        <v>46172</v>
      </c>
      <c r="C649" t="s">
        <v>1401</v>
      </c>
      <c r="D649" t="s">
        <v>17</v>
      </c>
      <c r="E649" t="s">
        <v>2</v>
      </c>
      <c r="F649" t="s">
        <v>50</v>
      </c>
      <c r="G649" t="s">
        <v>51</v>
      </c>
      <c r="H649" s="6">
        <v>138.78</v>
      </c>
      <c r="I649" t="s">
        <v>52</v>
      </c>
      <c r="J649" t="s">
        <v>65</v>
      </c>
      <c r="K649" t="s">
        <v>54</v>
      </c>
      <c r="L649" t="s">
        <v>55</v>
      </c>
      <c r="O649" t="s">
        <v>66</v>
      </c>
      <c r="P649" t="s">
        <v>67</v>
      </c>
      <c r="Q649" s="6">
        <v>37783.730000000003</v>
      </c>
    </row>
    <row r="650" spans="1:17">
      <c r="A650" t="s">
        <v>1402</v>
      </c>
      <c r="B650" s="5">
        <v>46172</v>
      </c>
      <c r="C650" t="s">
        <v>1403</v>
      </c>
      <c r="D650" t="s">
        <v>17</v>
      </c>
      <c r="E650" t="s">
        <v>2</v>
      </c>
      <c r="F650" t="s">
        <v>50</v>
      </c>
      <c r="G650" t="s">
        <v>51</v>
      </c>
      <c r="H650" s="6">
        <v>36.47</v>
      </c>
      <c r="I650" t="s">
        <v>52</v>
      </c>
      <c r="J650" t="s">
        <v>126</v>
      </c>
      <c r="K650" t="s">
        <v>54</v>
      </c>
      <c r="L650" t="s">
        <v>55</v>
      </c>
      <c r="O650" t="s">
        <v>56</v>
      </c>
      <c r="P650" t="s">
        <v>57</v>
      </c>
      <c r="Q650" s="6">
        <v>37703.379999999997</v>
      </c>
    </row>
    <row r="651" spans="1:17">
      <c r="A651" t="s">
        <v>1404</v>
      </c>
      <c r="B651" s="5">
        <v>46172</v>
      </c>
      <c r="C651" t="s">
        <v>1405</v>
      </c>
      <c r="D651" t="s">
        <v>17</v>
      </c>
      <c r="E651" t="s">
        <v>2</v>
      </c>
      <c r="F651" t="s">
        <v>50</v>
      </c>
      <c r="G651" t="s">
        <v>51</v>
      </c>
      <c r="H651" s="6">
        <v>142.38</v>
      </c>
      <c r="I651" t="s">
        <v>52</v>
      </c>
      <c r="J651" t="s">
        <v>196</v>
      </c>
      <c r="K651" t="s">
        <v>54</v>
      </c>
      <c r="L651" t="s">
        <v>55</v>
      </c>
      <c r="O651" t="s">
        <v>197</v>
      </c>
      <c r="P651" t="s">
        <v>198</v>
      </c>
      <c r="Q651" s="6">
        <v>37925.96</v>
      </c>
    </row>
    <row r="652" spans="1:17">
      <c r="A652" t="s">
        <v>1406</v>
      </c>
      <c r="B652" s="5">
        <v>46172</v>
      </c>
      <c r="C652" t="s">
        <v>1407</v>
      </c>
      <c r="D652" t="s">
        <v>17</v>
      </c>
      <c r="E652" t="s">
        <v>2</v>
      </c>
      <c r="F652" t="s">
        <v>50</v>
      </c>
      <c r="G652" t="s">
        <v>51</v>
      </c>
      <c r="H652" s="6">
        <v>19.13</v>
      </c>
      <c r="I652" t="s">
        <v>52</v>
      </c>
      <c r="J652" t="s">
        <v>121</v>
      </c>
      <c r="K652" t="s">
        <v>54</v>
      </c>
      <c r="L652" t="s">
        <v>55</v>
      </c>
      <c r="O652" t="s">
        <v>122</v>
      </c>
      <c r="P652" t="s">
        <v>123</v>
      </c>
      <c r="Q652" s="6">
        <v>37764.6</v>
      </c>
    </row>
    <row r="653" spans="1:17">
      <c r="A653" t="s">
        <v>1408</v>
      </c>
      <c r="B653" s="5">
        <v>46172</v>
      </c>
      <c r="C653" t="s">
        <v>1409</v>
      </c>
      <c r="D653" t="s">
        <v>17</v>
      </c>
      <c r="E653" t="s">
        <v>2</v>
      </c>
      <c r="F653" t="s">
        <v>50</v>
      </c>
      <c r="G653" t="s">
        <v>72</v>
      </c>
      <c r="H653" s="6">
        <v>132.13999999999999</v>
      </c>
      <c r="I653" t="s">
        <v>52</v>
      </c>
      <c r="J653" t="s">
        <v>316</v>
      </c>
      <c r="K653" t="s">
        <v>54</v>
      </c>
      <c r="L653" t="s">
        <v>74</v>
      </c>
      <c r="O653" t="s">
        <v>75</v>
      </c>
      <c r="P653" t="s">
        <v>76</v>
      </c>
      <c r="Q653" s="6">
        <v>37571.24</v>
      </c>
    </row>
    <row r="654" spans="1:17">
      <c r="A654" t="s">
        <v>1410</v>
      </c>
      <c r="B654" s="5">
        <v>46172</v>
      </c>
      <c r="C654" t="s">
        <v>1411</v>
      </c>
      <c r="D654" t="s">
        <v>17</v>
      </c>
      <c r="E654" t="s">
        <v>2</v>
      </c>
      <c r="F654" t="s">
        <v>50</v>
      </c>
      <c r="G654" t="s">
        <v>51</v>
      </c>
      <c r="H654" s="6">
        <v>3.45</v>
      </c>
      <c r="I654" t="s">
        <v>52</v>
      </c>
      <c r="J654" t="s">
        <v>121</v>
      </c>
      <c r="K654" t="s">
        <v>54</v>
      </c>
      <c r="L654" t="s">
        <v>55</v>
      </c>
      <c r="O654" t="s">
        <v>122</v>
      </c>
      <c r="P654" t="s">
        <v>123</v>
      </c>
      <c r="Q654" s="6">
        <v>37922.51</v>
      </c>
    </row>
    <row r="655" spans="1:17">
      <c r="A655" t="s">
        <v>1412</v>
      </c>
      <c r="B655" s="5">
        <v>46172</v>
      </c>
      <c r="C655" t="s">
        <v>1413</v>
      </c>
      <c r="D655" t="s">
        <v>17</v>
      </c>
      <c r="E655" t="s">
        <v>2</v>
      </c>
      <c r="F655" t="s">
        <v>50</v>
      </c>
      <c r="G655" t="s">
        <v>100</v>
      </c>
      <c r="H655" s="6">
        <v>24.75</v>
      </c>
      <c r="I655" t="s">
        <v>52</v>
      </c>
      <c r="J655" t="s">
        <v>114</v>
      </c>
      <c r="K655" t="s">
        <v>54</v>
      </c>
      <c r="L655" t="s">
        <v>102</v>
      </c>
      <c r="O655" t="s">
        <v>103</v>
      </c>
      <c r="P655" t="s">
        <v>104</v>
      </c>
      <c r="Q655" s="6">
        <v>37739.85</v>
      </c>
    </row>
    <row r="656" spans="1:17">
      <c r="A656" t="s">
        <v>1414</v>
      </c>
      <c r="B656" s="5">
        <v>46172</v>
      </c>
      <c r="C656" t="s">
        <v>1415</v>
      </c>
      <c r="D656" t="s">
        <v>17</v>
      </c>
      <c r="E656" t="s">
        <v>2</v>
      </c>
      <c r="F656" t="s">
        <v>50</v>
      </c>
      <c r="G656" t="s">
        <v>51</v>
      </c>
      <c r="H656" s="6">
        <v>94.58</v>
      </c>
      <c r="I656" t="s">
        <v>52</v>
      </c>
      <c r="J656" t="s">
        <v>196</v>
      </c>
      <c r="K656" t="s">
        <v>54</v>
      </c>
      <c r="L656" t="s">
        <v>55</v>
      </c>
      <c r="O656" t="s">
        <v>197</v>
      </c>
      <c r="P656" t="s">
        <v>198</v>
      </c>
      <c r="Q656" s="6">
        <v>38068.339999999997</v>
      </c>
    </row>
    <row r="657" spans="1:17">
      <c r="A657" t="s">
        <v>1416</v>
      </c>
      <c r="B657" s="5">
        <v>46172</v>
      </c>
      <c r="C657" t="s">
        <v>1417</v>
      </c>
      <c r="D657" t="s">
        <v>17</v>
      </c>
      <c r="E657" t="s">
        <v>2</v>
      </c>
      <c r="F657" t="s">
        <v>50</v>
      </c>
      <c r="G657" t="s">
        <v>88</v>
      </c>
      <c r="H657" s="6">
        <v>40</v>
      </c>
      <c r="I657" t="s">
        <v>52</v>
      </c>
      <c r="J657" t="s">
        <v>89</v>
      </c>
      <c r="K657" t="s">
        <v>54</v>
      </c>
      <c r="L657" t="s">
        <v>90</v>
      </c>
      <c r="M657" t="s">
        <v>91</v>
      </c>
      <c r="N657" t="s">
        <v>12</v>
      </c>
      <c r="O657" t="s">
        <v>92</v>
      </c>
      <c r="P657" t="s">
        <v>93</v>
      </c>
      <c r="Q657" s="6">
        <v>37531.24</v>
      </c>
    </row>
    <row r="658" spans="1:17">
      <c r="A658" t="s">
        <v>1418</v>
      </c>
      <c r="B658" s="5">
        <v>46173</v>
      </c>
      <c r="C658" t="s">
        <v>1419</v>
      </c>
      <c r="D658" t="s">
        <v>17</v>
      </c>
      <c r="E658" t="s">
        <v>2</v>
      </c>
      <c r="F658" t="s">
        <v>50</v>
      </c>
      <c r="G658" t="s">
        <v>51</v>
      </c>
      <c r="H658" s="6">
        <v>51.59</v>
      </c>
      <c r="I658" t="s">
        <v>52</v>
      </c>
      <c r="J658" t="s">
        <v>60</v>
      </c>
      <c r="K658" t="s">
        <v>54</v>
      </c>
      <c r="L658" t="s">
        <v>55</v>
      </c>
      <c r="O658" t="s">
        <v>61</v>
      </c>
      <c r="P658" t="s">
        <v>62</v>
      </c>
      <c r="Q658" s="6">
        <v>37479.65</v>
      </c>
    </row>
    <row r="659" spans="1:17">
      <c r="A659" t="s">
        <v>1420</v>
      </c>
      <c r="B659" s="5">
        <v>46173</v>
      </c>
      <c r="C659" t="s">
        <v>1307</v>
      </c>
      <c r="D659" t="s">
        <v>17</v>
      </c>
      <c r="E659" t="s">
        <v>2</v>
      </c>
      <c r="F659" t="s">
        <v>50</v>
      </c>
      <c r="G659" t="s">
        <v>51</v>
      </c>
      <c r="H659" s="6">
        <v>29.77</v>
      </c>
      <c r="I659" t="s">
        <v>52</v>
      </c>
      <c r="J659" t="s">
        <v>60</v>
      </c>
      <c r="K659" t="s">
        <v>54</v>
      </c>
      <c r="L659" t="s">
        <v>55</v>
      </c>
      <c r="O659" t="s">
        <v>61</v>
      </c>
      <c r="P659" t="s">
        <v>62</v>
      </c>
      <c r="Q659" s="6">
        <v>37408.83</v>
      </c>
    </row>
    <row r="660" spans="1:17">
      <c r="A660" t="s">
        <v>1421</v>
      </c>
      <c r="B660" s="5">
        <v>46173</v>
      </c>
      <c r="C660" t="s">
        <v>1422</v>
      </c>
      <c r="D660" t="s">
        <v>17</v>
      </c>
      <c r="E660" t="s">
        <v>2</v>
      </c>
      <c r="F660" t="s">
        <v>50</v>
      </c>
      <c r="G660" t="s">
        <v>51</v>
      </c>
      <c r="H660" s="6">
        <v>7.27</v>
      </c>
      <c r="I660" t="s">
        <v>52</v>
      </c>
      <c r="J660" t="s">
        <v>53</v>
      </c>
      <c r="K660" t="s">
        <v>54</v>
      </c>
      <c r="L660" t="s">
        <v>55</v>
      </c>
      <c r="O660" t="s">
        <v>56</v>
      </c>
      <c r="P660" t="s">
        <v>57</v>
      </c>
      <c r="Q660" s="6">
        <v>37438.6</v>
      </c>
    </row>
    <row r="661" spans="1:17">
      <c r="A661" t="s">
        <v>1423</v>
      </c>
      <c r="B661" s="5">
        <v>46173</v>
      </c>
      <c r="C661" t="s">
        <v>1424</v>
      </c>
      <c r="D661" t="s">
        <v>17</v>
      </c>
      <c r="E661" t="s">
        <v>2</v>
      </c>
      <c r="F661" t="s">
        <v>50</v>
      </c>
      <c r="G661" t="s">
        <v>100</v>
      </c>
      <c r="H661" s="6">
        <v>15</v>
      </c>
      <c r="I661" t="s">
        <v>52</v>
      </c>
      <c r="J661" t="s">
        <v>101</v>
      </c>
      <c r="K661" t="s">
        <v>54</v>
      </c>
      <c r="L661" t="s">
        <v>102</v>
      </c>
      <c r="O661" t="s">
        <v>103</v>
      </c>
      <c r="P661" t="s">
        <v>104</v>
      </c>
      <c r="Q661" s="6">
        <v>37364.69</v>
      </c>
    </row>
    <row r="662" spans="1:17">
      <c r="A662" t="s">
        <v>1425</v>
      </c>
      <c r="B662" s="5">
        <v>46173</v>
      </c>
      <c r="C662" t="s">
        <v>1426</v>
      </c>
      <c r="D662" t="s">
        <v>17</v>
      </c>
      <c r="E662" t="s">
        <v>2</v>
      </c>
      <c r="F662" t="s">
        <v>50</v>
      </c>
      <c r="G662" t="s">
        <v>51</v>
      </c>
      <c r="H662" s="6">
        <v>17.47</v>
      </c>
      <c r="I662" t="s">
        <v>52</v>
      </c>
      <c r="J662" t="s">
        <v>126</v>
      </c>
      <c r="K662" t="s">
        <v>54</v>
      </c>
      <c r="L662" t="s">
        <v>55</v>
      </c>
      <c r="O662" t="s">
        <v>56</v>
      </c>
      <c r="P662" t="s">
        <v>57</v>
      </c>
      <c r="Q662" s="6">
        <v>37462.18</v>
      </c>
    </row>
    <row r="663" spans="1:17">
      <c r="A663" t="s">
        <v>1427</v>
      </c>
      <c r="B663" s="5">
        <v>46173</v>
      </c>
      <c r="C663" t="s">
        <v>1428</v>
      </c>
      <c r="D663" t="s">
        <v>17</v>
      </c>
      <c r="E663" t="s">
        <v>2</v>
      </c>
      <c r="F663" t="s">
        <v>50</v>
      </c>
      <c r="G663" t="s">
        <v>51</v>
      </c>
      <c r="H663" s="6">
        <v>29.88</v>
      </c>
      <c r="I663" t="s">
        <v>52</v>
      </c>
      <c r="J663" t="s">
        <v>60</v>
      </c>
      <c r="K663" t="s">
        <v>54</v>
      </c>
      <c r="L663" t="s">
        <v>55</v>
      </c>
      <c r="O663" t="s">
        <v>61</v>
      </c>
      <c r="P663" t="s">
        <v>62</v>
      </c>
      <c r="Q663" s="6">
        <v>37334.81</v>
      </c>
    </row>
    <row r="664" spans="1:17">
      <c r="A664" t="s">
        <v>1429</v>
      </c>
      <c r="B664" s="5">
        <v>46173</v>
      </c>
      <c r="C664" t="s">
        <v>1430</v>
      </c>
      <c r="D664" t="s">
        <v>17</v>
      </c>
      <c r="E664" t="s">
        <v>2</v>
      </c>
      <c r="F664" t="s">
        <v>50</v>
      </c>
      <c r="G664" t="s">
        <v>88</v>
      </c>
      <c r="H664" s="6">
        <v>200</v>
      </c>
      <c r="I664" t="s">
        <v>52</v>
      </c>
      <c r="J664" t="s">
        <v>89</v>
      </c>
      <c r="K664" t="s">
        <v>54</v>
      </c>
      <c r="L664" t="s">
        <v>90</v>
      </c>
      <c r="M664" t="s">
        <v>91</v>
      </c>
      <c r="N664" t="s">
        <v>12</v>
      </c>
      <c r="O664" t="s">
        <v>92</v>
      </c>
      <c r="P664" t="s">
        <v>93</v>
      </c>
      <c r="Q664" s="6">
        <v>37134.81</v>
      </c>
    </row>
    <row r="665" spans="1:17">
      <c r="A665" t="s">
        <v>1431</v>
      </c>
      <c r="B665" s="5">
        <v>46173</v>
      </c>
      <c r="C665" t="s">
        <v>1432</v>
      </c>
      <c r="D665" t="s">
        <v>17</v>
      </c>
      <c r="E665" t="s">
        <v>2</v>
      </c>
      <c r="F665" t="s">
        <v>50</v>
      </c>
      <c r="G665" t="s">
        <v>51</v>
      </c>
      <c r="H665" s="6">
        <v>16.309999999999999</v>
      </c>
      <c r="I665" t="s">
        <v>52</v>
      </c>
      <c r="J665" t="s">
        <v>121</v>
      </c>
      <c r="K665" t="s">
        <v>54</v>
      </c>
      <c r="L665" t="s">
        <v>55</v>
      </c>
      <c r="O665" t="s">
        <v>122</v>
      </c>
      <c r="P665" t="s">
        <v>123</v>
      </c>
      <c r="Q665" s="6">
        <v>37445.870000000003</v>
      </c>
    </row>
    <row r="666" spans="1:17">
      <c r="A666" t="s">
        <v>1433</v>
      </c>
      <c r="B666" s="5">
        <v>46173</v>
      </c>
      <c r="C666" t="s">
        <v>1434</v>
      </c>
      <c r="D666" t="s">
        <v>17</v>
      </c>
      <c r="E666" t="s">
        <v>2</v>
      </c>
      <c r="F666" t="s">
        <v>50</v>
      </c>
      <c r="G666" t="s">
        <v>51</v>
      </c>
      <c r="H666" s="6">
        <v>29.14</v>
      </c>
      <c r="I666" t="s">
        <v>52</v>
      </c>
      <c r="J666" t="s">
        <v>81</v>
      </c>
      <c r="K666" t="s">
        <v>54</v>
      </c>
      <c r="L666" t="s">
        <v>55</v>
      </c>
      <c r="O666" t="s">
        <v>82</v>
      </c>
      <c r="P666" t="s">
        <v>83</v>
      </c>
      <c r="Q666" s="6">
        <v>37379.69</v>
      </c>
    </row>
    <row r="667" spans="1:17">
      <c r="A667" t="s">
        <v>1435</v>
      </c>
      <c r="B667" s="5">
        <v>46174</v>
      </c>
      <c r="C667" t="s">
        <v>1436</v>
      </c>
      <c r="D667" t="s">
        <v>17</v>
      </c>
      <c r="E667" t="s">
        <v>2</v>
      </c>
      <c r="F667" t="s">
        <v>50</v>
      </c>
      <c r="G667" t="s">
        <v>51</v>
      </c>
      <c r="H667" s="6">
        <v>28.6</v>
      </c>
      <c r="I667" t="s">
        <v>52</v>
      </c>
      <c r="J667" t="s">
        <v>81</v>
      </c>
      <c r="K667" t="s">
        <v>54</v>
      </c>
      <c r="L667" t="s">
        <v>55</v>
      </c>
      <c r="O667" t="s">
        <v>82</v>
      </c>
      <c r="P667" t="s">
        <v>83</v>
      </c>
      <c r="Q667" s="6">
        <v>37106.21</v>
      </c>
    </row>
    <row r="668" spans="1:17">
      <c r="A668" t="s">
        <v>1437</v>
      </c>
      <c r="B668" s="5">
        <v>46174</v>
      </c>
      <c r="C668" t="s">
        <v>1438</v>
      </c>
      <c r="D668" t="s">
        <v>17</v>
      </c>
      <c r="E668" t="s">
        <v>2</v>
      </c>
      <c r="F668" t="s">
        <v>50</v>
      </c>
      <c r="G668" t="s">
        <v>51</v>
      </c>
      <c r="H668" s="6">
        <v>10.07</v>
      </c>
      <c r="I668" t="s">
        <v>52</v>
      </c>
      <c r="J668" t="s">
        <v>121</v>
      </c>
      <c r="K668" t="s">
        <v>54</v>
      </c>
      <c r="L668" t="s">
        <v>55</v>
      </c>
      <c r="O668" t="s">
        <v>122</v>
      </c>
      <c r="P668" t="s">
        <v>123</v>
      </c>
      <c r="Q668" s="6">
        <v>36880.01</v>
      </c>
    </row>
    <row r="669" spans="1:17">
      <c r="A669" t="s">
        <v>1439</v>
      </c>
      <c r="B669" s="5">
        <v>46174</v>
      </c>
      <c r="C669" t="s">
        <v>1440</v>
      </c>
      <c r="D669" t="s">
        <v>17</v>
      </c>
      <c r="E669" t="s">
        <v>2</v>
      </c>
      <c r="F669" t="s">
        <v>50</v>
      </c>
      <c r="G669" t="s">
        <v>51</v>
      </c>
      <c r="H669" s="6">
        <v>62.19</v>
      </c>
      <c r="I669" t="s">
        <v>52</v>
      </c>
      <c r="J669" t="s">
        <v>60</v>
      </c>
      <c r="K669" t="s">
        <v>54</v>
      </c>
      <c r="L669" t="s">
        <v>55</v>
      </c>
      <c r="O669" t="s">
        <v>61</v>
      </c>
      <c r="P669" t="s">
        <v>62</v>
      </c>
      <c r="Q669" s="6">
        <v>37013.54</v>
      </c>
    </row>
    <row r="670" spans="1:17">
      <c r="A670" t="s">
        <v>1441</v>
      </c>
      <c r="B670" s="5">
        <v>46174</v>
      </c>
      <c r="C670" t="s">
        <v>1442</v>
      </c>
      <c r="D670" t="s">
        <v>17</v>
      </c>
      <c r="E670" t="s">
        <v>2</v>
      </c>
      <c r="F670" t="s">
        <v>50</v>
      </c>
      <c r="G670" t="s">
        <v>51</v>
      </c>
      <c r="H670" s="6">
        <v>15.48</v>
      </c>
      <c r="I670" t="s">
        <v>52</v>
      </c>
      <c r="J670" t="s">
        <v>53</v>
      </c>
      <c r="K670" t="s">
        <v>54</v>
      </c>
      <c r="L670" t="s">
        <v>55</v>
      </c>
      <c r="O670" t="s">
        <v>56</v>
      </c>
      <c r="P670" t="s">
        <v>57</v>
      </c>
      <c r="Q670" s="6">
        <v>37090.730000000003</v>
      </c>
    </row>
    <row r="671" spans="1:17">
      <c r="A671" t="s">
        <v>1443</v>
      </c>
      <c r="B671" s="5">
        <v>46174</v>
      </c>
      <c r="C671" t="s">
        <v>1444</v>
      </c>
      <c r="D671" t="s">
        <v>17</v>
      </c>
      <c r="E671" t="s">
        <v>2</v>
      </c>
      <c r="F671" t="s">
        <v>50</v>
      </c>
      <c r="G671" t="s">
        <v>72</v>
      </c>
      <c r="H671" s="6">
        <v>179.55</v>
      </c>
      <c r="I671" t="s">
        <v>52</v>
      </c>
      <c r="J671" t="s">
        <v>316</v>
      </c>
      <c r="K671" t="s">
        <v>54</v>
      </c>
      <c r="L671" t="s">
        <v>74</v>
      </c>
      <c r="O671" t="s">
        <v>75</v>
      </c>
      <c r="P671" t="s">
        <v>76</v>
      </c>
      <c r="Q671" s="6">
        <v>36700.46</v>
      </c>
    </row>
    <row r="672" spans="1:17">
      <c r="A672" t="s">
        <v>1445</v>
      </c>
      <c r="B672" s="5">
        <v>46174</v>
      </c>
      <c r="C672" t="s">
        <v>1446</v>
      </c>
      <c r="D672" t="s">
        <v>17</v>
      </c>
      <c r="E672" t="s">
        <v>2</v>
      </c>
      <c r="F672" t="s">
        <v>50</v>
      </c>
      <c r="G672" t="s">
        <v>100</v>
      </c>
      <c r="H672" s="6">
        <v>15</v>
      </c>
      <c r="I672" t="s">
        <v>52</v>
      </c>
      <c r="J672" t="s">
        <v>101</v>
      </c>
      <c r="K672" t="s">
        <v>54</v>
      </c>
      <c r="L672" t="s">
        <v>102</v>
      </c>
      <c r="O672" t="s">
        <v>103</v>
      </c>
      <c r="P672" t="s">
        <v>104</v>
      </c>
      <c r="Q672" s="6">
        <v>37075.730000000003</v>
      </c>
    </row>
    <row r="673" spans="1:17">
      <c r="A673" t="s">
        <v>1447</v>
      </c>
      <c r="B673" s="5">
        <v>46174</v>
      </c>
      <c r="C673" t="s">
        <v>1448</v>
      </c>
      <c r="D673" t="s">
        <v>17</v>
      </c>
      <c r="E673" t="s">
        <v>2</v>
      </c>
      <c r="F673" t="s">
        <v>50</v>
      </c>
      <c r="G673" t="s">
        <v>51</v>
      </c>
      <c r="H673" s="6">
        <v>123.46</v>
      </c>
      <c r="I673" t="s">
        <v>52</v>
      </c>
      <c r="J673" t="s">
        <v>65</v>
      </c>
      <c r="K673" t="s">
        <v>54</v>
      </c>
      <c r="L673" t="s">
        <v>55</v>
      </c>
      <c r="O673" t="s">
        <v>66</v>
      </c>
      <c r="P673" t="s">
        <v>67</v>
      </c>
      <c r="Q673" s="6">
        <v>36890.080000000002</v>
      </c>
    </row>
    <row r="674" spans="1:17">
      <c r="A674" t="s">
        <v>1449</v>
      </c>
      <c r="B674" s="5">
        <v>46175</v>
      </c>
      <c r="C674" t="s">
        <v>1450</v>
      </c>
      <c r="D674" t="s">
        <v>17</v>
      </c>
      <c r="E674" t="s">
        <v>2</v>
      </c>
      <c r="F674" t="s">
        <v>50</v>
      </c>
      <c r="G674" t="s">
        <v>100</v>
      </c>
      <c r="H674" s="6">
        <v>15</v>
      </c>
      <c r="I674" t="s">
        <v>52</v>
      </c>
      <c r="J674" t="s">
        <v>101</v>
      </c>
      <c r="K674" t="s">
        <v>54</v>
      </c>
      <c r="L674" t="s">
        <v>102</v>
      </c>
      <c r="O674" t="s">
        <v>103</v>
      </c>
      <c r="P674" t="s">
        <v>104</v>
      </c>
      <c r="Q674" s="6">
        <v>36568.620000000003</v>
      </c>
    </row>
    <row r="675" spans="1:17">
      <c r="A675" t="s">
        <v>1451</v>
      </c>
      <c r="B675" s="5">
        <v>46175</v>
      </c>
      <c r="C675" t="s">
        <v>1452</v>
      </c>
      <c r="D675" t="s">
        <v>17</v>
      </c>
      <c r="E675" t="s">
        <v>2</v>
      </c>
      <c r="F675" t="s">
        <v>50</v>
      </c>
      <c r="G675" t="s">
        <v>51</v>
      </c>
      <c r="H675" s="6">
        <v>22.16</v>
      </c>
      <c r="I675" t="s">
        <v>52</v>
      </c>
      <c r="J675" t="s">
        <v>126</v>
      </c>
      <c r="K675" t="s">
        <v>54</v>
      </c>
      <c r="L675" t="s">
        <v>55</v>
      </c>
      <c r="O675" t="s">
        <v>56</v>
      </c>
      <c r="P675" t="s">
        <v>57</v>
      </c>
      <c r="Q675" s="6">
        <v>36583.620000000003</v>
      </c>
    </row>
    <row r="676" spans="1:17">
      <c r="A676" t="s">
        <v>1453</v>
      </c>
      <c r="B676" s="5">
        <v>46175</v>
      </c>
      <c r="C676" t="s">
        <v>1454</v>
      </c>
      <c r="D676" t="s">
        <v>17</v>
      </c>
      <c r="E676" t="s">
        <v>2</v>
      </c>
      <c r="F676" t="s">
        <v>50</v>
      </c>
      <c r="G676" t="s">
        <v>51</v>
      </c>
      <c r="H676" s="6">
        <v>67.25</v>
      </c>
      <c r="I676" t="s">
        <v>52</v>
      </c>
      <c r="J676" t="s">
        <v>60</v>
      </c>
      <c r="K676" t="s">
        <v>54</v>
      </c>
      <c r="L676" t="s">
        <v>55</v>
      </c>
      <c r="O676" t="s">
        <v>61</v>
      </c>
      <c r="P676" t="s">
        <v>62</v>
      </c>
      <c r="Q676" s="6">
        <v>36633.21</v>
      </c>
    </row>
    <row r="677" spans="1:17">
      <c r="A677" t="s">
        <v>1455</v>
      </c>
      <c r="B677" s="5">
        <v>46175</v>
      </c>
      <c r="C677" t="s">
        <v>1456</v>
      </c>
      <c r="D677" t="s">
        <v>17</v>
      </c>
      <c r="E677" t="s">
        <v>2</v>
      </c>
      <c r="F677" t="s">
        <v>50</v>
      </c>
      <c r="G677" t="s">
        <v>88</v>
      </c>
      <c r="H677" s="6">
        <v>80</v>
      </c>
      <c r="I677" t="s">
        <v>52</v>
      </c>
      <c r="J677" t="s">
        <v>89</v>
      </c>
      <c r="K677" t="s">
        <v>54</v>
      </c>
      <c r="L677" t="s">
        <v>90</v>
      </c>
      <c r="M677" t="s">
        <v>91</v>
      </c>
      <c r="N677" t="s">
        <v>12</v>
      </c>
      <c r="O677" t="s">
        <v>92</v>
      </c>
      <c r="P677" t="s">
        <v>93</v>
      </c>
      <c r="Q677" s="6">
        <v>36361.4</v>
      </c>
    </row>
    <row r="678" spans="1:17">
      <c r="A678" t="s">
        <v>1457</v>
      </c>
      <c r="B678" s="5">
        <v>46175</v>
      </c>
      <c r="C678" t="s">
        <v>1458</v>
      </c>
      <c r="D678" t="s">
        <v>17</v>
      </c>
      <c r="E678" t="s">
        <v>2</v>
      </c>
      <c r="F678" t="s">
        <v>50</v>
      </c>
      <c r="G678" t="s">
        <v>51</v>
      </c>
      <c r="H678" s="6">
        <v>12.43</v>
      </c>
      <c r="I678" t="s">
        <v>52</v>
      </c>
      <c r="J678" t="s">
        <v>121</v>
      </c>
      <c r="K678" t="s">
        <v>54</v>
      </c>
      <c r="L678" t="s">
        <v>55</v>
      </c>
      <c r="O678" t="s">
        <v>122</v>
      </c>
      <c r="P678" t="s">
        <v>123</v>
      </c>
      <c r="Q678" s="6">
        <v>36605.78</v>
      </c>
    </row>
    <row r="679" spans="1:17">
      <c r="A679" t="s">
        <v>1459</v>
      </c>
      <c r="B679" s="5">
        <v>46175</v>
      </c>
      <c r="C679" t="s">
        <v>1460</v>
      </c>
      <c r="D679" t="s">
        <v>17</v>
      </c>
      <c r="E679" t="s">
        <v>2</v>
      </c>
      <c r="F679" t="s">
        <v>50</v>
      </c>
      <c r="G679" t="s">
        <v>100</v>
      </c>
      <c r="H679" s="6">
        <v>15</v>
      </c>
      <c r="I679" t="s">
        <v>52</v>
      </c>
      <c r="J679" t="s">
        <v>101</v>
      </c>
      <c r="K679" t="s">
        <v>54</v>
      </c>
      <c r="L679" t="s">
        <v>102</v>
      </c>
      <c r="O679" t="s">
        <v>103</v>
      </c>
      <c r="P679" t="s">
        <v>104</v>
      </c>
      <c r="Q679" s="6">
        <v>36618.21</v>
      </c>
    </row>
    <row r="680" spans="1:17">
      <c r="A680" t="s">
        <v>1461</v>
      </c>
      <c r="B680" s="5">
        <v>46175</v>
      </c>
      <c r="C680" t="s">
        <v>1462</v>
      </c>
      <c r="D680" t="s">
        <v>17</v>
      </c>
      <c r="E680" t="s">
        <v>2</v>
      </c>
      <c r="F680" t="s">
        <v>50</v>
      </c>
      <c r="G680" t="s">
        <v>51</v>
      </c>
      <c r="H680" s="6">
        <v>127.22</v>
      </c>
      <c r="I680" t="s">
        <v>52</v>
      </c>
      <c r="J680" t="s">
        <v>196</v>
      </c>
      <c r="K680" t="s">
        <v>54</v>
      </c>
      <c r="L680" t="s">
        <v>55</v>
      </c>
      <c r="O680" t="s">
        <v>197</v>
      </c>
      <c r="P680" t="s">
        <v>198</v>
      </c>
      <c r="Q680" s="6">
        <v>36441.4</v>
      </c>
    </row>
    <row r="681" spans="1:17">
      <c r="A681" t="s">
        <v>1463</v>
      </c>
      <c r="B681" s="5">
        <v>46175</v>
      </c>
      <c r="C681" t="s">
        <v>1464</v>
      </c>
      <c r="D681" t="s">
        <v>17</v>
      </c>
      <c r="E681" t="s">
        <v>2</v>
      </c>
      <c r="F681" t="s">
        <v>50</v>
      </c>
      <c r="G681" t="s">
        <v>100</v>
      </c>
      <c r="H681" s="6">
        <v>1850</v>
      </c>
      <c r="I681" t="s">
        <v>52</v>
      </c>
      <c r="J681" t="s">
        <v>107</v>
      </c>
      <c r="K681" t="s">
        <v>54</v>
      </c>
      <c r="L681" t="s">
        <v>102</v>
      </c>
      <c r="O681" t="s">
        <v>108</v>
      </c>
      <c r="P681" t="s">
        <v>109</v>
      </c>
      <c r="Q681" s="6">
        <v>42701.75</v>
      </c>
    </row>
    <row r="682" spans="1:17">
      <c r="A682" t="s">
        <v>1465</v>
      </c>
      <c r="B682" s="5">
        <v>46176</v>
      </c>
      <c r="C682" t="s">
        <v>1466</v>
      </c>
      <c r="D682" t="s">
        <v>17</v>
      </c>
      <c r="E682" t="s">
        <v>2</v>
      </c>
      <c r="F682" t="s">
        <v>50</v>
      </c>
      <c r="G682" t="s">
        <v>100</v>
      </c>
      <c r="H682" s="6">
        <v>13.74</v>
      </c>
      <c r="I682" t="s">
        <v>52</v>
      </c>
      <c r="J682" t="s">
        <v>114</v>
      </c>
      <c r="K682" t="s">
        <v>54</v>
      </c>
      <c r="L682" t="s">
        <v>102</v>
      </c>
      <c r="O682" t="s">
        <v>103</v>
      </c>
      <c r="P682" t="s">
        <v>104</v>
      </c>
      <c r="Q682" s="6">
        <v>36347.660000000003</v>
      </c>
    </row>
    <row r="683" spans="1:17">
      <c r="A683" t="s">
        <v>1467</v>
      </c>
      <c r="B683" s="5">
        <v>46176</v>
      </c>
      <c r="C683" t="s">
        <v>523</v>
      </c>
      <c r="D683" t="s">
        <v>17</v>
      </c>
      <c r="E683" t="s">
        <v>2</v>
      </c>
      <c r="F683" t="s">
        <v>50</v>
      </c>
      <c r="G683" t="s">
        <v>51</v>
      </c>
      <c r="H683" s="6">
        <v>39.049999999999997</v>
      </c>
      <c r="I683" t="s">
        <v>52</v>
      </c>
      <c r="J683" t="s">
        <v>81</v>
      </c>
      <c r="K683" t="s">
        <v>54</v>
      </c>
      <c r="L683" t="s">
        <v>55</v>
      </c>
      <c r="O683" t="s">
        <v>82</v>
      </c>
      <c r="P683" t="s">
        <v>83</v>
      </c>
      <c r="Q683" s="6">
        <v>36260.85</v>
      </c>
    </row>
    <row r="684" spans="1:17">
      <c r="A684" t="s">
        <v>1468</v>
      </c>
      <c r="B684" s="5">
        <v>46176</v>
      </c>
      <c r="C684" t="s">
        <v>1469</v>
      </c>
      <c r="D684" t="s">
        <v>17</v>
      </c>
      <c r="E684" t="s">
        <v>2</v>
      </c>
      <c r="F684" t="s">
        <v>149</v>
      </c>
      <c r="G684" t="s">
        <v>72</v>
      </c>
      <c r="H684" s="6">
        <v>166.76</v>
      </c>
      <c r="I684" t="s">
        <v>52</v>
      </c>
      <c r="J684" t="s">
        <v>606</v>
      </c>
      <c r="K684" t="s">
        <v>54</v>
      </c>
      <c r="L684" t="s">
        <v>74</v>
      </c>
      <c r="O684" t="s">
        <v>75</v>
      </c>
      <c r="P684" t="s">
        <v>76</v>
      </c>
      <c r="Q684" s="6">
        <v>36237.42</v>
      </c>
    </row>
    <row r="685" spans="1:17">
      <c r="A685" t="s">
        <v>1470</v>
      </c>
      <c r="B685" s="5">
        <v>46176</v>
      </c>
      <c r="C685" t="s">
        <v>1471</v>
      </c>
      <c r="D685" t="s">
        <v>17</v>
      </c>
      <c r="E685" t="s">
        <v>2</v>
      </c>
      <c r="F685" t="s">
        <v>50</v>
      </c>
      <c r="G685" t="s">
        <v>51</v>
      </c>
      <c r="H685" s="6">
        <v>185.37</v>
      </c>
      <c r="I685" t="s">
        <v>52</v>
      </c>
      <c r="J685" t="s">
        <v>196</v>
      </c>
      <c r="K685" t="s">
        <v>54</v>
      </c>
      <c r="L685" t="s">
        <v>55</v>
      </c>
      <c r="O685" t="s">
        <v>197</v>
      </c>
      <c r="P685" t="s">
        <v>198</v>
      </c>
      <c r="Q685" s="6">
        <v>36070.660000000003</v>
      </c>
    </row>
    <row r="686" spans="1:17">
      <c r="A686" t="s">
        <v>1472</v>
      </c>
      <c r="B686" s="5">
        <v>46176</v>
      </c>
      <c r="C686" t="s">
        <v>1473</v>
      </c>
      <c r="D686" t="s">
        <v>17</v>
      </c>
      <c r="E686" t="s">
        <v>2</v>
      </c>
      <c r="F686" t="s">
        <v>50</v>
      </c>
      <c r="G686" t="s">
        <v>100</v>
      </c>
      <c r="H686" s="6">
        <v>14.82</v>
      </c>
      <c r="I686" t="s">
        <v>52</v>
      </c>
      <c r="J686" t="s">
        <v>114</v>
      </c>
      <c r="K686" t="s">
        <v>54</v>
      </c>
      <c r="L686" t="s">
        <v>102</v>
      </c>
      <c r="O686" t="s">
        <v>103</v>
      </c>
      <c r="P686" t="s">
        <v>104</v>
      </c>
      <c r="Q686" s="6">
        <v>36299.9</v>
      </c>
    </row>
    <row r="687" spans="1:17">
      <c r="A687" t="s">
        <v>1474</v>
      </c>
      <c r="B687" s="5">
        <v>46176</v>
      </c>
      <c r="C687" t="s">
        <v>1475</v>
      </c>
      <c r="D687" t="s">
        <v>17</v>
      </c>
      <c r="E687" t="s">
        <v>2</v>
      </c>
      <c r="F687" t="s">
        <v>50</v>
      </c>
      <c r="G687" t="s">
        <v>51</v>
      </c>
      <c r="H687" s="6">
        <v>32.94</v>
      </c>
      <c r="I687" t="s">
        <v>52</v>
      </c>
      <c r="J687" t="s">
        <v>81</v>
      </c>
      <c r="K687" t="s">
        <v>54</v>
      </c>
      <c r="L687" t="s">
        <v>55</v>
      </c>
      <c r="O687" t="s">
        <v>82</v>
      </c>
      <c r="P687" t="s">
        <v>83</v>
      </c>
      <c r="Q687" s="6">
        <v>36314.720000000001</v>
      </c>
    </row>
    <row r="688" spans="1:17">
      <c r="A688" t="s">
        <v>1476</v>
      </c>
      <c r="B688" s="5">
        <v>46176</v>
      </c>
      <c r="C688" t="s">
        <v>1477</v>
      </c>
      <c r="D688" t="s">
        <v>17</v>
      </c>
      <c r="E688" t="s">
        <v>2</v>
      </c>
      <c r="F688" t="s">
        <v>50</v>
      </c>
      <c r="G688" t="s">
        <v>51</v>
      </c>
      <c r="H688" s="6">
        <v>4.82</v>
      </c>
      <c r="I688" t="s">
        <v>52</v>
      </c>
      <c r="J688" t="s">
        <v>53</v>
      </c>
      <c r="K688" t="s">
        <v>54</v>
      </c>
      <c r="L688" t="s">
        <v>55</v>
      </c>
      <c r="O688" t="s">
        <v>56</v>
      </c>
      <c r="P688" t="s">
        <v>57</v>
      </c>
      <c r="Q688" s="6">
        <v>36256.03</v>
      </c>
    </row>
    <row r="689" spans="1:17">
      <c r="A689" t="s">
        <v>1478</v>
      </c>
      <c r="B689" s="5">
        <v>46177</v>
      </c>
      <c r="C689" t="s">
        <v>1479</v>
      </c>
      <c r="D689" t="s">
        <v>17</v>
      </c>
      <c r="E689" t="s">
        <v>2</v>
      </c>
      <c r="F689" t="s">
        <v>50</v>
      </c>
      <c r="G689" t="s">
        <v>51</v>
      </c>
      <c r="H689" s="6">
        <v>56.63</v>
      </c>
      <c r="I689" t="s">
        <v>52</v>
      </c>
      <c r="J689" t="s">
        <v>81</v>
      </c>
      <c r="K689" t="s">
        <v>54</v>
      </c>
      <c r="L689" t="s">
        <v>55</v>
      </c>
      <c r="O689" t="s">
        <v>82</v>
      </c>
      <c r="P689" t="s">
        <v>83</v>
      </c>
      <c r="Q689" s="6">
        <v>36180.79</v>
      </c>
    </row>
    <row r="690" spans="1:17">
      <c r="A690" t="s">
        <v>1480</v>
      </c>
      <c r="B690" s="5">
        <v>46177</v>
      </c>
      <c r="C690" t="s">
        <v>1481</v>
      </c>
      <c r="D690" t="s">
        <v>17</v>
      </c>
      <c r="E690" t="s">
        <v>2</v>
      </c>
      <c r="F690" t="s">
        <v>50</v>
      </c>
      <c r="G690" t="s">
        <v>100</v>
      </c>
      <c r="H690" s="6">
        <v>15</v>
      </c>
      <c r="I690" t="s">
        <v>52</v>
      </c>
      <c r="J690" t="s">
        <v>101</v>
      </c>
      <c r="K690" t="s">
        <v>54</v>
      </c>
      <c r="L690" t="s">
        <v>102</v>
      </c>
      <c r="O690" t="s">
        <v>103</v>
      </c>
      <c r="P690" t="s">
        <v>104</v>
      </c>
      <c r="Q690" s="6">
        <v>35978.01</v>
      </c>
    </row>
    <row r="691" spans="1:17">
      <c r="A691" t="s">
        <v>1482</v>
      </c>
      <c r="B691" s="5">
        <v>46177</v>
      </c>
      <c r="C691" t="s">
        <v>1483</v>
      </c>
      <c r="D691" t="s">
        <v>17</v>
      </c>
      <c r="E691" t="s">
        <v>2</v>
      </c>
      <c r="F691" t="s">
        <v>50</v>
      </c>
      <c r="G691" t="s">
        <v>100</v>
      </c>
      <c r="H691" s="6">
        <v>15</v>
      </c>
      <c r="I691" t="s">
        <v>52</v>
      </c>
      <c r="J691" t="s">
        <v>101</v>
      </c>
      <c r="K691" t="s">
        <v>54</v>
      </c>
      <c r="L691" t="s">
        <v>102</v>
      </c>
      <c r="O691" t="s">
        <v>103</v>
      </c>
      <c r="P691" t="s">
        <v>104</v>
      </c>
      <c r="Q691" s="6">
        <v>35938.199999999997</v>
      </c>
    </row>
    <row r="692" spans="1:17">
      <c r="A692" t="s">
        <v>1484</v>
      </c>
      <c r="B692" s="5">
        <v>46177</v>
      </c>
      <c r="C692" t="s">
        <v>1485</v>
      </c>
      <c r="D692" t="s">
        <v>17</v>
      </c>
      <c r="E692" t="s">
        <v>2</v>
      </c>
      <c r="F692" t="s">
        <v>50</v>
      </c>
      <c r="G692" t="s">
        <v>51</v>
      </c>
      <c r="H692" s="6">
        <v>30.52</v>
      </c>
      <c r="I692" t="s">
        <v>52</v>
      </c>
      <c r="J692" t="s">
        <v>126</v>
      </c>
      <c r="K692" t="s">
        <v>54</v>
      </c>
      <c r="L692" t="s">
        <v>55</v>
      </c>
      <c r="O692" t="s">
        <v>56</v>
      </c>
      <c r="P692" t="s">
        <v>57</v>
      </c>
      <c r="Q692" s="6">
        <v>35993.01</v>
      </c>
    </row>
    <row r="693" spans="1:17">
      <c r="A693" t="s">
        <v>1486</v>
      </c>
      <c r="B693" s="5">
        <v>46177</v>
      </c>
      <c r="C693" t="s">
        <v>1487</v>
      </c>
      <c r="D693" t="s">
        <v>17</v>
      </c>
      <c r="E693" t="s">
        <v>2</v>
      </c>
      <c r="F693" t="s">
        <v>50</v>
      </c>
      <c r="G693" t="s">
        <v>51</v>
      </c>
      <c r="H693" s="6">
        <v>24.81</v>
      </c>
      <c r="I693" t="s">
        <v>52</v>
      </c>
      <c r="J693" t="s">
        <v>60</v>
      </c>
      <c r="K693" t="s">
        <v>54</v>
      </c>
      <c r="L693" t="s">
        <v>55</v>
      </c>
      <c r="O693" t="s">
        <v>61</v>
      </c>
      <c r="P693" t="s">
        <v>62</v>
      </c>
      <c r="Q693" s="6">
        <v>35953.199999999997</v>
      </c>
    </row>
    <row r="694" spans="1:17">
      <c r="A694" t="s">
        <v>1488</v>
      </c>
      <c r="B694" s="5">
        <v>46177</v>
      </c>
      <c r="C694" t="s">
        <v>1489</v>
      </c>
      <c r="D694" t="s">
        <v>17</v>
      </c>
      <c r="E694" t="s">
        <v>2</v>
      </c>
      <c r="F694" t="s">
        <v>50</v>
      </c>
      <c r="G694" t="s">
        <v>51</v>
      </c>
      <c r="H694" s="6">
        <v>45.28</v>
      </c>
      <c r="I694" t="s">
        <v>52</v>
      </c>
      <c r="J694" t="s">
        <v>81</v>
      </c>
      <c r="K694" t="s">
        <v>54</v>
      </c>
      <c r="L694" t="s">
        <v>55</v>
      </c>
      <c r="O694" t="s">
        <v>82</v>
      </c>
      <c r="P694" t="s">
        <v>83</v>
      </c>
      <c r="Q694" s="6">
        <v>35892.92</v>
      </c>
    </row>
    <row r="695" spans="1:17">
      <c r="A695" t="s">
        <v>1490</v>
      </c>
      <c r="B695" s="5">
        <v>46177</v>
      </c>
      <c r="C695" t="s">
        <v>1491</v>
      </c>
      <c r="D695" t="s">
        <v>17</v>
      </c>
      <c r="E695" t="s">
        <v>2</v>
      </c>
      <c r="F695" t="s">
        <v>50</v>
      </c>
      <c r="G695" t="s">
        <v>51</v>
      </c>
      <c r="H695" s="6">
        <v>107.34</v>
      </c>
      <c r="I695" t="s">
        <v>52</v>
      </c>
      <c r="J695" t="s">
        <v>65</v>
      </c>
      <c r="K695" t="s">
        <v>54</v>
      </c>
      <c r="L695" t="s">
        <v>55</v>
      </c>
      <c r="O695" t="s">
        <v>66</v>
      </c>
      <c r="P695" t="s">
        <v>67</v>
      </c>
      <c r="Q695" s="6">
        <v>36023.53</v>
      </c>
    </row>
    <row r="696" spans="1:17">
      <c r="A696" t="s">
        <v>1492</v>
      </c>
      <c r="B696" s="5">
        <v>46177</v>
      </c>
      <c r="C696" t="s">
        <v>1493</v>
      </c>
      <c r="D696" t="s">
        <v>17</v>
      </c>
      <c r="E696" t="s">
        <v>2</v>
      </c>
      <c r="F696" t="s">
        <v>50</v>
      </c>
      <c r="G696" t="s">
        <v>51</v>
      </c>
      <c r="H696" s="6">
        <v>49.92</v>
      </c>
      <c r="I696" t="s">
        <v>52</v>
      </c>
      <c r="J696" t="s">
        <v>81</v>
      </c>
      <c r="K696" t="s">
        <v>54</v>
      </c>
      <c r="L696" t="s">
        <v>55</v>
      </c>
      <c r="O696" t="s">
        <v>82</v>
      </c>
      <c r="P696" t="s">
        <v>83</v>
      </c>
      <c r="Q696" s="6">
        <v>36130.870000000003</v>
      </c>
    </row>
    <row r="697" spans="1:17">
      <c r="A697" t="s">
        <v>1494</v>
      </c>
      <c r="B697" s="5">
        <v>46177</v>
      </c>
      <c r="C697" t="s">
        <v>1495</v>
      </c>
      <c r="D697" t="s">
        <v>17</v>
      </c>
      <c r="E697" t="s">
        <v>2</v>
      </c>
      <c r="F697" t="s">
        <v>149</v>
      </c>
      <c r="G697" t="s">
        <v>72</v>
      </c>
      <c r="H697" s="6">
        <v>143.9</v>
      </c>
      <c r="I697" t="s">
        <v>52</v>
      </c>
      <c r="J697" t="s">
        <v>611</v>
      </c>
      <c r="K697" t="s">
        <v>54</v>
      </c>
      <c r="L697" t="s">
        <v>74</v>
      </c>
      <c r="O697" t="s">
        <v>75</v>
      </c>
      <c r="P697" t="s">
        <v>76</v>
      </c>
      <c r="Q697" s="6">
        <v>36036.82</v>
      </c>
    </row>
    <row r="698" spans="1:17">
      <c r="A698" t="s">
        <v>1496</v>
      </c>
      <c r="B698" s="5">
        <v>46178</v>
      </c>
      <c r="C698" t="s">
        <v>1497</v>
      </c>
      <c r="D698" t="s">
        <v>17</v>
      </c>
      <c r="E698" t="s">
        <v>2</v>
      </c>
      <c r="F698" t="s">
        <v>50</v>
      </c>
      <c r="G698" t="s">
        <v>51</v>
      </c>
      <c r="H698" s="6">
        <v>5.78</v>
      </c>
      <c r="I698" t="s">
        <v>52</v>
      </c>
      <c r="J698" t="s">
        <v>53</v>
      </c>
      <c r="K698" t="s">
        <v>54</v>
      </c>
      <c r="L698" t="s">
        <v>55</v>
      </c>
      <c r="O698" t="s">
        <v>56</v>
      </c>
      <c r="P698" t="s">
        <v>57</v>
      </c>
      <c r="Q698" s="6">
        <v>35935.269999999997</v>
      </c>
    </row>
    <row r="699" spans="1:17">
      <c r="A699" t="s">
        <v>1498</v>
      </c>
      <c r="B699" s="5">
        <v>46178</v>
      </c>
      <c r="C699" t="s">
        <v>1499</v>
      </c>
      <c r="D699" t="s">
        <v>17</v>
      </c>
      <c r="E699" t="s">
        <v>2</v>
      </c>
      <c r="F699" t="s">
        <v>50</v>
      </c>
      <c r="G699" t="s">
        <v>51</v>
      </c>
      <c r="H699" s="6">
        <v>19.16</v>
      </c>
      <c r="I699" t="s">
        <v>52</v>
      </c>
      <c r="J699" t="s">
        <v>121</v>
      </c>
      <c r="K699" t="s">
        <v>54</v>
      </c>
      <c r="L699" t="s">
        <v>55</v>
      </c>
      <c r="O699" t="s">
        <v>122</v>
      </c>
      <c r="P699" t="s">
        <v>123</v>
      </c>
      <c r="Q699" s="6">
        <v>35916.11</v>
      </c>
    </row>
    <row r="700" spans="1:17">
      <c r="A700" t="s">
        <v>1500</v>
      </c>
      <c r="B700" s="5">
        <v>46178</v>
      </c>
      <c r="C700" t="s">
        <v>1501</v>
      </c>
      <c r="D700" t="s">
        <v>17</v>
      </c>
      <c r="E700" t="s">
        <v>2</v>
      </c>
      <c r="F700" t="s">
        <v>50</v>
      </c>
      <c r="G700" t="s">
        <v>51</v>
      </c>
      <c r="H700" s="6">
        <v>19.61</v>
      </c>
      <c r="I700" t="s">
        <v>52</v>
      </c>
      <c r="J700" t="s">
        <v>81</v>
      </c>
      <c r="K700" t="s">
        <v>54</v>
      </c>
      <c r="L700" t="s">
        <v>55</v>
      </c>
      <c r="O700" t="s">
        <v>82</v>
      </c>
      <c r="P700" t="s">
        <v>83</v>
      </c>
      <c r="Q700" s="6">
        <v>35941.050000000003</v>
      </c>
    </row>
    <row r="701" spans="1:17">
      <c r="A701" t="s">
        <v>1502</v>
      </c>
      <c r="B701" s="5">
        <v>46178</v>
      </c>
      <c r="C701" t="s">
        <v>1503</v>
      </c>
      <c r="D701" t="s">
        <v>17</v>
      </c>
      <c r="E701" t="s">
        <v>2</v>
      </c>
      <c r="F701" t="s">
        <v>50</v>
      </c>
      <c r="G701" t="s">
        <v>100</v>
      </c>
      <c r="H701" s="6">
        <v>15</v>
      </c>
      <c r="I701" t="s">
        <v>52</v>
      </c>
      <c r="J701" t="s">
        <v>101</v>
      </c>
      <c r="K701" t="s">
        <v>54</v>
      </c>
      <c r="L701" t="s">
        <v>102</v>
      </c>
      <c r="O701" t="s">
        <v>103</v>
      </c>
      <c r="P701" t="s">
        <v>104</v>
      </c>
      <c r="Q701" s="6">
        <v>35960.660000000003</v>
      </c>
    </row>
    <row r="702" spans="1:17">
      <c r="A702" t="s">
        <v>1504</v>
      </c>
      <c r="B702" s="5">
        <v>46178</v>
      </c>
      <c r="C702" t="s">
        <v>1505</v>
      </c>
      <c r="D702" t="s">
        <v>17</v>
      </c>
      <c r="E702" t="s">
        <v>2</v>
      </c>
      <c r="F702" t="s">
        <v>50</v>
      </c>
      <c r="G702" t="s">
        <v>72</v>
      </c>
      <c r="H702" s="6">
        <v>139.25</v>
      </c>
      <c r="I702" t="s">
        <v>52</v>
      </c>
      <c r="J702" t="s">
        <v>73</v>
      </c>
      <c r="K702" t="s">
        <v>54</v>
      </c>
      <c r="L702" t="s">
        <v>74</v>
      </c>
      <c r="O702" t="s">
        <v>75</v>
      </c>
      <c r="P702" t="s">
        <v>76</v>
      </c>
      <c r="Q702" s="6">
        <v>35720.97</v>
      </c>
    </row>
    <row r="703" spans="1:17">
      <c r="A703" t="s">
        <v>1506</v>
      </c>
      <c r="B703" s="5">
        <v>46178</v>
      </c>
      <c r="C703" t="s">
        <v>1507</v>
      </c>
      <c r="D703" t="s">
        <v>17</v>
      </c>
      <c r="E703" t="s">
        <v>2</v>
      </c>
      <c r="F703" t="s">
        <v>50</v>
      </c>
      <c r="G703" t="s">
        <v>51</v>
      </c>
      <c r="H703" s="6">
        <v>55.89</v>
      </c>
      <c r="I703" t="s">
        <v>52</v>
      </c>
      <c r="J703" t="s">
        <v>81</v>
      </c>
      <c r="K703" t="s">
        <v>54</v>
      </c>
      <c r="L703" t="s">
        <v>55</v>
      </c>
      <c r="O703" t="s">
        <v>82</v>
      </c>
      <c r="P703" t="s">
        <v>83</v>
      </c>
      <c r="Q703" s="6">
        <v>35860.22</v>
      </c>
    </row>
    <row r="704" spans="1:17">
      <c r="A704" t="s">
        <v>1508</v>
      </c>
      <c r="B704" s="5">
        <v>46178</v>
      </c>
      <c r="C704" t="s">
        <v>1509</v>
      </c>
      <c r="D704" t="s">
        <v>17</v>
      </c>
      <c r="E704" t="s">
        <v>2</v>
      </c>
      <c r="F704" t="s">
        <v>50</v>
      </c>
      <c r="G704" t="s">
        <v>51</v>
      </c>
      <c r="H704" s="6">
        <v>14.13</v>
      </c>
      <c r="I704" t="s">
        <v>52</v>
      </c>
      <c r="J704" t="s">
        <v>121</v>
      </c>
      <c r="K704" t="s">
        <v>54</v>
      </c>
      <c r="L704" t="s">
        <v>55</v>
      </c>
      <c r="O704" t="s">
        <v>122</v>
      </c>
      <c r="P704" t="s">
        <v>123</v>
      </c>
      <c r="Q704" s="6">
        <v>36022.69</v>
      </c>
    </row>
    <row r="705" spans="1:17">
      <c r="A705" t="s">
        <v>1510</v>
      </c>
      <c r="B705" s="5">
        <v>46178</v>
      </c>
      <c r="C705" t="s">
        <v>1511</v>
      </c>
      <c r="D705" t="s">
        <v>17</v>
      </c>
      <c r="E705" t="s">
        <v>2</v>
      </c>
      <c r="F705" t="s">
        <v>50</v>
      </c>
      <c r="G705" t="s">
        <v>51</v>
      </c>
      <c r="H705" s="6">
        <v>47.03</v>
      </c>
      <c r="I705" t="s">
        <v>52</v>
      </c>
      <c r="J705" t="s">
        <v>126</v>
      </c>
      <c r="K705" t="s">
        <v>54</v>
      </c>
      <c r="L705" t="s">
        <v>55</v>
      </c>
      <c r="O705" t="s">
        <v>56</v>
      </c>
      <c r="P705" t="s">
        <v>57</v>
      </c>
      <c r="Q705" s="6">
        <v>35975.660000000003</v>
      </c>
    </row>
    <row r="706" spans="1:17">
      <c r="A706" t="s">
        <v>1512</v>
      </c>
      <c r="B706" s="5">
        <v>46179</v>
      </c>
      <c r="C706" t="s">
        <v>1513</v>
      </c>
      <c r="D706" t="s">
        <v>17</v>
      </c>
      <c r="E706" t="s">
        <v>2</v>
      </c>
      <c r="F706" t="s">
        <v>50</v>
      </c>
      <c r="G706" t="s">
        <v>51</v>
      </c>
      <c r="H706" s="6">
        <v>39.520000000000003</v>
      </c>
      <c r="I706" t="s">
        <v>52</v>
      </c>
      <c r="J706" t="s">
        <v>60</v>
      </c>
      <c r="K706" t="s">
        <v>54</v>
      </c>
      <c r="L706" t="s">
        <v>55</v>
      </c>
      <c r="O706" t="s">
        <v>61</v>
      </c>
      <c r="P706" t="s">
        <v>62</v>
      </c>
      <c r="Q706" s="6">
        <v>35650.230000000003</v>
      </c>
    </row>
    <row r="707" spans="1:17">
      <c r="A707" t="s">
        <v>1514</v>
      </c>
      <c r="B707" s="5">
        <v>46179</v>
      </c>
      <c r="C707" t="s">
        <v>1515</v>
      </c>
      <c r="D707" t="s">
        <v>17</v>
      </c>
      <c r="E707" t="s">
        <v>2</v>
      </c>
      <c r="F707" t="s">
        <v>50</v>
      </c>
      <c r="G707" t="s">
        <v>51</v>
      </c>
      <c r="H707" s="6">
        <v>31.22</v>
      </c>
      <c r="I707" t="s">
        <v>52</v>
      </c>
      <c r="J707" t="s">
        <v>81</v>
      </c>
      <c r="K707" t="s">
        <v>54</v>
      </c>
      <c r="L707" t="s">
        <v>55</v>
      </c>
      <c r="O707" t="s">
        <v>82</v>
      </c>
      <c r="P707" t="s">
        <v>83</v>
      </c>
      <c r="Q707" s="6">
        <v>35689.75</v>
      </c>
    </row>
    <row r="708" spans="1:17">
      <c r="A708" t="s">
        <v>1516</v>
      </c>
      <c r="B708" s="5">
        <v>46179</v>
      </c>
      <c r="C708" t="s">
        <v>1517</v>
      </c>
      <c r="D708" t="s">
        <v>17</v>
      </c>
      <c r="E708" t="s">
        <v>2</v>
      </c>
      <c r="F708" t="s">
        <v>50</v>
      </c>
      <c r="G708" t="s">
        <v>51</v>
      </c>
      <c r="H708" s="6">
        <v>12.37</v>
      </c>
      <c r="I708" t="s">
        <v>52</v>
      </c>
      <c r="J708" t="s">
        <v>121</v>
      </c>
      <c r="K708" t="s">
        <v>54</v>
      </c>
      <c r="L708" t="s">
        <v>55</v>
      </c>
      <c r="O708" t="s">
        <v>122</v>
      </c>
      <c r="P708" t="s">
        <v>123</v>
      </c>
      <c r="Q708" s="6">
        <v>35570.85</v>
      </c>
    </row>
    <row r="709" spans="1:17">
      <c r="A709" t="s">
        <v>1518</v>
      </c>
      <c r="B709" s="5">
        <v>46179</v>
      </c>
      <c r="C709" t="s">
        <v>1519</v>
      </c>
      <c r="D709" t="s">
        <v>17</v>
      </c>
      <c r="E709" t="s">
        <v>2</v>
      </c>
      <c r="F709" t="s">
        <v>50</v>
      </c>
      <c r="G709" t="s">
        <v>51</v>
      </c>
      <c r="H709" s="6">
        <v>67.010000000000005</v>
      </c>
      <c r="I709" t="s">
        <v>52</v>
      </c>
      <c r="J709" t="s">
        <v>65</v>
      </c>
      <c r="K709" t="s">
        <v>54</v>
      </c>
      <c r="L709" t="s">
        <v>55</v>
      </c>
      <c r="O709" t="s">
        <v>66</v>
      </c>
      <c r="P709" t="s">
        <v>67</v>
      </c>
      <c r="Q709" s="6">
        <v>35583.22</v>
      </c>
    </row>
    <row r="710" spans="1:17">
      <c r="A710" t="s">
        <v>1520</v>
      </c>
      <c r="B710" s="5">
        <v>46179</v>
      </c>
      <c r="C710" t="s">
        <v>1521</v>
      </c>
      <c r="D710" t="s">
        <v>17</v>
      </c>
      <c r="E710" t="s">
        <v>2</v>
      </c>
      <c r="F710" t="s">
        <v>50</v>
      </c>
      <c r="G710" t="s">
        <v>51</v>
      </c>
      <c r="H710" s="6">
        <v>4.93</v>
      </c>
      <c r="I710" t="s">
        <v>52</v>
      </c>
      <c r="J710" t="s">
        <v>121</v>
      </c>
      <c r="K710" t="s">
        <v>54</v>
      </c>
      <c r="L710" t="s">
        <v>55</v>
      </c>
      <c r="O710" t="s">
        <v>122</v>
      </c>
      <c r="P710" t="s">
        <v>123</v>
      </c>
      <c r="Q710" s="6">
        <v>35565.919999999998</v>
      </c>
    </row>
    <row r="711" spans="1:17">
      <c r="A711" t="s">
        <v>1522</v>
      </c>
      <c r="B711" s="5">
        <v>46180</v>
      </c>
      <c r="C711" t="s">
        <v>1523</v>
      </c>
      <c r="D711" t="s">
        <v>17</v>
      </c>
      <c r="E711" t="s">
        <v>2</v>
      </c>
      <c r="F711" t="s">
        <v>50</v>
      </c>
      <c r="G711" t="s">
        <v>51</v>
      </c>
      <c r="H711" s="6">
        <v>26.05</v>
      </c>
      <c r="I711" t="s">
        <v>52</v>
      </c>
      <c r="J711" t="s">
        <v>126</v>
      </c>
      <c r="K711" t="s">
        <v>54</v>
      </c>
      <c r="L711" t="s">
        <v>55</v>
      </c>
      <c r="O711" t="s">
        <v>56</v>
      </c>
      <c r="P711" t="s">
        <v>57</v>
      </c>
      <c r="Q711" s="6">
        <v>35539.870000000003</v>
      </c>
    </row>
    <row r="712" spans="1:17">
      <c r="A712" t="s">
        <v>1524</v>
      </c>
      <c r="B712" s="5">
        <v>46180</v>
      </c>
      <c r="C712" t="s">
        <v>1134</v>
      </c>
      <c r="D712" t="s">
        <v>17</v>
      </c>
      <c r="E712" t="s">
        <v>2</v>
      </c>
      <c r="F712" t="s">
        <v>50</v>
      </c>
      <c r="G712" t="s">
        <v>100</v>
      </c>
      <c r="H712" s="6">
        <v>24.13</v>
      </c>
      <c r="I712" t="s">
        <v>52</v>
      </c>
      <c r="J712" t="s">
        <v>114</v>
      </c>
      <c r="K712" t="s">
        <v>54</v>
      </c>
      <c r="L712" t="s">
        <v>102</v>
      </c>
      <c r="O712" t="s">
        <v>103</v>
      </c>
      <c r="P712" t="s">
        <v>104</v>
      </c>
      <c r="Q712" s="6">
        <v>35450.639999999999</v>
      </c>
    </row>
    <row r="713" spans="1:17">
      <c r="A713" t="s">
        <v>1525</v>
      </c>
      <c r="B713" s="5">
        <v>46180</v>
      </c>
      <c r="C713" t="s">
        <v>1526</v>
      </c>
      <c r="D713" t="s">
        <v>17</v>
      </c>
      <c r="E713" t="s">
        <v>2</v>
      </c>
      <c r="F713" t="s">
        <v>50</v>
      </c>
      <c r="G713" t="s">
        <v>51</v>
      </c>
      <c r="H713" s="6">
        <v>21.58</v>
      </c>
      <c r="I713" t="s">
        <v>52</v>
      </c>
      <c r="J713" t="s">
        <v>81</v>
      </c>
      <c r="K713" t="s">
        <v>54</v>
      </c>
      <c r="L713" t="s">
        <v>55</v>
      </c>
      <c r="O713" t="s">
        <v>82</v>
      </c>
      <c r="P713" t="s">
        <v>83</v>
      </c>
      <c r="Q713" s="6">
        <v>35518.29</v>
      </c>
    </row>
    <row r="714" spans="1:17">
      <c r="A714" t="s">
        <v>1527</v>
      </c>
      <c r="B714" s="5">
        <v>46180</v>
      </c>
      <c r="C714" t="s">
        <v>1528</v>
      </c>
      <c r="D714" t="s">
        <v>17</v>
      </c>
      <c r="E714" t="s">
        <v>2</v>
      </c>
      <c r="F714" t="s">
        <v>50</v>
      </c>
      <c r="G714" t="s">
        <v>51</v>
      </c>
      <c r="H714" s="6">
        <v>5.98</v>
      </c>
      <c r="I714" t="s">
        <v>52</v>
      </c>
      <c r="J714" t="s">
        <v>121</v>
      </c>
      <c r="K714" t="s">
        <v>54</v>
      </c>
      <c r="L714" t="s">
        <v>55</v>
      </c>
      <c r="O714" t="s">
        <v>122</v>
      </c>
      <c r="P714" t="s">
        <v>123</v>
      </c>
      <c r="Q714" s="6">
        <v>35429.660000000003</v>
      </c>
    </row>
    <row r="715" spans="1:17">
      <c r="A715" t="s">
        <v>1529</v>
      </c>
      <c r="B715" s="5">
        <v>46180</v>
      </c>
      <c r="C715" t="s">
        <v>1530</v>
      </c>
      <c r="D715" t="s">
        <v>17</v>
      </c>
      <c r="E715" t="s">
        <v>2</v>
      </c>
      <c r="F715" t="s">
        <v>50</v>
      </c>
      <c r="G715" t="s">
        <v>51</v>
      </c>
      <c r="H715" s="6">
        <v>43.52</v>
      </c>
      <c r="I715" t="s">
        <v>52</v>
      </c>
      <c r="J715" t="s">
        <v>126</v>
      </c>
      <c r="K715" t="s">
        <v>54</v>
      </c>
      <c r="L715" t="s">
        <v>55</v>
      </c>
      <c r="O715" t="s">
        <v>56</v>
      </c>
      <c r="P715" t="s">
        <v>57</v>
      </c>
      <c r="Q715" s="6">
        <v>35474.769999999997</v>
      </c>
    </row>
    <row r="716" spans="1:17">
      <c r="A716" t="s">
        <v>1531</v>
      </c>
      <c r="B716" s="5">
        <v>46180</v>
      </c>
      <c r="C716" t="s">
        <v>1532</v>
      </c>
      <c r="D716" t="s">
        <v>17</v>
      </c>
      <c r="E716" t="s">
        <v>2</v>
      </c>
      <c r="F716" t="s">
        <v>50</v>
      </c>
      <c r="G716" t="s">
        <v>100</v>
      </c>
      <c r="H716" s="6">
        <v>15</v>
      </c>
      <c r="I716" t="s">
        <v>52</v>
      </c>
      <c r="J716" t="s">
        <v>101</v>
      </c>
      <c r="K716" t="s">
        <v>54</v>
      </c>
      <c r="L716" t="s">
        <v>102</v>
      </c>
      <c r="O716" t="s">
        <v>103</v>
      </c>
      <c r="P716" t="s">
        <v>104</v>
      </c>
      <c r="Q716" s="6">
        <v>35435.64</v>
      </c>
    </row>
    <row r="717" spans="1:17">
      <c r="A717" t="s">
        <v>1533</v>
      </c>
      <c r="B717" s="5">
        <v>46181</v>
      </c>
      <c r="C717" t="s">
        <v>1534</v>
      </c>
      <c r="D717" t="s">
        <v>17</v>
      </c>
      <c r="E717" t="s">
        <v>2</v>
      </c>
      <c r="F717" t="s">
        <v>50</v>
      </c>
      <c r="G717" t="s">
        <v>100</v>
      </c>
      <c r="H717" s="6">
        <v>15</v>
      </c>
      <c r="I717" t="s">
        <v>52</v>
      </c>
      <c r="J717" t="s">
        <v>101</v>
      </c>
      <c r="K717" t="s">
        <v>54</v>
      </c>
      <c r="L717" t="s">
        <v>102</v>
      </c>
      <c r="O717" t="s">
        <v>103</v>
      </c>
      <c r="P717" t="s">
        <v>104</v>
      </c>
      <c r="Q717" s="6">
        <v>35311.589999999997</v>
      </c>
    </row>
    <row r="718" spans="1:17">
      <c r="A718" t="s">
        <v>1535</v>
      </c>
      <c r="B718" s="5">
        <v>46181</v>
      </c>
      <c r="C718" t="s">
        <v>1536</v>
      </c>
      <c r="D718" t="s">
        <v>17</v>
      </c>
      <c r="E718" t="s">
        <v>2</v>
      </c>
      <c r="F718" t="s">
        <v>50</v>
      </c>
      <c r="G718" t="s">
        <v>51</v>
      </c>
      <c r="H718" s="6">
        <v>8.16</v>
      </c>
      <c r="I718" t="s">
        <v>52</v>
      </c>
      <c r="J718" t="s">
        <v>53</v>
      </c>
      <c r="K718" t="s">
        <v>54</v>
      </c>
      <c r="L718" t="s">
        <v>55</v>
      </c>
      <c r="O718" t="s">
        <v>56</v>
      </c>
      <c r="P718" t="s">
        <v>57</v>
      </c>
      <c r="Q718" s="6">
        <v>35421.5</v>
      </c>
    </row>
    <row r="719" spans="1:17">
      <c r="A719" t="s">
        <v>1537</v>
      </c>
      <c r="B719" s="5">
        <v>46181</v>
      </c>
      <c r="C719" t="s">
        <v>1538</v>
      </c>
      <c r="D719" t="s">
        <v>17</v>
      </c>
      <c r="E719" t="s">
        <v>2</v>
      </c>
      <c r="F719" t="s">
        <v>50</v>
      </c>
      <c r="G719" t="s">
        <v>100</v>
      </c>
      <c r="H719" s="6">
        <v>22.6</v>
      </c>
      <c r="I719" t="s">
        <v>52</v>
      </c>
      <c r="J719" t="s">
        <v>114</v>
      </c>
      <c r="K719" t="s">
        <v>54</v>
      </c>
      <c r="L719" t="s">
        <v>102</v>
      </c>
      <c r="O719" t="s">
        <v>103</v>
      </c>
      <c r="P719" t="s">
        <v>104</v>
      </c>
      <c r="Q719" s="6">
        <v>35398.9</v>
      </c>
    </row>
    <row r="720" spans="1:17">
      <c r="A720" t="s">
        <v>1539</v>
      </c>
      <c r="B720" s="5">
        <v>46181</v>
      </c>
      <c r="C720" t="s">
        <v>1540</v>
      </c>
      <c r="D720" t="s">
        <v>17</v>
      </c>
      <c r="E720" t="s">
        <v>2</v>
      </c>
      <c r="F720" t="s">
        <v>50</v>
      </c>
      <c r="G720" t="s">
        <v>51</v>
      </c>
      <c r="H720" s="6">
        <v>72.31</v>
      </c>
      <c r="I720" t="s">
        <v>52</v>
      </c>
      <c r="J720" t="s">
        <v>65</v>
      </c>
      <c r="K720" t="s">
        <v>54</v>
      </c>
      <c r="L720" t="s">
        <v>55</v>
      </c>
      <c r="O720" t="s">
        <v>66</v>
      </c>
      <c r="P720" t="s">
        <v>67</v>
      </c>
      <c r="Q720" s="6">
        <v>35326.589999999997</v>
      </c>
    </row>
    <row r="721" spans="1:17">
      <c r="A721" t="s">
        <v>1541</v>
      </c>
      <c r="B721" s="5">
        <v>46181</v>
      </c>
      <c r="C721" t="s">
        <v>1542</v>
      </c>
      <c r="D721" t="s">
        <v>17</v>
      </c>
      <c r="E721" t="s">
        <v>2</v>
      </c>
      <c r="F721" t="s">
        <v>50</v>
      </c>
      <c r="G721" t="s">
        <v>51</v>
      </c>
      <c r="H721" s="6">
        <v>5.28</v>
      </c>
      <c r="I721" t="s">
        <v>52</v>
      </c>
      <c r="J721" t="s">
        <v>53</v>
      </c>
      <c r="K721" t="s">
        <v>54</v>
      </c>
      <c r="L721" t="s">
        <v>55</v>
      </c>
      <c r="O721" t="s">
        <v>56</v>
      </c>
      <c r="P721" t="s">
        <v>57</v>
      </c>
      <c r="Q721" s="6">
        <v>35273.64</v>
      </c>
    </row>
    <row r="722" spans="1:17">
      <c r="A722" t="s">
        <v>1543</v>
      </c>
      <c r="B722" s="5">
        <v>46181</v>
      </c>
      <c r="C722" t="s">
        <v>1544</v>
      </c>
      <c r="D722" t="s">
        <v>17</v>
      </c>
      <c r="E722" t="s">
        <v>2</v>
      </c>
      <c r="F722" t="s">
        <v>50</v>
      </c>
      <c r="G722" t="s">
        <v>51</v>
      </c>
      <c r="H722" s="6">
        <v>14.99</v>
      </c>
      <c r="I722" t="s">
        <v>52</v>
      </c>
      <c r="J722" t="s">
        <v>53</v>
      </c>
      <c r="K722" t="s">
        <v>54</v>
      </c>
      <c r="L722" t="s">
        <v>55</v>
      </c>
      <c r="O722" t="s">
        <v>56</v>
      </c>
      <c r="P722" t="s">
        <v>57</v>
      </c>
      <c r="Q722" s="6">
        <v>35278.92</v>
      </c>
    </row>
    <row r="723" spans="1:17">
      <c r="A723" t="s">
        <v>1545</v>
      </c>
      <c r="B723" s="5">
        <v>46181</v>
      </c>
      <c r="C723" t="s">
        <v>1546</v>
      </c>
      <c r="D723" t="s">
        <v>17</v>
      </c>
      <c r="E723" t="s">
        <v>2</v>
      </c>
      <c r="F723" t="s">
        <v>50</v>
      </c>
      <c r="G723" t="s">
        <v>51</v>
      </c>
      <c r="H723" s="6">
        <v>17.68</v>
      </c>
      <c r="I723" t="s">
        <v>52</v>
      </c>
      <c r="J723" t="s">
        <v>53</v>
      </c>
      <c r="K723" t="s">
        <v>54</v>
      </c>
      <c r="L723" t="s">
        <v>55</v>
      </c>
      <c r="O723" t="s">
        <v>56</v>
      </c>
      <c r="P723" t="s">
        <v>57</v>
      </c>
      <c r="Q723" s="6">
        <v>35293.910000000003</v>
      </c>
    </row>
    <row r="724" spans="1:17">
      <c r="A724" t="s">
        <v>1547</v>
      </c>
      <c r="B724" s="5">
        <v>46182</v>
      </c>
      <c r="C724" t="s">
        <v>1548</v>
      </c>
      <c r="D724" t="s">
        <v>17</v>
      </c>
      <c r="E724" t="s">
        <v>2</v>
      </c>
      <c r="F724" t="s">
        <v>50</v>
      </c>
      <c r="G724" t="s">
        <v>51</v>
      </c>
      <c r="H724" s="6">
        <v>41.74</v>
      </c>
      <c r="I724" t="s">
        <v>52</v>
      </c>
      <c r="J724" t="s">
        <v>60</v>
      </c>
      <c r="K724" t="s">
        <v>54</v>
      </c>
      <c r="L724" t="s">
        <v>55</v>
      </c>
      <c r="O724" t="s">
        <v>61</v>
      </c>
      <c r="P724" t="s">
        <v>62</v>
      </c>
      <c r="Q724" s="6">
        <v>35087.279999999999</v>
      </c>
    </row>
    <row r="725" spans="1:17">
      <c r="A725" t="s">
        <v>1549</v>
      </c>
      <c r="B725" s="5">
        <v>46182</v>
      </c>
      <c r="C725" t="s">
        <v>1550</v>
      </c>
      <c r="D725" t="s">
        <v>17</v>
      </c>
      <c r="E725" t="s">
        <v>2</v>
      </c>
      <c r="F725" t="s">
        <v>50</v>
      </c>
      <c r="G725" t="s">
        <v>100</v>
      </c>
      <c r="H725" s="6">
        <v>141.55000000000001</v>
      </c>
      <c r="I725" t="s">
        <v>52</v>
      </c>
      <c r="J725" t="s">
        <v>177</v>
      </c>
      <c r="K725" t="s">
        <v>54</v>
      </c>
      <c r="L725" t="s">
        <v>102</v>
      </c>
      <c r="O725" t="s">
        <v>178</v>
      </c>
      <c r="P725" t="s">
        <v>179</v>
      </c>
      <c r="Q725" s="6">
        <v>42560.2</v>
      </c>
    </row>
    <row r="726" spans="1:17">
      <c r="A726" t="s">
        <v>1551</v>
      </c>
      <c r="B726" s="5">
        <v>46182</v>
      </c>
      <c r="C726" t="s">
        <v>1552</v>
      </c>
      <c r="D726" t="s">
        <v>17</v>
      </c>
      <c r="E726" t="s">
        <v>2</v>
      </c>
      <c r="F726" t="s">
        <v>50</v>
      </c>
      <c r="G726" t="s">
        <v>100</v>
      </c>
      <c r="H726" s="6">
        <v>22.01</v>
      </c>
      <c r="I726" t="s">
        <v>52</v>
      </c>
      <c r="J726" t="s">
        <v>114</v>
      </c>
      <c r="K726" t="s">
        <v>54</v>
      </c>
      <c r="L726" t="s">
        <v>102</v>
      </c>
      <c r="O726" t="s">
        <v>103</v>
      </c>
      <c r="P726" t="s">
        <v>104</v>
      </c>
      <c r="Q726" s="6">
        <v>35065.269999999997</v>
      </c>
    </row>
    <row r="727" spans="1:17">
      <c r="A727" t="s">
        <v>1553</v>
      </c>
      <c r="B727" s="5">
        <v>46182</v>
      </c>
      <c r="C727" t="s">
        <v>1554</v>
      </c>
      <c r="D727" t="s">
        <v>17</v>
      </c>
      <c r="E727" t="s">
        <v>2</v>
      </c>
      <c r="F727" t="s">
        <v>50</v>
      </c>
      <c r="G727" t="s">
        <v>51</v>
      </c>
      <c r="H727" s="6">
        <v>11.9</v>
      </c>
      <c r="I727" t="s">
        <v>52</v>
      </c>
      <c r="J727" t="s">
        <v>53</v>
      </c>
      <c r="K727" t="s">
        <v>54</v>
      </c>
      <c r="L727" t="s">
        <v>55</v>
      </c>
      <c r="O727" t="s">
        <v>56</v>
      </c>
      <c r="P727" t="s">
        <v>57</v>
      </c>
      <c r="Q727" s="6">
        <v>35210.300000000003</v>
      </c>
    </row>
    <row r="728" spans="1:17">
      <c r="A728" t="s">
        <v>1555</v>
      </c>
      <c r="B728" s="5">
        <v>46182</v>
      </c>
      <c r="C728" t="s">
        <v>1556</v>
      </c>
      <c r="D728" t="s">
        <v>17</v>
      </c>
      <c r="E728" t="s">
        <v>2</v>
      </c>
      <c r="F728" t="s">
        <v>50</v>
      </c>
      <c r="G728" t="s">
        <v>100</v>
      </c>
      <c r="H728" s="6">
        <v>15</v>
      </c>
      <c r="I728" t="s">
        <v>52</v>
      </c>
      <c r="J728" t="s">
        <v>101</v>
      </c>
      <c r="K728" t="s">
        <v>54</v>
      </c>
      <c r="L728" t="s">
        <v>102</v>
      </c>
      <c r="O728" t="s">
        <v>103</v>
      </c>
      <c r="P728" t="s">
        <v>104</v>
      </c>
      <c r="Q728" s="6">
        <v>35129.019999999997</v>
      </c>
    </row>
    <row r="729" spans="1:17">
      <c r="A729" t="s">
        <v>1557</v>
      </c>
      <c r="B729" s="5">
        <v>46182</v>
      </c>
      <c r="C729" t="s">
        <v>1558</v>
      </c>
      <c r="D729" t="s">
        <v>17</v>
      </c>
      <c r="E729" t="s">
        <v>2</v>
      </c>
      <c r="F729" t="s">
        <v>50</v>
      </c>
      <c r="G729" t="s">
        <v>51</v>
      </c>
      <c r="H729" s="6">
        <v>21.44</v>
      </c>
      <c r="I729" t="s">
        <v>52</v>
      </c>
      <c r="J729" t="s">
        <v>121</v>
      </c>
      <c r="K729" t="s">
        <v>54</v>
      </c>
      <c r="L729" t="s">
        <v>55</v>
      </c>
      <c r="O729" t="s">
        <v>122</v>
      </c>
      <c r="P729" t="s">
        <v>123</v>
      </c>
      <c r="Q729" s="6">
        <v>35162.57</v>
      </c>
    </row>
    <row r="730" spans="1:17">
      <c r="A730" t="s">
        <v>1559</v>
      </c>
      <c r="B730" s="5">
        <v>46182</v>
      </c>
      <c r="C730" t="s">
        <v>1560</v>
      </c>
      <c r="D730" t="s">
        <v>17</v>
      </c>
      <c r="E730" t="s">
        <v>2</v>
      </c>
      <c r="F730" t="s">
        <v>50</v>
      </c>
      <c r="G730" t="s">
        <v>51</v>
      </c>
      <c r="H730" s="6">
        <v>26.29</v>
      </c>
      <c r="I730" t="s">
        <v>52</v>
      </c>
      <c r="J730" t="s">
        <v>60</v>
      </c>
      <c r="K730" t="s">
        <v>54</v>
      </c>
      <c r="L730" t="s">
        <v>55</v>
      </c>
      <c r="O730" t="s">
        <v>61</v>
      </c>
      <c r="P730" t="s">
        <v>62</v>
      </c>
      <c r="Q730" s="6">
        <v>35184.01</v>
      </c>
    </row>
    <row r="731" spans="1:17">
      <c r="A731" t="s">
        <v>1561</v>
      </c>
      <c r="B731" s="5">
        <v>46182</v>
      </c>
      <c r="C731" t="s">
        <v>1562</v>
      </c>
      <c r="D731" t="s">
        <v>17</v>
      </c>
      <c r="E731" t="s">
        <v>2</v>
      </c>
      <c r="F731" t="s">
        <v>50</v>
      </c>
      <c r="G731" t="s">
        <v>51</v>
      </c>
      <c r="H731" s="6">
        <v>18.55</v>
      </c>
      <c r="I731" t="s">
        <v>52</v>
      </c>
      <c r="J731" t="s">
        <v>121</v>
      </c>
      <c r="K731" t="s">
        <v>54</v>
      </c>
      <c r="L731" t="s">
        <v>55</v>
      </c>
      <c r="O731" t="s">
        <v>122</v>
      </c>
      <c r="P731" t="s">
        <v>123</v>
      </c>
      <c r="Q731" s="6">
        <v>35144.019999999997</v>
      </c>
    </row>
    <row r="732" spans="1:17">
      <c r="A732" t="s">
        <v>1563</v>
      </c>
      <c r="B732" s="5">
        <v>46182</v>
      </c>
      <c r="C732" t="s">
        <v>1564</v>
      </c>
      <c r="D732" t="s">
        <v>17</v>
      </c>
      <c r="E732" t="s">
        <v>2</v>
      </c>
      <c r="F732" t="s">
        <v>50</v>
      </c>
      <c r="G732" t="s">
        <v>51</v>
      </c>
      <c r="H732" s="6">
        <v>51.44</v>
      </c>
      <c r="I732" t="s">
        <v>52</v>
      </c>
      <c r="J732" t="s">
        <v>65</v>
      </c>
      <c r="K732" t="s">
        <v>54</v>
      </c>
      <c r="L732" t="s">
        <v>55</v>
      </c>
      <c r="O732" t="s">
        <v>66</v>
      </c>
      <c r="P732" t="s">
        <v>67</v>
      </c>
      <c r="Q732" s="6">
        <v>35222.199999999997</v>
      </c>
    </row>
    <row r="733" spans="1:17">
      <c r="A733" t="s">
        <v>1565</v>
      </c>
      <c r="B733" s="5">
        <v>46183</v>
      </c>
      <c r="C733" t="s">
        <v>1566</v>
      </c>
      <c r="D733" t="s">
        <v>17</v>
      </c>
      <c r="E733" t="s">
        <v>2</v>
      </c>
      <c r="F733" t="s">
        <v>50</v>
      </c>
      <c r="G733" t="s">
        <v>51</v>
      </c>
      <c r="H733" s="6">
        <v>11.28</v>
      </c>
      <c r="I733" t="s">
        <v>52</v>
      </c>
      <c r="J733" t="s">
        <v>53</v>
      </c>
      <c r="K733" t="s">
        <v>54</v>
      </c>
      <c r="L733" t="s">
        <v>55</v>
      </c>
      <c r="O733" t="s">
        <v>56</v>
      </c>
      <c r="P733" t="s">
        <v>57</v>
      </c>
      <c r="Q733" s="6">
        <v>34758.959999999999</v>
      </c>
    </row>
    <row r="734" spans="1:17">
      <c r="A734" t="s">
        <v>1567</v>
      </c>
      <c r="B734" s="5">
        <v>46183</v>
      </c>
      <c r="C734" t="s">
        <v>1568</v>
      </c>
      <c r="D734" t="s">
        <v>17</v>
      </c>
      <c r="E734" t="s">
        <v>2</v>
      </c>
      <c r="F734" t="s">
        <v>50</v>
      </c>
      <c r="G734" t="s">
        <v>100</v>
      </c>
      <c r="H734" s="6">
        <v>21.73</v>
      </c>
      <c r="I734" t="s">
        <v>52</v>
      </c>
      <c r="J734" t="s">
        <v>114</v>
      </c>
      <c r="K734" t="s">
        <v>54</v>
      </c>
      <c r="L734" t="s">
        <v>102</v>
      </c>
      <c r="O734" t="s">
        <v>103</v>
      </c>
      <c r="P734" t="s">
        <v>104</v>
      </c>
      <c r="Q734" s="6">
        <v>34737.230000000003</v>
      </c>
    </row>
    <row r="735" spans="1:17">
      <c r="A735" t="s">
        <v>1569</v>
      </c>
      <c r="B735" s="5">
        <v>46183</v>
      </c>
      <c r="C735" t="s">
        <v>1570</v>
      </c>
      <c r="D735" t="s">
        <v>17</v>
      </c>
      <c r="E735" t="s">
        <v>2</v>
      </c>
      <c r="F735" t="s">
        <v>149</v>
      </c>
      <c r="G735" t="s">
        <v>72</v>
      </c>
      <c r="H735" s="6">
        <v>174.37</v>
      </c>
      <c r="I735" t="s">
        <v>52</v>
      </c>
      <c r="J735" t="s">
        <v>606</v>
      </c>
      <c r="K735" t="s">
        <v>54</v>
      </c>
      <c r="L735" t="s">
        <v>74</v>
      </c>
      <c r="O735" t="s">
        <v>75</v>
      </c>
      <c r="P735" t="s">
        <v>76</v>
      </c>
      <c r="Q735" s="6">
        <v>34911.599999999999</v>
      </c>
    </row>
    <row r="736" spans="1:17">
      <c r="A736" t="s">
        <v>1571</v>
      </c>
      <c r="B736" s="5">
        <v>46183</v>
      </c>
      <c r="C736" t="s">
        <v>1572</v>
      </c>
      <c r="D736" t="s">
        <v>17</v>
      </c>
      <c r="E736" t="s">
        <v>2</v>
      </c>
      <c r="F736" t="s">
        <v>50</v>
      </c>
      <c r="G736" t="s">
        <v>51</v>
      </c>
      <c r="H736" s="6">
        <v>155.91</v>
      </c>
      <c r="I736" t="s">
        <v>52</v>
      </c>
      <c r="J736" t="s">
        <v>196</v>
      </c>
      <c r="K736" t="s">
        <v>54</v>
      </c>
      <c r="L736" t="s">
        <v>55</v>
      </c>
      <c r="O736" t="s">
        <v>197</v>
      </c>
      <c r="P736" t="s">
        <v>198</v>
      </c>
      <c r="Q736" s="6">
        <v>34909.360000000001</v>
      </c>
    </row>
    <row r="737" spans="1:17">
      <c r="A737" t="s">
        <v>1573</v>
      </c>
      <c r="B737" s="5">
        <v>46183</v>
      </c>
      <c r="C737" t="s">
        <v>1574</v>
      </c>
      <c r="D737" t="s">
        <v>17</v>
      </c>
      <c r="E737" t="s">
        <v>2</v>
      </c>
      <c r="F737" t="s">
        <v>50</v>
      </c>
      <c r="G737" t="s">
        <v>51</v>
      </c>
      <c r="H737" s="6">
        <v>41.36</v>
      </c>
      <c r="I737" t="s">
        <v>52</v>
      </c>
      <c r="J737" t="s">
        <v>126</v>
      </c>
      <c r="K737" t="s">
        <v>54</v>
      </c>
      <c r="L737" t="s">
        <v>55</v>
      </c>
      <c r="O737" t="s">
        <v>56</v>
      </c>
      <c r="P737" t="s">
        <v>57</v>
      </c>
      <c r="Q737" s="6">
        <v>34796.589999999997</v>
      </c>
    </row>
    <row r="738" spans="1:17">
      <c r="A738" t="s">
        <v>1575</v>
      </c>
      <c r="B738" s="5">
        <v>46183</v>
      </c>
      <c r="C738" t="s">
        <v>1576</v>
      </c>
      <c r="D738" t="s">
        <v>17</v>
      </c>
      <c r="E738" t="s">
        <v>2</v>
      </c>
      <c r="F738" t="s">
        <v>50</v>
      </c>
      <c r="G738" t="s">
        <v>51</v>
      </c>
      <c r="H738" s="6">
        <v>26.35</v>
      </c>
      <c r="I738" t="s">
        <v>52</v>
      </c>
      <c r="J738" t="s">
        <v>60</v>
      </c>
      <c r="K738" t="s">
        <v>54</v>
      </c>
      <c r="L738" t="s">
        <v>55</v>
      </c>
      <c r="O738" t="s">
        <v>61</v>
      </c>
      <c r="P738" t="s">
        <v>62</v>
      </c>
      <c r="Q738" s="6">
        <v>34770.239999999998</v>
      </c>
    </row>
    <row r="739" spans="1:17">
      <c r="A739" t="s">
        <v>1577</v>
      </c>
      <c r="B739" s="5">
        <v>46183</v>
      </c>
      <c r="C739" t="s">
        <v>1578</v>
      </c>
      <c r="D739" t="s">
        <v>17</v>
      </c>
      <c r="E739" t="s">
        <v>2</v>
      </c>
      <c r="F739" t="s">
        <v>50</v>
      </c>
      <c r="G739" t="s">
        <v>51</v>
      </c>
      <c r="H739" s="6">
        <v>71.41</v>
      </c>
      <c r="I739" t="s">
        <v>52</v>
      </c>
      <c r="J739" t="s">
        <v>60</v>
      </c>
      <c r="K739" t="s">
        <v>54</v>
      </c>
      <c r="L739" t="s">
        <v>55</v>
      </c>
      <c r="O739" t="s">
        <v>61</v>
      </c>
      <c r="P739" t="s">
        <v>62</v>
      </c>
      <c r="Q739" s="6">
        <v>34837.949999999997</v>
      </c>
    </row>
    <row r="740" spans="1:17">
      <c r="A740" t="s">
        <v>1579</v>
      </c>
      <c r="B740" s="5">
        <v>46184</v>
      </c>
      <c r="C740" t="s">
        <v>1580</v>
      </c>
      <c r="D740" t="s">
        <v>17</v>
      </c>
      <c r="E740" t="s">
        <v>2</v>
      </c>
      <c r="F740" t="s">
        <v>50</v>
      </c>
      <c r="G740" t="s">
        <v>100</v>
      </c>
      <c r="H740" s="6">
        <v>57.91</v>
      </c>
      <c r="I740" t="s">
        <v>52</v>
      </c>
      <c r="J740" t="s">
        <v>244</v>
      </c>
      <c r="K740" t="s">
        <v>54</v>
      </c>
      <c r="L740" t="s">
        <v>102</v>
      </c>
      <c r="O740" t="s">
        <v>178</v>
      </c>
      <c r="P740" t="s">
        <v>245</v>
      </c>
      <c r="Q740" s="6">
        <v>42502.29</v>
      </c>
    </row>
    <row r="741" spans="1:17">
      <c r="A741" t="s">
        <v>1581</v>
      </c>
      <c r="B741" s="5">
        <v>46184</v>
      </c>
      <c r="C741" t="s">
        <v>1582</v>
      </c>
      <c r="D741" t="s">
        <v>17</v>
      </c>
      <c r="E741" t="s">
        <v>2</v>
      </c>
      <c r="F741" t="s">
        <v>50</v>
      </c>
      <c r="G741" t="s">
        <v>100</v>
      </c>
      <c r="H741" s="6">
        <v>15</v>
      </c>
      <c r="I741" t="s">
        <v>52</v>
      </c>
      <c r="J741" t="s">
        <v>101</v>
      </c>
      <c r="K741" t="s">
        <v>54</v>
      </c>
      <c r="L741" t="s">
        <v>102</v>
      </c>
      <c r="O741" t="s">
        <v>103</v>
      </c>
      <c r="P741" t="s">
        <v>104</v>
      </c>
      <c r="Q741" s="6">
        <v>34871.1</v>
      </c>
    </row>
    <row r="742" spans="1:17">
      <c r="A742" t="s">
        <v>1583</v>
      </c>
      <c r="B742" s="5">
        <v>46184</v>
      </c>
      <c r="C742" t="s">
        <v>1584</v>
      </c>
      <c r="D742" t="s">
        <v>17</v>
      </c>
      <c r="E742" t="s">
        <v>2</v>
      </c>
      <c r="F742" t="s">
        <v>50</v>
      </c>
      <c r="G742" t="s">
        <v>51</v>
      </c>
      <c r="H742" s="6">
        <v>112.71</v>
      </c>
      <c r="I742" t="s">
        <v>52</v>
      </c>
      <c r="J742" t="s">
        <v>65</v>
      </c>
      <c r="K742" t="s">
        <v>54</v>
      </c>
      <c r="L742" t="s">
        <v>55</v>
      </c>
      <c r="O742" t="s">
        <v>66</v>
      </c>
      <c r="P742" t="s">
        <v>67</v>
      </c>
      <c r="Q742" s="6">
        <v>34754.65</v>
      </c>
    </row>
    <row r="743" spans="1:17">
      <c r="A743" t="s">
        <v>1585</v>
      </c>
      <c r="B743" s="5">
        <v>46184</v>
      </c>
      <c r="C743" t="s">
        <v>1586</v>
      </c>
      <c r="D743" t="s">
        <v>17</v>
      </c>
      <c r="E743" t="s">
        <v>2</v>
      </c>
      <c r="F743" t="s">
        <v>50</v>
      </c>
      <c r="G743" t="s">
        <v>51</v>
      </c>
      <c r="H743" s="6">
        <v>3.74</v>
      </c>
      <c r="I743" t="s">
        <v>52</v>
      </c>
      <c r="J743" t="s">
        <v>121</v>
      </c>
      <c r="K743" t="s">
        <v>54</v>
      </c>
      <c r="L743" t="s">
        <v>55</v>
      </c>
      <c r="O743" t="s">
        <v>122</v>
      </c>
      <c r="P743" t="s">
        <v>123</v>
      </c>
      <c r="Q743" s="6">
        <v>34867.360000000001</v>
      </c>
    </row>
    <row r="744" spans="1:17">
      <c r="A744" t="s">
        <v>1587</v>
      </c>
      <c r="B744" s="5">
        <v>46184</v>
      </c>
      <c r="C744" t="s">
        <v>1588</v>
      </c>
      <c r="D744" t="s">
        <v>17</v>
      </c>
      <c r="E744" t="s">
        <v>2</v>
      </c>
      <c r="F744" t="s">
        <v>50</v>
      </c>
      <c r="G744" t="s">
        <v>51</v>
      </c>
      <c r="H744" s="6">
        <v>16.14</v>
      </c>
      <c r="I744" t="s">
        <v>52</v>
      </c>
      <c r="J744" t="s">
        <v>53</v>
      </c>
      <c r="K744" t="s">
        <v>54</v>
      </c>
      <c r="L744" t="s">
        <v>55</v>
      </c>
      <c r="O744" t="s">
        <v>56</v>
      </c>
      <c r="P744" t="s">
        <v>57</v>
      </c>
      <c r="Q744" s="6">
        <v>34895.46</v>
      </c>
    </row>
    <row r="745" spans="1:17">
      <c r="A745" t="s">
        <v>1589</v>
      </c>
      <c r="B745" s="5">
        <v>46184</v>
      </c>
      <c r="C745" t="s">
        <v>1590</v>
      </c>
      <c r="D745" t="s">
        <v>17</v>
      </c>
      <c r="E745" t="s">
        <v>2</v>
      </c>
      <c r="F745" t="s">
        <v>50</v>
      </c>
      <c r="G745" t="s">
        <v>51</v>
      </c>
      <c r="H745" s="6">
        <v>9.36</v>
      </c>
      <c r="I745" t="s">
        <v>52</v>
      </c>
      <c r="J745" t="s">
        <v>53</v>
      </c>
      <c r="K745" t="s">
        <v>54</v>
      </c>
      <c r="L745" t="s">
        <v>55</v>
      </c>
      <c r="O745" t="s">
        <v>56</v>
      </c>
      <c r="P745" t="s">
        <v>57</v>
      </c>
      <c r="Q745" s="6">
        <v>34886.1</v>
      </c>
    </row>
    <row r="746" spans="1:17">
      <c r="A746" t="s">
        <v>1591</v>
      </c>
      <c r="B746" s="5">
        <v>46184</v>
      </c>
      <c r="C746" t="s">
        <v>1592</v>
      </c>
      <c r="D746" t="s">
        <v>17</v>
      </c>
      <c r="E746" t="s">
        <v>2</v>
      </c>
      <c r="F746" t="s">
        <v>149</v>
      </c>
      <c r="G746" t="s">
        <v>72</v>
      </c>
      <c r="H746" s="6">
        <v>69.75</v>
      </c>
      <c r="I746" t="s">
        <v>52</v>
      </c>
      <c r="J746" t="s">
        <v>316</v>
      </c>
      <c r="K746" t="s">
        <v>54</v>
      </c>
      <c r="L746" t="s">
        <v>74</v>
      </c>
      <c r="O746" t="s">
        <v>75</v>
      </c>
      <c r="P746" t="s">
        <v>76</v>
      </c>
      <c r="Q746" s="6">
        <v>34824.400000000001</v>
      </c>
    </row>
    <row r="747" spans="1:17">
      <c r="A747" t="s">
        <v>1593</v>
      </c>
      <c r="B747" s="5">
        <v>46185</v>
      </c>
      <c r="C747" t="s">
        <v>1594</v>
      </c>
      <c r="D747" t="s">
        <v>17</v>
      </c>
      <c r="E747" t="s">
        <v>2</v>
      </c>
      <c r="F747" t="s">
        <v>149</v>
      </c>
      <c r="G747" t="s">
        <v>72</v>
      </c>
      <c r="H747" s="6">
        <v>52.12</v>
      </c>
      <c r="I747" t="s">
        <v>52</v>
      </c>
      <c r="J747" t="s">
        <v>638</v>
      </c>
      <c r="K747" t="s">
        <v>54</v>
      </c>
      <c r="L747" t="s">
        <v>74</v>
      </c>
      <c r="O747" t="s">
        <v>75</v>
      </c>
      <c r="P747" t="s">
        <v>76</v>
      </c>
      <c r="Q747" s="6">
        <v>34686.519999999997</v>
      </c>
    </row>
    <row r="748" spans="1:17">
      <c r="A748" t="s">
        <v>1595</v>
      </c>
      <c r="B748" s="5">
        <v>46185</v>
      </c>
      <c r="C748" t="s">
        <v>1596</v>
      </c>
      <c r="D748" t="s">
        <v>17</v>
      </c>
      <c r="E748" t="s">
        <v>2</v>
      </c>
      <c r="F748" t="s">
        <v>50</v>
      </c>
      <c r="G748" t="s">
        <v>51</v>
      </c>
      <c r="H748" s="6">
        <v>83.44</v>
      </c>
      <c r="I748" t="s">
        <v>52</v>
      </c>
      <c r="J748" t="s">
        <v>65</v>
      </c>
      <c r="K748" t="s">
        <v>54</v>
      </c>
      <c r="L748" t="s">
        <v>55</v>
      </c>
      <c r="O748" t="s">
        <v>66</v>
      </c>
      <c r="P748" t="s">
        <v>67</v>
      </c>
      <c r="Q748" s="6">
        <v>34650.449999999997</v>
      </c>
    </row>
    <row r="749" spans="1:17">
      <c r="A749" t="s">
        <v>1597</v>
      </c>
      <c r="B749" s="5">
        <v>46185</v>
      </c>
      <c r="C749" t="s">
        <v>1598</v>
      </c>
      <c r="D749" t="s">
        <v>17</v>
      </c>
      <c r="E749" t="s">
        <v>2</v>
      </c>
      <c r="F749" t="s">
        <v>50</v>
      </c>
      <c r="G749" t="s">
        <v>51</v>
      </c>
      <c r="H749" s="6">
        <v>31.4</v>
      </c>
      <c r="I749" t="s">
        <v>52</v>
      </c>
      <c r="J749" t="s">
        <v>60</v>
      </c>
      <c r="K749" t="s">
        <v>54</v>
      </c>
      <c r="L749" t="s">
        <v>55</v>
      </c>
      <c r="O749" t="s">
        <v>61</v>
      </c>
      <c r="P749" t="s">
        <v>62</v>
      </c>
      <c r="Q749" s="6">
        <v>34750.97</v>
      </c>
    </row>
    <row r="750" spans="1:17">
      <c r="A750" t="s">
        <v>1599</v>
      </c>
      <c r="B750" s="5">
        <v>46185</v>
      </c>
      <c r="C750" t="s">
        <v>1600</v>
      </c>
      <c r="D750" t="s">
        <v>17</v>
      </c>
      <c r="E750" t="s">
        <v>2</v>
      </c>
      <c r="F750" t="s">
        <v>50</v>
      </c>
      <c r="G750" t="s">
        <v>51</v>
      </c>
      <c r="H750" s="6">
        <v>22.01</v>
      </c>
      <c r="I750" t="s">
        <v>52</v>
      </c>
      <c r="J750" t="s">
        <v>81</v>
      </c>
      <c r="K750" t="s">
        <v>54</v>
      </c>
      <c r="L750" t="s">
        <v>55</v>
      </c>
      <c r="O750" t="s">
        <v>82</v>
      </c>
      <c r="P750" t="s">
        <v>83</v>
      </c>
      <c r="Q750" s="6">
        <v>34782.370000000003</v>
      </c>
    </row>
    <row r="751" spans="1:17">
      <c r="A751" t="s">
        <v>1601</v>
      </c>
      <c r="B751" s="5">
        <v>46185</v>
      </c>
      <c r="C751" t="s">
        <v>1602</v>
      </c>
      <c r="D751" t="s">
        <v>17</v>
      </c>
      <c r="E751" t="s">
        <v>2</v>
      </c>
      <c r="F751" t="s">
        <v>50</v>
      </c>
      <c r="G751" t="s">
        <v>51</v>
      </c>
      <c r="H751" s="6">
        <v>20.02</v>
      </c>
      <c r="I751" t="s">
        <v>52</v>
      </c>
      <c r="J751" t="s">
        <v>126</v>
      </c>
      <c r="K751" t="s">
        <v>54</v>
      </c>
      <c r="L751" t="s">
        <v>55</v>
      </c>
      <c r="O751" t="s">
        <v>56</v>
      </c>
      <c r="P751" t="s">
        <v>57</v>
      </c>
      <c r="Q751" s="6">
        <v>34804.379999999997</v>
      </c>
    </row>
    <row r="752" spans="1:17">
      <c r="A752" t="s">
        <v>1603</v>
      </c>
      <c r="B752" s="5">
        <v>46185</v>
      </c>
      <c r="C752" t="s">
        <v>1495</v>
      </c>
      <c r="D752" t="s">
        <v>17</v>
      </c>
      <c r="E752" t="s">
        <v>2</v>
      </c>
      <c r="F752" t="s">
        <v>50</v>
      </c>
      <c r="G752" t="s">
        <v>51</v>
      </c>
      <c r="H752" s="6">
        <v>17.079999999999998</v>
      </c>
      <c r="I752" t="s">
        <v>52</v>
      </c>
      <c r="J752" t="s">
        <v>121</v>
      </c>
      <c r="K752" t="s">
        <v>54</v>
      </c>
      <c r="L752" t="s">
        <v>55</v>
      </c>
      <c r="O752" t="s">
        <v>122</v>
      </c>
      <c r="P752" t="s">
        <v>123</v>
      </c>
      <c r="Q752" s="6">
        <v>34733.89</v>
      </c>
    </row>
    <row r="753" spans="1:17">
      <c r="A753" t="s">
        <v>1604</v>
      </c>
      <c r="B753" s="5">
        <v>46185</v>
      </c>
      <c r="C753" t="s">
        <v>1605</v>
      </c>
      <c r="D753" t="s">
        <v>17</v>
      </c>
      <c r="E753" t="s">
        <v>2</v>
      </c>
      <c r="F753" t="s">
        <v>50</v>
      </c>
      <c r="G753" t="s">
        <v>100</v>
      </c>
      <c r="H753" s="6">
        <v>16.05</v>
      </c>
      <c r="I753" t="s">
        <v>52</v>
      </c>
      <c r="J753" t="s">
        <v>114</v>
      </c>
      <c r="K753" t="s">
        <v>54</v>
      </c>
      <c r="L753" t="s">
        <v>102</v>
      </c>
      <c r="O753" t="s">
        <v>103</v>
      </c>
      <c r="P753" t="s">
        <v>104</v>
      </c>
      <c r="Q753" s="6">
        <v>34634.400000000001</v>
      </c>
    </row>
    <row r="754" spans="1:17">
      <c r="A754" t="s">
        <v>1606</v>
      </c>
      <c r="B754" s="5">
        <v>46186</v>
      </c>
      <c r="C754" t="s">
        <v>1607</v>
      </c>
      <c r="D754" t="s">
        <v>17</v>
      </c>
      <c r="E754" t="s">
        <v>2</v>
      </c>
      <c r="F754" t="s">
        <v>50</v>
      </c>
      <c r="G754" t="s">
        <v>51</v>
      </c>
      <c r="H754" s="6">
        <v>56.06</v>
      </c>
      <c r="I754" t="s">
        <v>52</v>
      </c>
      <c r="J754" t="s">
        <v>60</v>
      </c>
      <c r="K754" t="s">
        <v>54</v>
      </c>
      <c r="L754" t="s">
        <v>55</v>
      </c>
      <c r="O754" t="s">
        <v>61</v>
      </c>
      <c r="P754" t="s">
        <v>62</v>
      </c>
      <c r="Q754" s="6">
        <v>34569.69</v>
      </c>
    </row>
    <row r="755" spans="1:17">
      <c r="A755" t="s">
        <v>1608</v>
      </c>
      <c r="B755" s="5">
        <v>46186</v>
      </c>
      <c r="C755" t="s">
        <v>1609</v>
      </c>
      <c r="D755" t="s">
        <v>17</v>
      </c>
      <c r="E755" t="s">
        <v>2</v>
      </c>
      <c r="F755" t="s">
        <v>50</v>
      </c>
      <c r="G755" t="s">
        <v>51</v>
      </c>
      <c r="H755" s="6">
        <v>164.57</v>
      </c>
      <c r="I755" t="s">
        <v>52</v>
      </c>
      <c r="J755" t="s">
        <v>196</v>
      </c>
      <c r="K755" t="s">
        <v>54</v>
      </c>
      <c r="L755" t="s">
        <v>55</v>
      </c>
      <c r="O755" t="s">
        <v>197</v>
      </c>
      <c r="P755" t="s">
        <v>198</v>
      </c>
      <c r="Q755" s="6">
        <v>34327.97</v>
      </c>
    </row>
    <row r="756" spans="1:17">
      <c r="A756" t="s">
        <v>1610</v>
      </c>
      <c r="B756" s="5">
        <v>46186</v>
      </c>
      <c r="C756" t="s">
        <v>1611</v>
      </c>
      <c r="D756" t="s">
        <v>17</v>
      </c>
      <c r="E756" t="s">
        <v>2</v>
      </c>
      <c r="F756" t="s">
        <v>50</v>
      </c>
      <c r="G756" t="s">
        <v>51</v>
      </c>
      <c r="H756" s="6">
        <v>25.9</v>
      </c>
      <c r="I756" t="s">
        <v>52</v>
      </c>
      <c r="J756" t="s">
        <v>81</v>
      </c>
      <c r="K756" t="s">
        <v>54</v>
      </c>
      <c r="L756" t="s">
        <v>55</v>
      </c>
      <c r="O756" t="s">
        <v>82</v>
      </c>
      <c r="P756" t="s">
        <v>83</v>
      </c>
      <c r="Q756" s="6">
        <v>34528.79</v>
      </c>
    </row>
    <row r="757" spans="1:17">
      <c r="A757" t="s">
        <v>1612</v>
      </c>
      <c r="B757" s="5">
        <v>46186</v>
      </c>
      <c r="C757" t="s">
        <v>1613</v>
      </c>
      <c r="D757" t="s">
        <v>17</v>
      </c>
      <c r="E757" t="s">
        <v>2</v>
      </c>
      <c r="F757" t="s">
        <v>50</v>
      </c>
      <c r="G757" t="s">
        <v>51</v>
      </c>
      <c r="H757" s="6">
        <v>36.25</v>
      </c>
      <c r="I757" t="s">
        <v>52</v>
      </c>
      <c r="J757" t="s">
        <v>60</v>
      </c>
      <c r="K757" t="s">
        <v>54</v>
      </c>
      <c r="L757" t="s">
        <v>55</v>
      </c>
      <c r="O757" t="s">
        <v>61</v>
      </c>
      <c r="P757" t="s">
        <v>62</v>
      </c>
      <c r="Q757" s="6">
        <v>34492.54</v>
      </c>
    </row>
    <row r="758" spans="1:17">
      <c r="A758" t="s">
        <v>1614</v>
      </c>
      <c r="B758" s="5">
        <v>46186</v>
      </c>
      <c r="C758" t="s">
        <v>1615</v>
      </c>
      <c r="D758" t="s">
        <v>17</v>
      </c>
      <c r="E758" t="s">
        <v>2</v>
      </c>
      <c r="F758" t="s">
        <v>50</v>
      </c>
      <c r="G758" t="s">
        <v>51</v>
      </c>
      <c r="H758" s="6">
        <v>60.77</v>
      </c>
      <c r="I758" t="s">
        <v>52</v>
      </c>
      <c r="J758" t="s">
        <v>196</v>
      </c>
      <c r="K758" t="s">
        <v>54</v>
      </c>
      <c r="L758" t="s">
        <v>55</v>
      </c>
      <c r="O758" t="s">
        <v>197</v>
      </c>
      <c r="P758" t="s">
        <v>198</v>
      </c>
      <c r="Q758" s="6">
        <v>34625.75</v>
      </c>
    </row>
    <row r="759" spans="1:17">
      <c r="A759" t="s">
        <v>1616</v>
      </c>
      <c r="B759" s="5">
        <v>46186</v>
      </c>
      <c r="C759" t="s">
        <v>1617</v>
      </c>
      <c r="D759" t="s">
        <v>17</v>
      </c>
      <c r="E759" t="s">
        <v>2</v>
      </c>
      <c r="F759" t="s">
        <v>50</v>
      </c>
      <c r="G759" t="s">
        <v>100</v>
      </c>
      <c r="H759" s="6">
        <v>15</v>
      </c>
      <c r="I759" t="s">
        <v>52</v>
      </c>
      <c r="J759" t="s">
        <v>101</v>
      </c>
      <c r="K759" t="s">
        <v>54</v>
      </c>
      <c r="L759" t="s">
        <v>102</v>
      </c>
      <c r="O759" t="s">
        <v>103</v>
      </c>
      <c r="P759" t="s">
        <v>104</v>
      </c>
      <c r="Q759" s="6">
        <v>34554.69</v>
      </c>
    </row>
    <row r="760" spans="1:17">
      <c r="A760" t="s">
        <v>1618</v>
      </c>
      <c r="B760" s="5">
        <v>46186</v>
      </c>
      <c r="C760" t="s">
        <v>1619</v>
      </c>
      <c r="D760" t="s">
        <v>17</v>
      </c>
      <c r="E760" t="s">
        <v>2</v>
      </c>
      <c r="F760" t="s">
        <v>50</v>
      </c>
      <c r="G760" t="s">
        <v>51</v>
      </c>
      <c r="H760" s="6">
        <v>13.12</v>
      </c>
      <c r="I760" t="s">
        <v>52</v>
      </c>
      <c r="J760" t="s">
        <v>53</v>
      </c>
      <c r="K760" t="s">
        <v>54</v>
      </c>
      <c r="L760" t="s">
        <v>55</v>
      </c>
      <c r="O760" t="s">
        <v>56</v>
      </c>
      <c r="P760" t="s">
        <v>57</v>
      </c>
      <c r="Q760" s="6">
        <v>34314.85</v>
      </c>
    </row>
    <row r="761" spans="1:17">
      <c r="A761" t="s">
        <v>1620</v>
      </c>
      <c r="B761" s="5">
        <v>46187</v>
      </c>
      <c r="C761" t="s">
        <v>1621</v>
      </c>
      <c r="D761" t="s">
        <v>17</v>
      </c>
      <c r="E761" t="s">
        <v>2</v>
      </c>
      <c r="F761" t="s">
        <v>50</v>
      </c>
      <c r="G761" t="s">
        <v>100</v>
      </c>
      <c r="H761" s="6">
        <v>15</v>
      </c>
      <c r="I761" t="s">
        <v>52</v>
      </c>
      <c r="J761" t="s">
        <v>101</v>
      </c>
      <c r="K761" t="s">
        <v>54</v>
      </c>
      <c r="L761" t="s">
        <v>102</v>
      </c>
      <c r="O761" t="s">
        <v>103</v>
      </c>
      <c r="P761" t="s">
        <v>104</v>
      </c>
      <c r="Q761" s="6">
        <v>34299.85</v>
      </c>
    </row>
    <row r="762" spans="1:17">
      <c r="A762" t="s">
        <v>1622</v>
      </c>
      <c r="B762" s="5">
        <v>46187</v>
      </c>
      <c r="C762" t="s">
        <v>1623</v>
      </c>
      <c r="D762" t="s">
        <v>17</v>
      </c>
      <c r="E762" t="s">
        <v>2</v>
      </c>
      <c r="F762" t="s">
        <v>149</v>
      </c>
      <c r="G762" t="s">
        <v>72</v>
      </c>
      <c r="H762" s="6">
        <v>154.30000000000001</v>
      </c>
      <c r="I762" t="s">
        <v>52</v>
      </c>
      <c r="J762" t="s">
        <v>611</v>
      </c>
      <c r="K762" t="s">
        <v>54</v>
      </c>
      <c r="L762" t="s">
        <v>74</v>
      </c>
      <c r="O762" t="s">
        <v>75</v>
      </c>
      <c r="P762" t="s">
        <v>76</v>
      </c>
      <c r="Q762" s="6">
        <v>34360.44</v>
      </c>
    </row>
    <row r="763" spans="1:17">
      <c r="A763" t="s">
        <v>1624</v>
      </c>
      <c r="B763" s="5">
        <v>46187</v>
      </c>
      <c r="C763" t="s">
        <v>1625</v>
      </c>
      <c r="D763" t="s">
        <v>17</v>
      </c>
      <c r="E763" t="s">
        <v>2</v>
      </c>
      <c r="F763" t="s">
        <v>50</v>
      </c>
      <c r="G763" t="s">
        <v>51</v>
      </c>
      <c r="H763" s="6">
        <v>46.42</v>
      </c>
      <c r="I763" t="s">
        <v>52</v>
      </c>
      <c r="J763" t="s">
        <v>65</v>
      </c>
      <c r="K763" t="s">
        <v>54</v>
      </c>
      <c r="L763" t="s">
        <v>55</v>
      </c>
      <c r="O763" t="s">
        <v>66</v>
      </c>
      <c r="P763" t="s">
        <v>67</v>
      </c>
      <c r="Q763" s="6">
        <v>34253.43</v>
      </c>
    </row>
    <row r="764" spans="1:17">
      <c r="A764" t="s">
        <v>1626</v>
      </c>
      <c r="B764" s="5">
        <v>46187</v>
      </c>
      <c r="C764" t="s">
        <v>1627</v>
      </c>
      <c r="D764" t="s">
        <v>17</v>
      </c>
      <c r="E764" t="s">
        <v>2</v>
      </c>
      <c r="F764" t="s">
        <v>50</v>
      </c>
      <c r="G764" t="s">
        <v>100</v>
      </c>
      <c r="H764" s="6">
        <v>22.36</v>
      </c>
      <c r="I764" t="s">
        <v>52</v>
      </c>
      <c r="J764" t="s">
        <v>114</v>
      </c>
      <c r="K764" t="s">
        <v>54</v>
      </c>
      <c r="L764" t="s">
        <v>102</v>
      </c>
      <c r="O764" t="s">
        <v>103</v>
      </c>
      <c r="P764" t="s">
        <v>104</v>
      </c>
      <c r="Q764" s="6">
        <v>34206.14</v>
      </c>
    </row>
    <row r="765" spans="1:17">
      <c r="A765" t="s">
        <v>1628</v>
      </c>
      <c r="B765" s="5">
        <v>46187</v>
      </c>
      <c r="C765" t="s">
        <v>1629</v>
      </c>
      <c r="D765" t="s">
        <v>17</v>
      </c>
      <c r="E765" t="s">
        <v>2</v>
      </c>
      <c r="F765" t="s">
        <v>50</v>
      </c>
      <c r="G765" t="s">
        <v>51</v>
      </c>
      <c r="H765" s="6">
        <v>9.93</v>
      </c>
      <c r="I765" t="s">
        <v>52</v>
      </c>
      <c r="J765" t="s">
        <v>53</v>
      </c>
      <c r="K765" t="s">
        <v>54</v>
      </c>
      <c r="L765" t="s">
        <v>55</v>
      </c>
      <c r="O765" t="s">
        <v>56</v>
      </c>
      <c r="P765" t="s">
        <v>57</v>
      </c>
      <c r="Q765" s="6">
        <v>34243.5</v>
      </c>
    </row>
    <row r="766" spans="1:17">
      <c r="A766" t="s">
        <v>1630</v>
      </c>
      <c r="B766" s="5">
        <v>46187</v>
      </c>
      <c r="C766" t="s">
        <v>1631</v>
      </c>
      <c r="D766" t="s">
        <v>17</v>
      </c>
      <c r="E766" t="s">
        <v>2</v>
      </c>
      <c r="F766" t="s">
        <v>50</v>
      </c>
      <c r="G766" t="s">
        <v>100</v>
      </c>
      <c r="H766" s="6">
        <v>15</v>
      </c>
      <c r="I766" t="s">
        <v>52</v>
      </c>
      <c r="J766" t="s">
        <v>101</v>
      </c>
      <c r="K766" t="s">
        <v>54</v>
      </c>
      <c r="L766" t="s">
        <v>102</v>
      </c>
      <c r="O766" t="s">
        <v>103</v>
      </c>
      <c r="P766" t="s">
        <v>104</v>
      </c>
      <c r="Q766" s="6">
        <v>34228.5</v>
      </c>
    </row>
    <row r="767" spans="1:17">
      <c r="A767" t="s">
        <v>1632</v>
      </c>
      <c r="B767" s="5">
        <v>46188</v>
      </c>
      <c r="C767" t="s">
        <v>1633</v>
      </c>
      <c r="D767" t="s">
        <v>17</v>
      </c>
      <c r="E767" t="s">
        <v>2</v>
      </c>
      <c r="F767" t="s">
        <v>50</v>
      </c>
      <c r="G767" t="s">
        <v>100</v>
      </c>
      <c r="H767" s="6">
        <v>21.48</v>
      </c>
      <c r="I767" t="s">
        <v>52</v>
      </c>
      <c r="J767" t="s">
        <v>114</v>
      </c>
      <c r="K767" t="s">
        <v>54</v>
      </c>
      <c r="L767" t="s">
        <v>102</v>
      </c>
      <c r="O767" t="s">
        <v>103</v>
      </c>
      <c r="P767" t="s">
        <v>104</v>
      </c>
      <c r="Q767" s="6">
        <v>34266.379999999997</v>
      </c>
    </row>
    <row r="768" spans="1:17">
      <c r="A768" t="s">
        <v>1634</v>
      </c>
      <c r="B768" s="5">
        <v>46188</v>
      </c>
      <c r="C768" t="s">
        <v>1635</v>
      </c>
      <c r="D768" t="s">
        <v>17</v>
      </c>
      <c r="E768" t="s">
        <v>2</v>
      </c>
      <c r="F768" t="s">
        <v>149</v>
      </c>
      <c r="G768" t="s">
        <v>321</v>
      </c>
      <c r="H768" s="6">
        <v>3115.23</v>
      </c>
      <c r="I768" t="s">
        <v>52</v>
      </c>
      <c r="J768" t="s">
        <v>9</v>
      </c>
      <c r="K768" t="s">
        <v>54</v>
      </c>
      <c r="L768" t="s">
        <v>102</v>
      </c>
      <c r="O768" t="s">
        <v>322</v>
      </c>
      <c r="P768" t="s">
        <v>323</v>
      </c>
      <c r="Q768" s="6">
        <v>35401.43</v>
      </c>
    </row>
    <row r="769" spans="1:17">
      <c r="A769" t="s">
        <v>1636</v>
      </c>
      <c r="B769" s="5">
        <v>46188</v>
      </c>
      <c r="C769" t="s">
        <v>1637</v>
      </c>
      <c r="D769" t="s">
        <v>17</v>
      </c>
      <c r="E769" t="s">
        <v>2</v>
      </c>
      <c r="F769" t="s">
        <v>50</v>
      </c>
      <c r="G769" t="s">
        <v>51</v>
      </c>
      <c r="H769" s="6">
        <v>15.55</v>
      </c>
      <c r="I769" t="s">
        <v>52</v>
      </c>
      <c r="J769" t="s">
        <v>121</v>
      </c>
      <c r="K769" t="s">
        <v>54</v>
      </c>
      <c r="L769" t="s">
        <v>55</v>
      </c>
      <c r="O769" t="s">
        <v>122</v>
      </c>
      <c r="P769" t="s">
        <v>123</v>
      </c>
      <c r="Q769" s="6">
        <v>34250.83</v>
      </c>
    </row>
    <row r="770" spans="1:17">
      <c r="A770" t="s">
        <v>1638</v>
      </c>
      <c r="B770" s="5">
        <v>46188</v>
      </c>
      <c r="C770" t="s">
        <v>1639</v>
      </c>
      <c r="D770" t="s">
        <v>17</v>
      </c>
      <c r="E770" t="s">
        <v>2</v>
      </c>
      <c r="F770" t="s">
        <v>50</v>
      </c>
      <c r="G770" t="s">
        <v>72</v>
      </c>
      <c r="H770" s="6">
        <v>133.29</v>
      </c>
      <c r="I770" t="s">
        <v>52</v>
      </c>
      <c r="J770" t="s">
        <v>611</v>
      </c>
      <c r="K770" t="s">
        <v>54</v>
      </c>
      <c r="L770" t="s">
        <v>74</v>
      </c>
      <c r="O770" t="s">
        <v>75</v>
      </c>
      <c r="P770" t="s">
        <v>76</v>
      </c>
      <c r="Q770" s="6">
        <v>34102.54</v>
      </c>
    </row>
    <row r="771" spans="1:17">
      <c r="A771" t="s">
        <v>1640</v>
      </c>
      <c r="B771" s="5">
        <v>46188</v>
      </c>
      <c r="C771" t="s">
        <v>1641</v>
      </c>
      <c r="D771" t="s">
        <v>17</v>
      </c>
      <c r="E771" t="s">
        <v>2</v>
      </c>
      <c r="F771" t="s">
        <v>50</v>
      </c>
      <c r="G771" t="s">
        <v>100</v>
      </c>
      <c r="H771" s="6">
        <v>15</v>
      </c>
      <c r="I771" t="s">
        <v>52</v>
      </c>
      <c r="J771" t="s">
        <v>101</v>
      </c>
      <c r="K771" t="s">
        <v>54</v>
      </c>
      <c r="L771" t="s">
        <v>102</v>
      </c>
      <c r="O771" t="s">
        <v>103</v>
      </c>
      <c r="P771" t="s">
        <v>104</v>
      </c>
      <c r="Q771" s="6">
        <v>34235.83</v>
      </c>
    </row>
    <row r="772" spans="1:17">
      <c r="A772" t="s">
        <v>1642</v>
      </c>
      <c r="B772" s="5">
        <v>46188</v>
      </c>
      <c r="C772" t="s">
        <v>1643</v>
      </c>
      <c r="D772" t="s">
        <v>17</v>
      </c>
      <c r="E772" t="s">
        <v>2</v>
      </c>
      <c r="F772" t="s">
        <v>50</v>
      </c>
      <c r="G772" t="s">
        <v>51</v>
      </c>
      <c r="H772" s="6">
        <v>13.19</v>
      </c>
      <c r="I772" t="s">
        <v>52</v>
      </c>
      <c r="J772" t="s">
        <v>53</v>
      </c>
      <c r="K772" t="s">
        <v>54</v>
      </c>
      <c r="L772" t="s">
        <v>55</v>
      </c>
      <c r="O772" t="s">
        <v>56</v>
      </c>
      <c r="P772" t="s">
        <v>57</v>
      </c>
      <c r="Q772" s="6">
        <v>34287.86</v>
      </c>
    </row>
    <row r="773" spans="1:17">
      <c r="A773" t="s">
        <v>1644</v>
      </c>
      <c r="B773" s="5">
        <v>46188</v>
      </c>
      <c r="C773" t="s">
        <v>1645</v>
      </c>
      <c r="D773" t="s">
        <v>17</v>
      </c>
      <c r="E773" t="s">
        <v>2</v>
      </c>
      <c r="F773" t="s">
        <v>50</v>
      </c>
      <c r="G773" t="s">
        <v>51</v>
      </c>
      <c r="H773" s="6">
        <v>59.39</v>
      </c>
      <c r="I773" t="s">
        <v>52</v>
      </c>
      <c r="J773" t="s">
        <v>81</v>
      </c>
      <c r="K773" t="s">
        <v>54</v>
      </c>
      <c r="L773" t="s">
        <v>55</v>
      </c>
      <c r="O773" t="s">
        <v>82</v>
      </c>
      <c r="P773" t="s">
        <v>83</v>
      </c>
      <c r="Q773" s="6">
        <v>34301.050000000003</v>
      </c>
    </row>
    <row r="774" spans="1:17">
      <c r="A774" t="s">
        <v>1646</v>
      </c>
      <c r="B774" s="5">
        <v>46189</v>
      </c>
      <c r="C774" t="s">
        <v>1647</v>
      </c>
      <c r="D774" t="s">
        <v>17</v>
      </c>
      <c r="E774" t="s">
        <v>2</v>
      </c>
      <c r="F774" t="s">
        <v>50</v>
      </c>
      <c r="G774" t="s">
        <v>51</v>
      </c>
      <c r="H774" s="6">
        <v>10.49</v>
      </c>
      <c r="I774" t="s">
        <v>52</v>
      </c>
      <c r="J774" t="s">
        <v>53</v>
      </c>
      <c r="K774" t="s">
        <v>54</v>
      </c>
      <c r="L774" t="s">
        <v>55</v>
      </c>
      <c r="O774" t="s">
        <v>56</v>
      </c>
      <c r="P774" t="s">
        <v>57</v>
      </c>
      <c r="Q774" s="6">
        <v>33978.879999999997</v>
      </c>
    </row>
    <row r="775" spans="1:17">
      <c r="A775" t="s">
        <v>1648</v>
      </c>
      <c r="B775" s="5">
        <v>46189</v>
      </c>
      <c r="C775" t="s">
        <v>1649</v>
      </c>
      <c r="D775" t="s">
        <v>17</v>
      </c>
      <c r="E775" t="s">
        <v>2</v>
      </c>
      <c r="F775" t="s">
        <v>50</v>
      </c>
      <c r="G775" t="s">
        <v>100</v>
      </c>
      <c r="H775" s="6">
        <v>12.72</v>
      </c>
      <c r="I775" t="s">
        <v>52</v>
      </c>
      <c r="J775" t="s">
        <v>114</v>
      </c>
      <c r="K775" t="s">
        <v>54</v>
      </c>
      <c r="L775" t="s">
        <v>102</v>
      </c>
      <c r="O775" t="s">
        <v>103</v>
      </c>
      <c r="P775" t="s">
        <v>104</v>
      </c>
      <c r="Q775" s="6">
        <v>34055.440000000002</v>
      </c>
    </row>
    <row r="776" spans="1:17">
      <c r="A776" t="s">
        <v>1650</v>
      </c>
      <c r="B776" s="5">
        <v>46189</v>
      </c>
      <c r="C776" t="s">
        <v>1651</v>
      </c>
      <c r="D776" t="s">
        <v>17</v>
      </c>
      <c r="E776" t="s">
        <v>2</v>
      </c>
      <c r="F776" t="s">
        <v>50</v>
      </c>
      <c r="G776" t="s">
        <v>51</v>
      </c>
      <c r="H776" s="6">
        <v>14.15</v>
      </c>
      <c r="I776" t="s">
        <v>52</v>
      </c>
      <c r="J776" t="s">
        <v>53</v>
      </c>
      <c r="K776" t="s">
        <v>54</v>
      </c>
      <c r="L776" t="s">
        <v>55</v>
      </c>
      <c r="O776" t="s">
        <v>56</v>
      </c>
      <c r="P776" t="s">
        <v>57</v>
      </c>
      <c r="Q776" s="6">
        <v>34041.29</v>
      </c>
    </row>
    <row r="777" spans="1:17">
      <c r="A777" t="s">
        <v>1652</v>
      </c>
      <c r="B777" s="5">
        <v>46189</v>
      </c>
      <c r="C777" t="s">
        <v>1653</v>
      </c>
      <c r="D777" t="s">
        <v>17</v>
      </c>
      <c r="E777" t="s">
        <v>2</v>
      </c>
      <c r="F777" t="s">
        <v>50</v>
      </c>
      <c r="G777" t="s">
        <v>51</v>
      </c>
      <c r="H777" s="6">
        <v>34.380000000000003</v>
      </c>
      <c r="I777" t="s">
        <v>52</v>
      </c>
      <c r="J777" t="s">
        <v>81</v>
      </c>
      <c r="K777" t="s">
        <v>54</v>
      </c>
      <c r="L777" t="s">
        <v>55</v>
      </c>
      <c r="O777" t="s">
        <v>82</v>
      </c>
      <c r="P777" t="s">
        <v>83</v>
      </c>
      <c r="Q777" s="6">
        <v>34068.160000000003</v>
      </c>
    </row>
    <row r="778" spans="1:17">
      <c r="A778" t="s">
        <v>1654</v>
      </c>
      <c r="B778" s="5">
        <v>46189</v>
      </c>
      <c r="C778" t="s">
        <v>1655</v>
      </c>
      <c r="D778" t="s">
        <v>17</v>
      </c>
      <c r="E778" t="s">
        <v>2</v>
      </c>
      <c r="F778" t="s">
        <v>50</v>
      </c>
      <c r="G778" t="s">
        <v>51</v>
      </c>
      <c r="H778" s="6">
        <v>45.61</v>
      </c>
      <c r="I778" t="s">
        <v>52</v>
      </c>
      <c r="J778" t="s">
        <v>60</v>
      </c>
      <c r="K778" t="s">
        <v>54</v>
      </c>
      <c r="L778" t="s">
        <v>55</v>
      </c>
      <c r="O778" t="s">
        <v>61</v>
      </c>
      <c r="P778" t="s">
        <v>62</v>
      </c>
      <c r="Q778" s="6">
        <v>33933.269999999997</v>
      </c>
    </row>
    <row r="779" spans="1:17">
      <c r="A779" t="s">
        <v>1656</v>
      </c>
      <c r="B779" s="5">
        <v>46189</v>
      </c>
      <c r="C779" t="s">
        <v>1657</v>
      </c>
      <c r="D779" t="s">
        <v>17</v>
      </c>
      <c r="E779" t="s">
        <v>2</v>
      </c>
      <c r="F779" t="s">
        <v>50</v>
      </c>
      <c r="G779" t="s">
        <v>51</v>
      </c>
      <c r="H779" s="6">
        <v>42.03</v>
      </c>
      <c r="I779" t="s">
        <v>52</v>
      </c>
      <c r="J779" t="s">
        <v>81</v>
      </c>
      <c r="K779" t="s">
        <v>54</v>
      </c>
      <c r="L779" t="s">
        <v>55</v>
      </c>
      <c r="O779" t="s">
        <v>82</v>
      </c>
      <c r="P779" t="s">
        <v>83</v>
      </c>
      <c r="Q779" s="6">
        <v>33999.26</v>
      </c>
    </row>
    <row r="780" spans="1:17">
      <c r="A780" t="s">
        <v>1658</v>
      </c>
      <c r="B780" s="5">
        <v>46189</v>
      </c>
      <c r="C780" t="s">
        <v>1659</v>
      </c>
      <c r="D780" t="s">
        <v>17</v>
      </c>
      <c r="E780" t="s">
        <v>2</v>
      </c>
      <c r="F780" t="s">
        <v>50</v>
      </c>
      <c r="G780" t="s">
        <v>51</v>
      </c>
      <c r="H780" s="6">
        <v>9.89</v>
      </c>
      <c r="I780" t="s">
        <v>52</v>
      </c>
      <c r="J780" t="s">
        <v>53</v>
      </c>
      <c r="K780" t="s">
        <v>54</v>
      </c>
      <c r="L780" t="s">
        <v>55</v>
      </c>
      <c r="O780" t="s">
        <v>56</v>
      </c>
      <c r="P780" t="s">
        <v>57</v>
      </c>
      <c r="Q780" s="6">
        <v>33989.370000000003</v>
      </c>
    </row>
    <row r="781" spans="1:17">
      <c r="A781" t="s">
        <v>1660</v>
      </c>
      <c r="B781" s="5">
        <v>46189</v>
      </c>
      <c r="C781" t="s">
        <v>1661</v>
      </c>
      <c r="D781" t="s">
        <v>17</v>
      </c>
      <c r="E781" t="s">
        <v>2</v>
      </c>
      <c r="F781" t="s">
        <v>50</v>
      </c>
      <c r="G781" t="s">
        <v>51</v>
      </c>
      <c r="H781" s="6">
        <v>13.07</v>
      </c>
      <c r="I781" t="s">
        <v>52</v>
      </c>
      <c r="J781" t="s">
        <v>121</v>
      </c>
      <c r="K781" t="s">
        <v>54</v>
      </c>
      <c r="L781" t="s">
        <v>55</v>
      </c>
      <c r="O781" t="s">
        <v>122</v>
      </c>
      <c r="P781" t="s">
        <v>123</v>
      </c>
      <c r="Q781" s="6">
        <v>33920.199999999997</v>
      </c>
    </row>
    <row r="782" spans="1:17">
      <c r="A782" t="s">
        <v>1662</v>
      </c>
      <c r="B782" s="5">
        <v>46190</v>
      </c>
      <c r="C782" t="s">
        <v>1663</v>
      </c>
      <c r="D782" t="s">
        <v>17</v>
      </c>
      <c r="E782" t="s">
        <v>2</v>
      </c>
      <c r="F782" t="s">
        <v>50</v>
      </c>
      <c r="G782" t="s">
        <v>72</v>
      </c>
      <c r="H782" s="6">
        <v>136.91</v>
      </c>
      <c r="I782" t="s">
        <v>52</v>
      </c>
      <c r="J782" t="s">
        <v>150</v>
      </c>
      <c r="K782" t="s">
        <v>54</v>
      </c>
      <c r="L782" t="s">
        <v>74</v>
      </c>
      <c r="O782" t="s">
        <v>75</v>
      </c>
      <c r="P782" t="s">
        <v>76</v>
      </c>
      <c r="Q782" s="6">
        <v>33644.76</v>
      </c>
    </row>
    <row r="783" spans="1:17">
      <c r="A783" t="s">
        <v>1664</v>
      </c>
      <c r="B783" s="5">
        <v>46190</v>
      </c>
      <c r="C783" t="s">
        <v>1665</v>
      </c>
      <c r="D783" t="s">
        <v>17</v>
      </c>
      <c r="E783" t="s">
        <v>2</v>
      </c>
      <c r="F783" t="s">
        <v>50</v>
      </c>
      <c r="G783" t="s">
        <v>51</v>
      </c>
      <c r="H783" s="6">
        <v>20.54</v>
      </c>
      <c r="I783" t="s">
        <v>52</v>
      </c>
      <c r="J783" t="s">
        <v>126</v>
      </c>
      <c r="K783" t="s">
        <v>54</v>
      </c>
      <c r="L783" t="s">
        <v>55</v>
      </c>
      <c r="O783" t="s">
        <v>56</v>
      </c>
      <c r="P783" t="s">
        <v>57</v>
      </c>
      <c r="Q783" s="6">
        <v>33831.22</v>
      </c>
    </row>
    <row r="784" spans="1:17">
      <c r="A784" t="s">
        <v>1666</v>
      </c>
      <c r="B784" s="5">
        <v>46190</v>
      </c>
      <c r="C784" t="s">
        <v>1667</v>
      </c>
      <c r="D784" t="s">
        <v>17</v>
      </c>
      <c r="E784" t="s">
        <v>2</v>
      </c>
      <c r="F784" t="s">
        <v>50</v>
      </c>
      <c r="G784" t="s">
        <v>51</v>
      </c>
      <c r="H784" s="6">
        <v>27.58</v>
      </c>
      <c r="I784" t="s">
        <v>52</v>
      </c>
      <c r="J784" t="s">
        <v>126</v>
      </c>
      <c r="K784" t="s">
        <v>54</v>
      </c>
      <c r="L784" t="s">
        <v>55</v>
      </c>
      <c r="O784" t="s">
        <v>56</v>
      </c>
      <c r="P784" t="s">
        <v>57</v>
      </c>
      <c r="Q784" s="6">
        <v>33796.71</v>
      </c>
    </row>
    <row r="785" spans="1:17">
      <c r="A785" t="s">
        <v>1668</v>
      </c>
      <c r="B785" s="5">
        <v>46190</v>
      </c>
      <c r="C785" t="s">
        <v>1669</v>
      </c>
      <c r="D785" t="s">
        <v>17</v>
      </c>
      <c r="E785" t="s">
        <v>2</v>
      </c>
      <c r="F785" t="s">
        <v>50</v>
      </c>
      <c r="G785" t="s">
        <v>51</v>
      </c>
      <c r="H785" s="6">
        <v>6.93</v>
      </c>
      <c r="I785" t="s">
        <v>52</v>
      </c>
      <c r="J785" t="s">
        <v>53</v>
      </c>
      <c r="K785" t="s">
        <v>54</v>
      </c>
      <c r="L785" t="s">
        <v>55</v>
      </c>
      <c r="O785" t="s">
        <v>56</v>
      </c>
      <c r="P785" t="s">
        <v>57</v>
      </c>
      <c r="Q785" s="6">
        <v>33824.29</v>
      </c>
    </row>
    <row r="786" spans="1:17">
      <c r="A786" t="s">
        <v>1670</v>
      </c>
      <c r="B786" s="5">
        <v>46190</v>
      </c>
      <c r="C786" t="s">
        <v>1671</v>
      </c>
      <c r="D786" t="s">
        <v>17</v>
      </c>
      <c r="E786" t="s">
        <v>2</v>
      </c>
      <c r="F786" t="s">
        <v>50</v>
      </c>
      <c r="G786" t="s">
        <v>51</v>
      </c>
      <c r="H786" s="6">
        <v>15.04</v>
      </c>
      <c r="I786" t="s">
        <v>52</v>
      </c>
      <c r="J786" t="s">
        <v>121</v>
      </c>
      <c r="K786" t="s">
        <v>54</v>
      </c>
      <c r="L786" t="s">
        <v>55</v>
      </c>
      <c r="O786" t="s">
        <v>122</v>
      </c>
      <c r="P786" t="s">
        <v>123</v>
      </c>
      <c r="Q786" s="6">
        <v>33781.67</v>
      </c>
    </row>
    <row r="787" spans="1:17">
      <c r="A787" t="s">
        <v>1672</v>
      </c>
      <c r="B787" s="5">
        <v>46190</v>
      </c>
      <c r="C787" t="s">
        <v>1673</v>
      </c>
      <c r="D787" t="s">
        <v>17</v>
      </c>
      <c r="E787" t="s">
        <v>2</v>
      </c>
      <c r="F787" t="s">
        <v>50</v>
      </c>
      <c r="G787" t="s">
        <v>51</v>
      </c>
      <c r="H787" s="6">
        <v>29.28</v>
      </c>
      <c r="I787" t="s">
        <v>52</v>
      </c>
      <c r="J787" t="s">
        <v>81</v>
      </c>
      <c r="K787" t="s">
        <v>54</v>
      </c>
      <c r="L787" t="s">
        <v>55</v>
      </c>
      <c r="O787" t="s">
        <v>82</v>
      </c>
      <c r="P787" t="s">
        <v>83</v>
      </c>
      <c r="Q787" s="6">
        <v>33890.92</v>
      </c>
    </row>
    <row r="788" spans="1:17">
      <c r="A788" t="s">
        <v>1674</v>
      </c>
      <c r="B788" s="5">
        <v>46190</v>
      </c>
      <c r="C788" t="s">
        <v>1675</v>
      </c>
      <c r="D788" t="s">
        <v>17</v>
      </c>
      <c r="E788" t="s">
        <v>2</v>
      </c>
      <c r="F788" t="s">
        <v>50</v>
      </c>
      <c r="G788" t="s">
        <v>51</v>
      </c>
      <c r="H788" s="6">
        <v>39.159999999999997</v>
      </c>
      <c r="I788" t="s">
        <v>52</v>
      </c>
      <c r="J788" t="s">
        <v>126</v>
      </c>
      <c r="K788" t="s">
        <v>54</v>
      </c>
      <c r="L788" t="s">
        <v>55</v>
      </c>
      <c r="O788" t="s">
        <v>56</v>
      </c>
      <c r="P788" t="s">
        <v>57</v>
      </c>
      <c r="Q788" s="6">
        <v>33851.760000000002</v>
      </c>
    </row>
    <row r="789" spans="1:17">
      <c r="A789" t="s">
        <v>1676</v>
      </c>
      <c r="B789" s="5">
        <v>46191</v>
      </c>
      <c r="C789" t="s">
        <v>1677</v>
      </c>
      <c r="D789" t="s">
        <v>17</v>
      </c>
      <c r="E789" t="s">
        <v>2</v>
      </c>
      <c r="F789" t="s">
        <v>50</v>
      </c>
      <c r="G789" t="s">
        <v>51</v>
      </c>
      <c r="H789" s="6">
        <v>6.34</v>
      </c>
      <c r="I789" t="s">
        <v>52</v>
      </c>
      <c r="J789" t="s">
        <v>53</v>
      </c>
      <c r="K789" t="s">
        <v>54</v>
      </c>
      <c r="L789" t="s">
        <v>55</v>
      </c>
      <c r="O789" t="s">
        <v>56</v>
      </c>
      <c r="P789" t="s">
        <v>57</v>
      </c>
      <c r="Q789" s="6">
        <v>33510.239999999998</v>
      </c>
    </row>
    <row r="790" spans="1:17">
      <c r="A790" t="s">
        <v>1678</v>
      </c>
      <c r="B790" s="5">
        <v>46191</v>
      </c>
      <c r="C790" t="s">
        <v>1679</v>
      </c>
      <c r="D790" t="s">
        <v>17</v>
      </c>
      <c r="E790" t="s">
        <v>2</v>
      </c>
      <c r="F790" t="s">
        <v>50</v>
      </c>
      <c r="G790" t="s">
        <v>51</v>
      </c>
      <c r="H790" s="6">
        <v>24.23</v>
      </c>
      <c r="I790" t="s">
        <v>52</v>
      </c>
      <c r="J790" t="s">
        <v>81</v>
      </c>
      <c r="K790" t="s">
        <v>54</v>
      </c>
      <c r="L790" t="s">
        <v>55</v>
      </c>
      <c r="O790" t="s">
        <v>82</v>
      </c>
      <c r="P790" t="s">
        <v>83</v>
      </c>
      <c r="Q790" s="6">
        <v>33516.58</v>
      </c>
    </row>
    <row r="791" spans="1:17">
      <c r="A791" t="s">
        <v>1680</v>
      </c>
      <c r="B791" s="5">
        <v>46191</v>
      </c>
      <c r="C791" t="s">
        <v>1681</v>
      </c>
      <c r="D791" t="s">
        <v>17</v>
      </c>
      <c r="E791" t="s">
        <v>2</v>
      </c>
      <c r="F791" t="s">
        <v>50</v>
      </c>
      <c r="G791" t="s">
        <v>51</v>
      </c>
      <c r="H791" s="6">
        <v>103.95</v>
      </c>
      <c r="I791" t="s">
        <v>52</v>
      </c>
      <c r="J791" t="s">
        <v>65</v>
      </c>
      <c r="K791" t="s">
        <v>54</v>
      </c>
      <c r="L791" t="s">
        <v>55</v>
      </c>
      <c r="O791" t="s">
        <v>66</v>
      </c>
      <c r="P791" t="s">
        <v>67</v>
      </c>
      <c r="Q791" s="6">
        <v>33540.81</v>
      </c>
    </row>
    <row r="792" spans="1:17">
      <c r="A792" t="s">
        <v>1682</v>
      </c>
      <c r="B792" s="5">
        <v>46191</v>
      </c>
      <c r="C792" t="s">
        <v>1683</v>
      </c>
      <c r="D792" t="s">
        <v>17</v>
      </c>
      <c r="E792" t="s">
        <v>2</v>
      </c>
      <c r="F792" t="s">
        <v>50</v>
      </c>
      <c r="G792" t="s">
        <v>51</v>
      </c>
      <c r="H792" s="6">
        <v>41.35</v>
      </c>
      <c r="I792" t="s">
        <v>52</v>
      </c>
      <c r="J792" t="s">
        <v>196</v>
      </c>
      <c r="K792" t="s">
        <v>54</v>
      </c>
      <c r="L792" t="s">
        <v>55</v>
      </c>
      <c r="O792" t="s">
        <v>197</v>
      </c>
      <c r="P792" t="s">
        <v>198</v>
      </c>
      <c r="Q792" s="6">
        <v>33432.18</v>
      </c>
    </row>
    <row r="793" spans="1:17">
      <c r="A793" t="s">
        <v>1684</v>
      </c>
      <c r="B793" s="5">
        <v>46191</v>
      </c>
      <c r="C793" t="s">
        <v>1685</v>
      </c>
      <c r="D793" t="s">
        <v>17</v>
      </c>
      <c r="E793" t="s">
        <v>2</v>
      </c>
      <c r="F793" t="s">
        <v>50</v>
      </c>
      <c r="G793" t="s">
        <v>51</v>
      </c>
      <c r="H793" s="6">
        <v>21.71</v>
      </c>
      <c r="I793" t="s">
        <v>52</v>
      </c>
      <c r="J793" t="s">
        <v>126</v>
      </c>
      <c r="K793" t="s">
        <v>54</v>
      </c>
      <c r="L793" t="s">
        <v>55</v>
      </c>
      <c r="O793" t="s">
        <v>56</v>
      </c>
      <c r="P793" t="s">
        <v>57</v>
      </c>
      <c r="Q793" s="6">
        <v>33473.53</v>
      </c>
    </row>
    <row r="794" spans="1:17">
      <c r="A794" t="s">
        <v>1686</v>
      </c>
      <c r="B794" s="5">
        <v>46191</v>
      </c>
      <c r="C794" t="s">
        <v>1687</v>
      </c>
      <c r="D794" t="s">
        <v>17</v>
      </c>
      <c r="E794" t="s">
        <v>2</v>
      </c>
      <c r="F794" t="s">
        <v>50</v>
      </c>
      <c r="G794" t="s">
        <v>72</v>
      </c>
      <c r="H794" s="6">
        <v>23.51</v>
      </c>
      <c r="I794" t="s">
        <v>52</v>
      </c>
      <c r="J794" t="s">
        <v>638</v>
      </c>
      <c r="K794" t="s">
        <v>54</v>
      </c>
      <c r="L794" t="s">
        <v>74</v>
      </c>
      <c r="O794" t="s">
        <v>75</v>
      </c>
      <c r="P794" t="s">
        <v>76</v>
      </c>
      <c r="Q794" s="6">
        <v>33408.67</v>
      </c>
    </row>
    <row r="795" spans="1:17">
      <c r="A795" t="s">
        <v>1688</v>
      </c>
      <c r="B795" s="5">
        <v>46191</v>
      </c>
      <c r="C795" t="s">
        <v>1689</v>
      </c>
      <c r="D795" t="s">
        <v>17</v>
      </c>
      <c r="E795" t="s">
        <v>2</v>
      </c>
      <c r="F795" t="s">
        <v>50</v>
      </c>
      <c r="G795" t="s">
        <v>100</v>
      </c>
      <c r="H795" s="6">
        <v>15</v>
      </c>
      <c r="I795" t="s">
        <v>52</v>
      </c>
      <c r="J795" t="s">
        <v>101</v>
      </c>
      <c r="K795" t="s">
        <v>54</v>
      </c>
      <c r="L795" t="s">
        <v>102</v>
      </c>
      <c r="O795" t="s">
        <v>103</v>
      </c>
      <c r="P795" t="s">
        <v>104</v>
      </c>
      <c r="Q795" s="6">
        <v>33495.24</v>
      </c>
    </row>
    <row r="796" spans="1:17">
      <c r="A796" t="s">
        <v>1690</v>
      </c>
      <c r="B796" s="5">
        <v>46192</v>
      </c>
      <c r="C796" t="s">
        <v>1691</v>
      </c>
      <c r="D796" t="s">
        <v>17</v>
      </c>
      <c r="E796" t="s">
        <v>2</v>
      </c>
      <c r="F796" t="s">
        <v>50</v>
      </c>
      <c r="G796" t="s">
        <v>51</v>
      </c>
      <c r="H796" s="6">
        <v>16.22</v>
      </c>
      <c r="I796" t="s">
        <v>52</v>
      </c>
      <c r="J796" t="s">
        <v>126</v>
      </c>
      <c r="K796" t="s">
        <v>54</v>
      </c>
      <c r="L796" t="s">
        <v>55</v>
      </c>
      <c r="O796" t="s">
        <v>56</v>
      </c>
      <c r="P796" t="s">
        <v>57</v>
      </c>
      <c r="Q796" s="6">
        <v>33249.89</v>
      </c>
    </row>
    <row r="797" spans="1:17">
      <c r="A797" t="s">
        <v>1692</v>
      </c>
      <c r="B797" s="5">
        <v>46192</v>
      </c>
      <c r="C797" t="s">
        <v>1693</v>
      </c>
      <c r="D797" t="s">
        <v>17</v>
      </c>
      <c r="E797" t="s">
        <v>2</v>
      </c>
      <c r="F797" t="s">
        <v>50</v>
      </c>
      <c r="G797" t="s">
        <v>51</v>
      </c>
      <c r="H797" s="6">
        <v>93.43</v>
      </c>
      <c r="I797" t="s">
        <v>52</v>
      </c>
      <c r="J797" t="s">
        <v>65</v>
      </c>
      <c r="K797" t="s">
        <v>54</v>
      </c>
      <c r="L797" t="s">
        <v>55</v>
      </c>
      <c r="O797" t="s">
        <v>66</v>
      </c>
      <c r="P797" t="s">
        <v>67</v>
      </c>
      <c r="Q797" s="6">
        <v>33295.589999999997</v>
      </c>
    </row>
    <row r="798" spans="1:17">
      <c r="A798" t="s">
        <v>1694</v>
      </c>
      <c r="B798" s="5">
        <v>46192</v>
      </c>
      <c r="C798" t="s">
        <v>1695</v>
      </c>
      <c r="D798" t="s">
        <v>17</v>
      </c>
      <c r="E798" t="s">
        <v>2</v>
      </c>
      <c r="F798" t="s">
        <v>50</v>
      </c>
      <c r="G798" t="s">
        <v>51</v>
      </c>
      <c r="H798" s="6">
        <v>24.13</v>
      </c>
      <c r="I798" t="s">
        <v>52</v>
      </c>
      <c r="J798" t="s">
        <v>65</v>
      </c>
      <c r="K798" t="s">
        <v>54</v>
      </c>
      <c r="L798" t="s">
        <v>55</v>
      </c>
      <c r="O798" t="s">
        <v>66</v>
      </c>
      <c r="P798" t="s">
        <v>67</v>
      </c>
      <c r="Q798" s="6">
        <v>33271.46</v>
      </c>
    </row>
    <row r="799" spans="1:17">
      <c r="A799" t="s">
        <v>1696</v>
      </c>
      <c r="B799" s="5">
        <v>46192</v>
      </c>
      <c r="C799" t="s">
        <v>1697</v>
      </c>
      <c r="D799" t="s">
        <v>17</v>
      </c>
      <c r="E799" t="s">
        <v>2</v>
      </c>
      <c r="F799" t="s">
        <v>50</v>
      </c>
      <c r="G799" t="s">
        <v>51</v>
      </c>
      <c r="H799" s="6">
        <v>5.35</v>
      </c>
      <c r="I799" t="s">
        <v>52</v>
      </c>
      <c r="J799" t="s">
        <v>121</v>
      </c>
      <c r="K799" t="s">
        <v>54</v>
      </c>
      <c r="L799" t="s">
        <v>55</v>
      </c>
      <c r="O799" t="s">
        <v>122</v>
      </c>
      <c r="P799" t="s">
        <v>123</v>
      </c>
      <c r="Q799" s="6">
        <v>33266.11</v>
      </c>
    </row>
    <row r="800" spans="1:17">
      <c r="A800" t="s">
        <v>1698</v>
      </c>
      <c r="B800" s="5">
        <v>46192</v>
      </c>
      <c r="C800" t="s">
        <v>1699</v>
      </c>
      <c r="D800" t="s">
        <v>17</v>
      </c>
      <c r="E800" t="s">
        <v>2</v>
      </c>
      <c r="F800" t="s">
        <v>50</v>
      </c>
      <c r="G800" t="s">
        <v>51</v>
      </c>
      <c r="H800" s="6">
        <v>19.649999999999999</v>
      </c>
      <c r="I800" t="s">
        <v>52</v>
      </c>
      <c r="J800" t="s">
        <v>121</v>
      </c>
      <c r="K800" t="s">
        <v>54</v>
      </c>
      <c r="L800" t="s">
        <v>55</v>
      </c>
      <c r="O800" t="s">
        <v>122</v>
      </c>
      <c r="P800" t="s">
        <v>123</v>
      </c>
      <c r="Q800" s="6">
        <v>33389.019999999997</v>
      </c>
    </row>
    <row r="801" spans="1:17">
      <c r="A801" t="s">
        <v>1700</v>
      </c>
      <c r="B801" s="5">
        <v>46193</v>
      </c>
      <c r="C801" t="s">
        <v>1701</v>
      </c>
      <c r="D801" t="s">
        <v>17</v>
      </c>
      <c r="E801" t="s">
        <v>2</v>
      </c>
      <c r="F801" t="s">
        <v>50</v>
      </c>
      <c r="G801" t="s">
        <v>51</v>
      </c>
      <c r="H801" s="6">
        <v>8.61</v>
      </c>
      <c r="I801" t="s">
        <v>52</v>
      </c>
      <c r="J801" t="s">
        <v>121</v>
      </c>
      <c r="K801" t="s">
        <v>54</v>
      </c>
      <c r="L801" t="s">
        <v>55</v>
      </c>
      <c r="O801" t="s">
        <v>122</v>
      </c>
      <c r="P801" t="s">
        <v>123</v>
      </c>
      <c r="Q801" s="6">
        <v>33029.910000000003</v>
      </c>
    </row>
    <row r="802" spans="1:17">
      <c r="A802" t="s">
        <v>1702</v>
      </c>
      <c r="B802" s="5">
        <v>46193</v>
      </c>
      <c r="C802" t="s">
        <v>1703</v>
      </c>
      <c r="D802" t="s">
        <v>17</v>
      </c>
      <c r="E802" t="s">
        <v>2</v>
      </c>
      <c r="F802" t="s">
        <v>50</v>
      </c>
      <c r="G802" t="s">
        <v>100</v>
      </c>
      <c r="H802" s="6">
        <v>15</v>
      </c>
      <c r="I802" t="s">
        <v>52</v>
      </c>
      <c r="J802" t="s">
        <v>101</v>
      </c>
      <c r="K802" t="s">
        <v>54</v>
      </c>
      <c r="L802" t="s">
        <v>102</v>
      </c>
      <c r="O802" t="s">
        <v>103</v>
      </c>
      <c r="P802" t="s">
        <v>104</v>
      </c>
      <c r="Q802" s="6">
        <v>32860.79</v>
      </c>
    </row>
    <row r="803" spans="1:17">
      <c r="A803" t="s">
        <v>1704</v>
      </c>
      <c r="B803" s="5">
        <v>46193</v>
      </c>
      <c r="C803" t="s">
        <v>1705</v>
      </c>
      <c r="D803" t="s">
        <v>17</v>
      </c>
      <c r="E803" t="s">
        <v>2</v>
      </c>
      <c r="F803" t="s">
        <v>50</v>
      </c>
      <c r="G803" t="s">
        <v>51</v>
      </c>
      <c r="H803" s="6">
        <v>19.62</v>
      </c>
      <c r="I803" t="s">
        <v>52</v>
      </c>
      <c r="J803" t="s">
        <v>65</v>
      </c>
      <c r="K803" t="s">
        <v>54</v>
      </c>
      <c r="L803" t="s">
        <v>55</v>
      </c>
      <c r="O803" t="s">
        <v>66</v>
      </c>
      <c r="P803" t="s">
        <v>67</v>
      </c>
      <c r="Q803" s="6">
        <v>32875.79</v>
      </c>
    </row>
    <row r="804" spans="1:17">
      <c r="A804" t="s">
        <v>1706</v>
      </c>
      <c r="B804" s="5">
        <v>46193</v>
      </c>
      <c r="C804" t="s">
        <v>1707</v>
      </c>
      <c r="D804" t="s">
        <v>17</v>
      </c>
      <c r="E804" t="s">
        <v>2</v>
      </c>
      <c r="F804" t="s">
        <v>50</v>
      </c>
      <c r="G804" t="s">
        <v>51</v>
      </c>
      <c r="H804" s="6">
        <v>36.14</v>
      </c>
      <c r="I804" t="s">
        <v>52</v>
      </c>
      <c r="J804" t="s">
        <v>60</v>
      </c>
      <c r="K804" t="s">
        <v>54</v>
      </c>
      <c r="L804" t="s">
        <v>55</v>
      </c>
      <c r="O804" t="s">
        <v>61</v>
      </c>
      <c r="P804" t="s">
        <v>62</v>
      </c>
      <c r="Q804" s="6">
        <v>33189</v>
      </c>
    </row>
    <row r="805" spans="1:17">
      <c r="A805" t="s">
        <v>1708</v>
      </c>
      <c r="B805" s="5">
        <v>46193</v>
      </c>
      <c r="C805" t="s">
        <v>1709</v>
      </c>
      <c r="D805" t="s">
        <v>17</v>
      </c>
      <c r="E805" t="s">
        <v>2</v>
      </c>
      <c r="F805" t="s">
        <v>50</v>
      </c>
      <c r="G805" t="s">
        <v>51</v>
      </c>
      <c r="H805" s="6">
        <v>24.75</v>
      </c>
      <c r="I805" t="s">
        <v>52</v>
      </c>
      <c r="J805" t="s">
        <v>126</v>
      </c>
      <c r="K805" t="s">
        <v>54</v>
      </c>
      <c r="L805" t="s">
        <v>55</v>
      </c>
      <c r="O805" t="s">
        <v>56</v>
      </c>
      <c r="P805" t="s">
        <v>57</v>
      </c>
      <c r="Q805" s="6">
        <v>33225.14</v>
      </c>
    </row>
    <row r="806" spans="1:17">
      <c r="A806" t="s">
        <v>1710</v>
      </c>
      <c r="B806" s="5">
        <v>46193</v>
      </c>
      <c r="C806" t="s">
        <v>1711</v>
      </c>
      <c r="D806" t="s">
        <v>17</v>
      </c>
      <c r="E806" t="s">
        <v>2</v>
      </c>
      <c r="F806" t="s">
        <v>50</v>
      </c>
      <c r="G806" t="s">
        <v>72</v>
      </c>
      <c r="H806" s="6">
        <v>60.94</v>
      </c>
      <c r="I806" t="s">
        <v>52</v>
      </c>
      <c r="J806" t="s">
        <v>611</v>
      </c>
      <c r="K806" t="s">
        <v>54</v>
      </c>
      <c r="L806" t="s">
        <v>74</v>
      </c>
      <c r="O806" t="s">
        <v>75</v>
      </c>
      <c r="P806" t="s">
        <v>76</v>
      </c>
      <c r="Q806" s="6">
        <v>32799.85</v>
      </c>
    </row>
    <row r="807" spans="1:17">
      <c r="A807" t="s">
        <v>1712</v>
      </c>
      <c r="B807" s="5">
        <v>46193</v>
      </c>
      <c r="C807" t="s">
        <v>1713</v>
      </c>
      <c r="D807" t="s">
        <v>17</v>
      </c>
      <c r="E807" t="s">
        <v>2</v>
      </c>
      <c r="F807" t="s">
        <v>50</v>
      </c>
      <c r="G807" t="s">
        <v>51</v>
      </c>
      <c r="H807" s="6">
        <v>134.5</v>
      </c>
      <c r="I807" t="s">
        <v>52</v>
      </c>
      <c r="J807" t="s">
        <v>196</v>
      </c>
      <c r="K807" t="s">
        <v>54</v>
      </c>
      <c r="L807" t="s">
        <v>55</v>
      </c>
      <c r="O807" t="s">
        <v>197</v>
      </c>
      <c r="P807" t="s">
        <v>198</v>
      </c>
      <c r="Q807" s="6">
        <v>32895.410000000003</v>
      </c>
    </row>
    <row r="808" spans="1:17">
      <c r="A808" t="s">
        <v>1714</v>
      </c>
      <c r="B808" s="5">
        <v>46193</v>
      </c>
      <c r="C808" t="s">
        <v>1715</v>
      </c>
      <c r="D808" t="s">
        <v>17</v>
      </c>
      <c r="E808" t="s">
        <v>2</v>
      </c>
      <c r="F808" t="s">
        <v>50</v>
      </c>
      <c r="G808" t="s">
        <v>51</v>
      </c>
      <c r="H808" s="6">
        <v>150.47999999999999</v>
      </c>
      <c r="I808" t="s">
        <v>52</v>
      </c>
      <c r="J808" t="s">
        <v>196</v>
      </c>
      <c r="K808" t="s">
        <v>54</v>
      </c>
      <c r="L808" t="s">
        <v>55</v>
      </c>
      <c r="O808" t="s">
        <v>197</v>
      </c>
      <c r="P808" t="s">
        <v>198</v>
      </c>
      <c r="Q808" s="6">
        <v>33038.519999999997</v>
      </c>
    </row>
    <row r="809" spans="1:17">
      <c r="A809" t="s">
        <v>1716</v>
      </c>
      <c r="B809" s="5">
        <v>46194</v>
      </c>
      <c r="C809" t="s">
        <v>1717</v>
      </c>
      <c r="D809" t="s">
        <v>17</v>
      </c>
      <c r="E809" t="s">
        <v>2</v>
      </c>
      <c r="F809" t="s">
        <v>50</v>
      </c>
      <c r="G809" t="s">
        <v>51</v>
      </c>
      <c r="H809" s="6">
        <v>26.75</v>
      </c>
      <c r="I809" t="s">
        <v>52</v>
      </c>
      <c r="J809" t="s">
        <v>60</v>
      </c>
      <c r="K809" t="s">
        <v>54</v>
      </c>
      <c r="L809" t="s">
        <v>55</v>
      </c>
      <c r="O809" t="s">
        <v>61</v>
      </c>
      <c r="P809" t="s">
        <v>62</v>
      </c>
      <c r="Q809" s="6">
        <v>32660.76</v>
      </c>
    </row>
    <row r="810" spans="1:17">
      <c r="A810" t="s">
        <v>1718</v>
      </c>
      <c r="B810" s="5">
        <v>46194</v>
      </c>
      <c r="C810" t="s">
        <v>1719</v>
      </c>
      <c r="D810" t="s">
        <v>17</v>
      </c>
      <c r="E810" t="s">
        <v>2</v>
      </c>
      <c r="F810" t="s">
        <v>50</v>
      </c>
      <c r="G810" t="s">
        <v>51</v>
      </c>
      <c r="H810" s="6">
        <v>62.66</v>
      </c>
      <c r="I810" t="s">
        <v>52</v>
      </c>
      <c r="J810" t="s">
        <v>60</v>
      </c>
      <c r="K810" t="s">
        <v>54</v>
      </c>
      <c r="L810" t="s">
        <v>55</v>
      </c>
      <c r="O810" t="s">
        <v>61</v>
      </c>
      <c r="P810" t="s">
        <v>62</v>
      </c>
      <c r="Q810" s="6">
        <v>32737.19</v>
      </c>
    </row>
    <row r="811" spans="1:17">
      <c r="A811" t="s">
        <v>1720</v>
      </c>
      <c r="B811" s="5">
        <v>46194</v>
      </c>
      <c r="C811" t="s">
        <v>1721</v>
      </c>
      <c r="D811" t="s">
        <v>17</v>
      </c>
      <c r="E811" t="s">
        <v>2</v>
      </c>
      <c r="F811" t="s">
        <v>149</v>
      </c>
      <c r="G811" t="s">
        <v>1722</v>
      </c>
      <c r="H811" s="6">
        <v>5000</v>
      </c>
      <c r="I811" t="s">
        <v>52</v>
      </c>
      <c r="J811" t="s">
        <v>1723</v>
      </c>
      <c r="K811" t="s">
        <v>54</v>
      </c>
      <c r="L811" t="s">
        <v>102</v>
      </c>
      <c r="O811" t="s">
        <v>1724</v>
      </c>
      <c r="P811" t="s">
        <v>1725</v>
      </c>
      <c r="Q811" s="6">
        <v>77813.61</v>
      </c>
    </row>
    <row r="812" spans="1:17">
      <c r="A812" t="s">
        <v>1726</v>
      </c>
      <c r="B812" s="5">
        <v>46194</v>
      </c>
      <c r="C812" t="s">
        <v>1727</v>
      </c>
      <c r="D812" t="s">
        <v>17</v>
      </c>
      <c r="E812" t="s">
        <v>2</v>
      </c>
      <c r="F812" t="s">
        <v>50</v>
      </c>
      <c r="G812" t="s">
        <v>51</v>
      </c>
      <c r="H812" s="6">
        <v>34.53</v>
      </c>
      <c r="I812" t="s">
        <v>52</v>
      </c>
      <c r="J812" t="s">
        <v>126</v>
      </c>
      <c r="K812" t="s">
        <v>54</v>
      </c>
      <c r="L812" t="s">
        <v>55</v>
      </c>
      <c r="O812" t="s">
        <v>56</v>
      </c>
      <c r="P812" t="s">
        <v>57</v>
      </c>
      <c r="Q812" s="6">
        <v>32626.23</v>
      </c>
    </row>
    <row r="813" spans="1:17">
      <c r="A813" t="s">
        <v>1728</v>
      </c>
      <c r="B813" s="5">
        <v>46194</v>
      </c>
      <c r="C813" t="s">
        <v>1729</v>
      </c>
      <c r="D813" t="s">
        <v>17</v>
      </c>
      <c r="E813" t="s">
        <v>2</v>
      </c>
      <c r="F813" t="s">
        <v>50</v>
      </c>
      <c r="G813" t="s">
        <v>100</v>
      </c>
      <c r="H813" s="6">
        <v>89.99</v>
      </c>
      <c r="I813" t="s">
        <v>52</v>
      </c>
      <c r="J813" t="s">
        <v>384</v>
      </c>
      <c r="K813" t="s">
        <v>54</v>
      </c>
      <c r="L813" t="s">
        <v>102</v>
      </c>
      <c r="O813" t="s">
        <v>178</v>
      </c>
      <c r="P813" t="s">
        <v>385</v>
      </c>
      <c r="Q813" s="6">
        <v>42412.3</v>
      </c>
    </row>
    <row r="814" spans="1:17">
      <c r="A814" t="s">
        <v>1730</v>
      </c>
      <c r="B814" s="5">
        <v>46194</v>
      </c>
      <c r="C814" t="s">
        <v>1731</v>
      </c>
      <c r="D814" t="s">
        <v>17</v>
      </c>
      <c r="E814" t="s">
        <v>2</v>
      </c>
      <c r="F814" t="s">
        <v>50</v>
      </c>
      <c r="G814" t="s">
        <v>100</v>
      </c>
      <c r="H814" s="6">
        <v>15</v>
      </c>
      <c r="I814" t="s">
        <v>52</v>
      </c>
      <c r="J814" t="s">
        <v>101</v>
      </c>
      <c r="K814" t="s">
        <v>54</v>
      </c>
      <c r="L814" t="s">
        <v>102</v>
      </c>
      <c r="O814" t="s">
        <v>103</v>
      </c>
      <c r="P814" t="s">
        <v>104</v>
      </c>
      <c r="Q814" s="6">
        <v>32611.23</v>
      </c>
    </row>
    <row r="815" spans="1:17">
      <c r="A815" t="s">
        <v>1732</v>
      </c>
      <c r="B815" s="5">
        <v>46194</v>
      </c>
      <c r="C815" t="s">
        <v>1733</v>
      </c>
      <c r="D815" t="s">
        <v>17</v>
      </c>
      <c r="E815" t="s">
        <v>2</v>
      </c>
      <c r="F815" t="s">
        <v>50</v>
      </c>
      <c r="G815" t="s">
        <v>51</v>
      </c>
      <c r="H815" s="6">
        <v>49.68</v>
      </c>
      <c r="I815" t="s">
        <v>52</v>
      </c>
      <c r="J815" t="s">
        <v>81</v>
      </c>
      <c r="K815" t="s">
        <v>54</v>
      </c>
      <c r="L815" t="s">
        <v>55</v>
      </c>
      <c r="O815" t="s">
        <v>82</v>
      </c>
      <c r="P815" t="s">
        <v>83</v>
      </c>
      <c r="Q815" s="6">
        <v>32687.51</v>
      </c>
    </row>
    <row r="816" spans="1:17">
      <c r="A816" t="s">
        <v>1734</v>
      </c>
      <c r="B816" s="5">
        <v>46194</v>
      </c>
      <c r="C816" t="s">
        <v>1735</v>
      </c>
      <c r="D816" t="s">
        <v>17</v>
      </c>
      <c r="E816" t="s">
        <v>2</v>
      </c>
      <c r="F816" t="s">
        <v>50</v>
      </c>
      <c r="G816" t="s">
        <v>72</v>
      </c>
      <c r="H816" s="6">
        <v>38.21</v>
      </c>
      <c r="I816" t="s">
        <v>52</v>
      </c>
      <c r="J816" t="s">
        <v>316</v>
      </c>
      <c r="K816" t="s">
        <v>54</v>
      </c>
      <c r="L816" t="s">
        <v>74</v>
      </c>
      <c r="O816" t="s">
        <v>75</v>
      </c>
      <c r="P816" t="s">
        <v>76</v>
      </c>
      <c r="Q816" s="6">
        <v>32573.02</v>
      </c>
    </row>
    <row r="817" spans="1:17">
      <c r="A817" t="s">
        <v>1736</v>
      </c>
      <c r="B817" s="5">
        <v>46195</v>
      </c>
      <c r="C817" t="s">
        <v>1737</v>
      </c>
      <c r="D817" t="s">
        <v>17</v>
      </c>
      <c r="E817" t="s">
        <v>2</v>
      </c>
      <c r="F817" t="s">
        <v>50</v>
      </c>
      <c r="G817" t="s">
        <v>51</v>
      </c>
      <c r="H817" s="6">
        <v>17.8</v>
      </c>
      <c r="I817" t="s">
        <v>52</v>
      </c>
      <c r="J817" t="s">
        <v>121</v>
      </c>
      <c r="K817" t="s">
        <v>54</v>
      </c>
      <c r="L817" t="s">
        <v>55</v>
      </c>
      <c r="O817" t="s">
        <v>122</v>
      </c>
      <c r="P817" t="s">
        <v>123</v>
      </c>
      <c r="Q817" s="6">
        <v>32382.23</v>
      </c>
    </row>
    <row r="818" spans="1:17">
      <c r="A818" t="s">
        <v>1738</v>
      </c>
      <c r="B818" s="5">
        <v>46195</v>
      </c>
      <c r="C818" t="s">
        <v>1739</v>
      </c>
      <c r="D818" t="s">
        <v>17</v>
      </c>
      <c r="E818" t="s">
        <v>2</v>
      </c>
      <c r="F818" t="s">
        <v>50</v>
      </c>
      <c r="G818" t="s">
        <v>51</v>
      </c>
      <c r="H818" s="6">
        <v>11.37</v>
      </c>
      <c r="I818" t="s">
        <v>52</v>
      </c>
      <c r="J818" t="s">
        <v>121</v>
      </c>
      <c r="K818" t="s">
        <v>54</v>
      </c>
      <c r="L818" t="s">
        <v>55</v>
      </c>
      <c r="O818" t="s">
        <v>122</v>
      </c>
      <c r="P818" t="s">
        <v>123</v>
      </c>
      <c r="Q818" s="6">
        <v>32343.54</v>
      </c>
    </row>
    <row r="819" spans="1:17">
      <c r="A819" t="s">
        <v>1740</v>
      </c>
      <c r="B819" s="5">
        <v>46195</v>
      </c>
      <c r="C819" t="s">
        <v>1741</v>
      </c>
      <c r="D819" t="s">
        <v>17</v>
      </c>
      <c r="E819" t="s">
        <v>2</v>
      </c>
      <c r="F819" t="s">
        <v>50</v>
      </c>
      <c r="G819" t="s">
        <v>51</v>
      </c>
      <c r="H819" s="6">
        <v>142.66</v>
      </c>
      <c r="I819" t="s">
        <v>52</v>
      </c>
      <c r="J819" t="s">
        <v>65</v>
      </c>
      <c r="K819" t="s">
        <v>54</v>
      </c>
      <c r="L819" t="s">
        <v>55</v>
      </c>
      <c r="O819" t="s">
        <v>66</v>
      </c>
      <c r="P819" t="s">
        <v>67</v>
      </c>
      <c r="Q819" s="6">
        <v>32415.03</v>
      </c>
    </row>
    <row r="820" spans="1:17">
      <c r="A820" t="s">
        <v>1742</v>
      </c>
      <c r="B820" s="5">
        <v>46195</v>
      </c>
      <c r="C820" t="s">
        <v>1743</v>
      </c>
      <c r="D820" t="s">
        <v>17</v>
      </c>
      <c r="E820" t="s">
        <v>2</v>
      </c>
      <c r="F820" t="s">
        <v>50</v>
      </c>
      <c r="G820" t="s">
        <v>51</v>
      </c>
      <c r="H820" s="6">
        <v>15.33</v>
      </c>
      <c r="I820" t="s">
        <v>52</v>
      </c>
      <c r="J820" t="s">
        <v>121</v>
      </c>
      <c r="K820" t="s">
        <v>54</v>
      </c>
      <c r="L820" t="s">
        <v>55</v>
      </c>
      <c r="O820" t="s">
        <v>122</v>
      </c>
      <c r="P820" t="s">
        <v>123</v>
      </c>
      <c r="Q820" s="6">
        <v>32557.69</v>
      </c>
    </row>
    <row r="821" spans="1:17">
      <c r="A821" t="s">
        <v>1744</v>
      </c>
      <c r="B821" s="5">
        <v>46195</v>
      </c>
      <c r="C821" t="s">
        <v>1745</v>
      </c>
      <c r="D821" t="s">
        <v>17</v>
      </c>
      <c r="E821" t="s">
        <v>2</v>
      </c>
      <c r="F821" t="s">
        <v>50</v>
      </c>
      <c r="G821" t="s">
        <v>51</v>
      </c>
      <c r="H821" s="6">
        <v>186.07</v>
      </c>
      <c r="I821" t="s">
        <v>52</v>
      </c>
      <c r="J821" t="s">
        <v>196</v>
      </c>
      <c r="K821" t="s">
        <v>54</v>
      </c>
      <c r="L821" t="s">
        <v>55</v>
      </c>
      <c r="O821" t="s">
        <v>197</v>
      </c>
      <c r="P821" t="s">
        <v>198</v>
      </c>
      <c r="Q821" s="6">
        <v>32148.83</v>
      </c>
    </row>
    <row r="822" spans="1:17">
      <c r="A822" t="s">
        <v>1746</v>
      </c>
      <c r="B822" s="5">
        <v>46195</v>
      </c>
      <c r="C822" t="s">
        <v>1747</v>
      </c>
      <c r="D822" t="s">
        <v>17</v>
      </c>
      <c r="E822" t="s">
        <v>2</v>
      </c>
      <c r="F822" t="s">
        <v>50</v>
      </c>
      <c r="G822" t="s">
        <v>100</v>
      </c>
      <c r="H822" s="6">
        <v>15</v>
      </c>
      <c r="I822" t="s">
        <v>52</v>
      </c>
      <c r="J822" t="s">
        <v>101</v>
      </c>
      <c r="K822" t="s">
        <v>54</v>
      </c>
      <c r="L822" t="s">
        <v>102</v>
      </c>
      <c r="O822" t="s">
        <v>103</v>
      </c>
      <c r="P822" t="s">
        <v>104</v>
      </c>
      <c r="Q822" s="6">
        <v>32400.03</v>
      </c>
    </row>
    <row r="823" spans="1:17">
      <c r="A823" t="s">
        <v>1748</v>
      </c>
      <c r="B823" s="5">
        <v>46195</v>
      </c>
      <c r="C823" t="s">
        <v>1749</v>
      </c>
      <c r="D823" t="s">
        <v>17</v>
      </c>
      <c r="E823" t="s">
        <v>2</v>
      </c>
      <c r="F823" t="s">
        <v>50</v>
      </c>
      <c r="G823" t="s">
        <v>51</v>
      </c>
      <c r="H823" s="6">
        <v>27.32</v>
      </c>
      <c r="I823" t="s">
        <v>52</v>
      </c>
      <c r="J823" t="s">
        <v>126</v>
      </c>
      <c r="K823" t="s">
        <v>54</v>
      </c>
      <c r="L823" t="s">
        <v>55</v>
      </c>
      <c r="O823" t="s">
        <v>56</v>
      </c>
      <c r="P823" t="s">
        <v>57</v>
      </c>
      <c r="Q823" s="6">
        <v>32354.91</v>
      </c>
    </row>
    <row r="824" spans="1:17">
      <c r="A824" t="s">
        <v>1750</v>
      </c>
      <c r="B824" s="5">
        <v>46195</v>
      </c>
      <c r="C824" t="s">
        <v>1751</v>
      </c>
      <c r="D824" t="s">
        <v>17</v>
      </c>
      <c r="E824" t="s">
        <v>2</v>
      </c>
      <c r="F824" t="s">
        <v>50</v>
      </c>
      <c r="G824" t="s">
        <v>51</v>
      </c>
      <c r="H824" s="6">
        <v>8.64</v>
      </c>
      <c r="I824" t="s">
        <v>52</v>
      </c>
      <c r="J824" t="s">
        <v>81</v>
      </c>
      <c r="K824" t="s">
        <v>54</v>
      </c>
      <c r="L824" t="s">
        <v>55</v>
      </c>
      <c r="O824" t="s">
        <v>82</v>
      </c>
      <c r="P824" t="s">
        <v>83</v>
      </c>
      <c r="Q824" s="6">
        <v>32334.9</v>
      </c>
    </row>
    <row r="825" spans="1:17">
      <c r="A825" t="s">
        <v>1752</v>
      </c>
      <c r="B825" s="5">
        <v>46196</v>
      </c>
      <c r="C825" t="s">
        <v>1753</v>
      </c>
      <c r="D825" t="s">
        <v>17</v>
      </c>
      <c r="E825" t="s">
        <v>2</v>
      </c>
      <c r="F825" t="s">
        <v>50</v>
      </c>
      <c r="G825" t="s">
        <v>100</v>
      </c>
      <c r="H825" s="6">
        <v>23.38</v>
      </c>
      <c r="I825" t="s">
        <v>52</v>
      </c>
      <c r="J825" t="s">
        <v>114</v>
      </c>
      <c r="K825" t="s">
        <v>54</v>
      </c>
      <c r="L825" t="s">
        <v>102</v>
      </c>
      <c r="O825" t="s">
        <v>103</v>
      </c>
      <c r="P825" t="s">
        <v>104</v>
      </c>
      <c r="Q825" s="6">
        <v>32027.67</v>
      </c>
    </row>
    <row r="826" spans="1:17">
      <c r="A826" t="s">
        <v>1754</v>
      </c>
      <c r="B826" s="5">
        <v>46196</v>
      </c>
      <c r="C826" t="s">
        <v>1755</v>
      </c>
      <c r="D826" t="s">
        <v>17</v>
      </c>
      <c r="E826" t="s">
        <v>2</v>
      </c>
      <c r="F826" t="s">
        <v>50</v>
      </c>
      <c r="G826" t="s">
        <v>51</v>
      </c>
      <c r="H826" s="6">
        <v>58.45</v>
      </c>
      <c r="I826" t="s">
        <v>52</v>
      </c>
      <c r="J826" t="s">
        <v>81</v>
      </c>
      <c r="K826" t="s">
        <v>54</v>
      </c>
      <c r="L826" t="s">
        <v>55</v>
      </c>
      <c r="O826" t="s">
        <v>82</v>
      </c>
      <c r="P826" t="s">
        <v>83</v>
      </c>
      <c r="Q826" s="6">
        <v>31930.01</v>
      </c>
    </row>
    <row r="827" spans="1:17">
      <c r="A827" t="s">
        <v>1756</v>
      </c>
      <c r="B827" s="5">
        <v>46196</v>
      </c>
      <c r="C827" t="s">
        <v>1757</v>
      </c>
      <c r="D827" t="s">
        <v>17</v>
      </c>
      <c r="E827" t="s">
        <v>2</v>
      </c>
      <c r="F827" t="s">
        <v>149</v>
      </c>
      <c r="G827" t="s">
        <v>1722</v>
      </c>
      <c r="H827" s="6">
        <v>7500</v>
      </c>
      <c r="I827" t="s">
        <v>52</v>
      </c>
      <c r="J827" t="s">
        <v>1758</v>
      </c>
      <c r="K827" t="s">
        <v>54</v>
      </c>
      <c r="L827" t="s">
        <v>102</v>
      </c>
      <c r="O827" t="s">
        <v>1724</v>
      </c>
      <c r="P827" t="s">
        <v>1725</v>
      </c>
      <c r="Q827" s="6">
        <v>85313.61</v>
      </c>
    </row>
    <row r="828" spans="1:17">
      <c r="A828" t="s">
        <v>1759</v>
      </c>
      <c r="B828" s="5">
        <v>46196</v>
      </c>
      <c r="C828" t="s">
        <v>1760</v>
      </c>
      <c r="D828" t="s">
        <v>17</v>
      </c>
      <c r="E828" t="s">
        <v>2</v>
      </c>
      <c r="F828" t="s">
        <v>50</v>
      </c>
      <c r="G828" t="s">
        <v>100</v>
      </c>
      <c r="H828" s="6">
        <v>15</v>
      </c>
      <c r="I828" t="s">
        <v>52</v>
      </c>
      <c r="J828" t="s">
        <v>101</v>
      </c>
      <c r="K828" t="s">
        <v>54</v>
      </c>
      <c r="L828" t="s">
        <v>102</v>
      </c>
      <c r="O828" t="s">
        <v>103</v>
      </c>
      <c r="P828" t="s">
        <v>104</v>
      </c>
      <c r="Q828" s="6">
        <v>31850.41</v>
      </c>
    </row>
    <row r="829" spans="1:17">
      <c r="A829" t="s">
        <v>1761</v>
      </c>
      <c r="B829" s="5">
        <v>46196</v>
      </c>
      <c r="C829" t="s">
        <v>1762</v>
      </c>
      <c r="D829" t="s">
        <v>17</v>
      </c>
      <c r="E829" t="s">
        <v>2</v>
      </c>
      <c r="F829" t="s">
        <v>50</v>
      </c>
      <c r="G829" t="s">
        <v>51</v>
      </c>
      <c r="H829" s="6">
        <v>97.78</v>
      </c>
      <c r="I829" t="s">
        <v>52</v>
      </c>
      <c r="J829" t="s">
        <v>196</v>
      </c>
      <c r="K829" t="s">
        <v>54</v>
      </c>
      <c r="L829" t="s">
        <v>55</v>
      </c>
      <c r="O829" t="s">
        <v>197</v>
      </c>
      <c r="P829" t="s">
        <v>198</v>
      </c>
      <c r="Q829" s="6">
        <v>32051.05</v>
      </c>
    </row>
    <row r="830" spans="1:17">
      <c r="A830" t="s">
        <v>1763</v>
      </c>
      <c r="B830" s="5">
        <v>46196</v>
      </c>
      <c r="C830" t="s">
        <v>1764</v>
      </c>
      <c r="D830" t="s">
        <v>17</v>
      </c>
      <c r="E830" t="s">
        <v>2</v>
      </c>
      <c r="F830" t="s">
        <v>50</v>
      </c>
      <c r="G830" t="s">
        <v>100</v>
      </c>
      <c r="H830" s="6">
        <v>19.649999999999999</v>
      </c>
      <c r="I830" t="s">
        <v>52</v>
      </c>
      <c r="J830" t="s">
        <v>114</v>
      </c>
      <c r="K830" t="s">
        <v>54</v>
      </c>
      <c r="L830" t="s">
        <v>102</v>
      </c>
      <c r="O830" t="s">
        <v>103</v>
      </c>
      <c r="P830" t="s">
        <v>104</v>
      </c>
      <c r="Q830" s="6">
        <v>31910.36</v>
      </c>
    </row>
    <row r="831" spans="1:17">
      <c r="A831" t="s">
        <v>1765</v>
      </c>
      <c r="B831" s="5">
        <v>46196</v>
      </c>
      <c r="C831" t="s">
        <v>1766</v>
      </c>
      <c r="D831" t="s">
        <v>17</v>
      </c>
      <c r="E831" t="s">
        <v>2</v>
      </c>
      <c r="F831" t="s">
        <v>50</v>
      </c>
      <c r="G831" t="s">
        <v>51</v>
      </c>
      <c r="H831" s="6">
        <v>44.95</v>
      </c>
      <c r="I831" t="s">
        <v>52</v>
      </c>
      <c r="J831" t="s">
        <v>60</v>
      </c>
      <c r="K831" t="s">
        <v>54</v>
      </c>
      <c r="L831" t="s">
        <v>55</v>
      </c>
      <c r="O831" t="s">
        <v>61</v>
      </c>
      <c r="P831" t="s">
        <v>62</v>
      </c>
      <c r="Q831" s="6">
        <v>31865.41</v>
      </c>
    </row>
    <row r="832" spans="1:17">
      <c r="A832" t="s">
        <v>1767</v>
      </c>
      <c r="B832" s="5">
        <v>46196</v>
      </c>
      <c r="C832" t="s">
        <v>1768</v>
      </c>
      <c r="D832" t="s">
        <v>17</v>
      </c>
      <c r="E832" t="s">
        <v>2</v>
      </c>
      <c r="F832" t="s">
        <v>50</v>
      </c>
      <c r="G832" t="s">
        <v>51</v>
      </c>
      <c r="H832" s="6">
        <v>10.99</v>
      </c>
      <c r="I832" t="s">
        <v>52</v>
      </c>
      <c r="J832" t="s">
        <v>126</v>
      </c>
      <c r="K832" t="s">
        <v>54</v>
      </c>
      <c r="L832" t="s">
        <v>55</v>
      </c>
      <c r="O832" t="s">
        <v>56</v>
      </c>
      <c r="P832" t="s">
        <v>57</v>
      </c>
      <c r="Q832" s="6">
        <v>31988.46</v>
      </c>
    </row>
    <row r="833" spans="1:17">
      <c r="A833" t="s">
        <v>1769</v>
      </c>
      <c r="B833" s="5">
        <v>46196</v>
      </c>
      <c r="C833" t="s">
        <v>1770</v>
      </c>
      <c r="D833" t="s">
        <v>17</v>
      </c>
      <c r="E833" t="s">
        <v>2</v>
      </c>
      <c r="F833" t="s">
        <v>50</v>
      </c>
      <c r="G833" t="s">
        <v>51</v>
      </c>
      <c r="H833" s="6">
        <v>28.22</v>
      </c>
      <c r="I833" t="s">
        <v>52</v>
      </c>
      <c r="J833" t="s">
        <v>126</v>
      </c>
      <c r="K833" t="s">
        <v>54</v>
      </c>
      <c r="L833" t="s">
        <v>55</v>
      </c>
      <c r="O833" t="s">
        <v>56</v>
      </c>
      <c r="P833" t="s">
        <v>57</v>
      </c>
      <c r="Q833" s="6">
        <v>31999.45</v>
      </c>
    </row>
    <row r="834" spans="1:17">
      <c r="A834" t="s">
        <v>1771</v>
      </c>
      <c r="B834" s="5">
        <v>46197</v>
      </c>
      <c r="C834" t="s">
        <v>1772</v>
      </c>
      <c r="D834" t="s">
        <v>17</v>
      </c>
      <c r="E834" t="s">
        <v>2</v>
      </c>
      <c r="F834" t="s">
        <v>50</v>
      </c>
      <c r="G834" t="s">
        <v>51</v>
      </c>
      <c r="H834" s="6">
        <v>88.76</v>
      </c>
      <c r="I834" t="s">
        <v>52</v>
      </c>
      <c r="J834" t="s">
        <v>65</v>
      </c>
      <c r="K834" t="s">
        <v>54</v>
      </c>
      <c r="L834" t="s">
        <v>55</v>
      </c>
      <c r="O834" t="s">
        <v>66</v>
      </c>
      <c r="P834" t="s">
        <v>67</v>
      </c>
      <c r="Q834" s="6">
        <v>31761.65</v>
      </c>
    </row>
    <row r="835" spans="1:17">
      <c r="A835" t="s">
        <v>1773</v>
      </c>
      <c r="B835" s="5">
        <v>46197</v>
      </c>
      <c r="C835" t="s">
        <v>1774</v>
      </c>
      <c r="D835" t="s">
        <v>17</v>
      </c>
      <c r="E835" t="s">
        <v>2</v>
      </c>
      <c r="F835" t="s">
        <v>50</v>
      </c>
      <c r="G835" t="s">
        <v>51</v>
      </c>
      <c r="H835" s="6">
        <v>44.51</v>
      </c>
      <c r="I835" t="s">
        <v>52</v>
      </c>
      <c r="J835" t="s">
        <v>81</v>
      </c>
      <c r="K835" t="s">
        <v>54</v>
      </c>
      <c r="L835" t="s">
        <v>55</v>
      </c>
      <c r="O835" t="s">
        <v>82</v>
      </c>
      <c r="P835" t="s">
        <v>83</v>
      </c>
      <c r="Q835" s="6">
        <v>31430.37</v>
      </c>
    </row>
    <row r="836" spans="1:17">
      <c r="A836" t="s">
        <v>1775</v>
      </c>
      <c r="B836" s="5">
        <v>46197</v>
      </c>
      <c r="C836" t="s">
        <v>1776</v>
      </c>
      <c r="D836" t="s">
        <v>17</v>
      </c>
      <c r="E836" t="s">
        <v>2</v>
      </c>
      <c r="F836" t="s">
        <v>50</v>
      </c>
      <c r="G836" t="s">
        <v>51</v>
      </c>
      <c r="H836" s="6">
        <v>16.46</v>
      </c>
      <c r="I836" t="s">
        <v>52</v>
      </c>
      <c r="J836" t="s">
        <v>53</v>
      </c>
      <c r="K836" t="s">
        <v>54</v>
      </c>
      <c r="L836" t="s">
        <v>55</v>
      </c>
      <c r="O836" t="s">
        <v>56</v>
      </c>
      <c r="P836" t="s">
        <v>57</v>
      </c>
      <c r="Q836" s="6">
        <v>31745.19</v>
      </c>
    </row>
    <row r="837" spans="1:17">
      <c r="A837" t="s">
        <v>1777</v>
      </c>
      <c r="B837" s="5">
        <v>46197</v>
      </c>
      <c r="C837" t="s">
        <v>1778</v>
      </c>
      <c r="D837" t="s">
        <v>17</v>
      </c>
      <c r="E837" t="s">
        <v>2</v>
      </c>
      <c r="F837" t="s">
        <v>50</v>
      </c>
      <c r="G837" t="s">
        <v>51</v>
      </c>
      <c r="H837" s="6">
        <v>26.87</v>
      </c>
      <c r="I837" t="s">
        <v>52</v>
      </c>
      <c r="J837" t="s">
        <v>60</v>
      </c>
      <c r="K837" t="s">
        <v>54</v>
      </c>
      <c r="L837" t="s">
        <v>55</v>
      </c>
      <c r="O837" t="s">
        <v>61</v>
      </c>
      <c r="P837" t="s">
        <v>62</v>
      </c>
      <c r="Q837" s="6">
        <v>31526.03</v>
      </c>
    </row>
    <row r="838" spans="1:17">
      <c r="A838" t="s">
        <v>1779</v>
      </c>
      <c r="B838" s="5">
        <v>46197</v>
      </c>
      <c r="C838" t="s">
        <v>1780</v>
      </c>
      <c r="D838" t="s">
        <v>17</v>
      </c>
      <c r="E838" t="s">
        <v>2</v>
      </c>
      <c r="F838" t="s">
        <v>50</v>
      </c>
      <c r="G838" t="s">
        <v>51</v>
      </c>
      <c r="H838" s="6">
        <v>51.15</v>
      </c>
      <c r="I838" t="s">
        <v>52</v>
      </c>
      <c r="J838" t="s">
        <v>81</v>
      </c>
      <c r="K838" t="s">
        <v>54</v>
      </c>
      <c r="L838" t="s">
        <v>55</v>
      </c>
      <c r="O838" t="s">
        <v>82</v>
      </c>
      <c r="P838" t="s">
        <v>83</v>
      </c>
      <c r="Q838" s="6">
        <v>31474.880000000001</v>
      </c>
    </row>
    <row r="839" spans="1:17">
      <c r="A839" t="s">
        <v>1781</v>
      </c>
      <c r="B839" s="5">
        <v>46197</v>
      </c>
      <c r="C839" t="s">
        <v>1782</v>
      </c>
      <c r="D839" t="s">
        <v>17</v>
      </c>
      <c r="E839" t="s">
        <v>2</v>
      </c>
      <c r="F839" t="s">
        <v>50</v>
      </c>
      <c r="G839" t="s">
        <v>51</v>
      </c>
      <c r="H839" s="6">
        <v>162.29</v>
      </c>
      <c r="I839" t="s">
        <v>52</v>
      </c>
      <c r="J839" t="s">
        <v>196</v>
      </c>
      <c r="K839" t="s">
        <v>54</v>
      </c>
      <c r="L839" t="s">
        <v>55</v>
      </c>
      <c r="O839" t="s">
        <v>197</v>
      </c>
      <c r="P839" t="s">
        <v>198</v>
      </c>
      <c r="Q839" s="6">
        <v>31567.9</v>
      </c>
    </row>
    <row r="840" spans="1:17">
      <c r="A840" t="s">
        <v>1783</v>
      </c>
      <c r="B840" s="5">
        <v>46197</v>
      </c>
      <c r="C840" t="s">
        <v>1784</v>
      </c>
      <c r="D840" t="s">
        <v>17</v>
      </c>
      <c r="E840" t="s">
        <v>2</v>
      </c>
      <c r="F840" t="s">
        <v>50</v>
      </c>
      <c r="G840" t="s">
        <v>100</v>
      </c>
      <c r="H840" s="6">
        <v>15</v>
      </c>
      <c r="I840" t="s">
        <v>52</v>
      </c>
      <c r="J840" t="s">
        <v>101</v>
      </c>
      <c r="K840" t="s">
        <v>54</v>
      </c>
      <c r="L840" t="s">
        <v>102</v>
      </c>
      <c r="O840" t="s">
        <v>103</v>
      </c>
      <c r="P840" t="s">
        <v>104</v>
      </c>
      <c r="Q840" s="6">
        <v>31552.9</v>
      </c>
    </row>
    <row r="841" spans="1:17">
      <c r="A841" t="s">
        <v>1785</v>
      </c>
      <c r="B841" s="5">
        <v>46197</v>
      </c>
      <c r="C841" t="s">
        <v>1786</v>
      </c>
      <c r="D841" t="s">
        <v>17</v>
      </c>
      <c r="E841" t="s">
        <v>2</v>
      </c>
      <c r="F841" t="s">
        <v>50</v>
      </c>
      <c r="G841" t="s">
        <v>100</v>
      </c>
      <c r="H841" s="6">
        <v>15</v>
      </c>
      <c r="I841" t="s">
        <v>52</v>
      </c>
      <c r="J841" t="s">
        <v>101</v>
      </c>
      <c r="K841" t="s">
        <v>54</v>
      </c>
      <c r="L841" t="s">
        <v>102</v>
      </c>
      <c r="O841" t="s">
        <v>103</v>
      </c>
      <c r="P841" t="s">
        <v>104</v>
      </c>
      <c r="Q841" s="6">
        <v>31730.19</v>
      </c>
    </row>
    <row r="842" spans="1:17">
      <c r="A842" t="s">
        <v>1787</v>
      </c>
      <c r="B842" s="5">
        <v>46198</v>
      </c>
      <c r="C842" t="s">
        <v>1788</v>
      </c>
      <c r="D842" t="s">
        <v>17</v>
      </c>
      <c r="E842" t="s">
        <v>2</v>
      </c>
      <c r="F842" t="s">
        <v>50</v>
      </c>
      <c r="G842" t="s">
        <v>51</v>
      </c>
      <c r="H842" s="6">
        <v>59.86</v>
      </c>
      <c r="I842" t="s">
        <v>52</v>
      </c>
      <c r="J842" t="s">
        <v>60</v>
      </c>
      <c r="K842" t="s">
        <v>54</v>
      </c>
      <c r="L842" t="s">
        <v>55</v>
      </c>
      <c r="O842" t="s">
        <v>61</v>
      </c>
      <c r="P842" t="s">
        <v>62</v>
      </c>
      <c r="Q842" s="6">
        <v>31328.7</v>
      </c>
    </row>
    <row r="843" spans="1:17">
      <c r="A843" t="s">
        <v>1789</v>
      </c>
      <c r="B843" s="5">
        <v>46198</v>
      </c>
      <c r="C843" t="s">
        <v>1790</v>
      </c>
      <c r="D843" t="s">
        <v>17</v>
      </c>
      <c r="E843" t="s">
        <v>2</v>
      </c>
      <c r="F843" t="s">
        <v>50</v>
      </c>
      <c r="G843" t="s">
        <v>51</v>
      </c>
      <c r="H843" s="6">
        <v>37.22</v>
      </c>
      <c r="I843" t="s">
        <v>52</v>
      </c>
      <c r="J843" t="s">
        <v>126</v>
      </c>
      <c r="K843" t="s">
        <v>54</v>
      </c>
      <c r="L843" t="s">
        <v>55</v>
      </c>
      <c r="O843" t="s">
        <v>56</v>
      </c>
      <c r="P843" t="s">
        <v>57</v>
      </c>
      <c r="Q843" s="6">
        <v>31115.59</v>
      </c>
    </row>
    <row r="844" spans="1:17">
      <c r="A844" t="s">
        <v>1791</v>
      </c>
      <c r="B844" s="5">
        <v>46198</v>
      </c>
      <c r="C844" t="s">
        <v>1792</v>
      </c>
      <c r="D844" t="s">
        <v>17</v>
      </c>
      <c r="E844" t="s">
        <v>2</v>
      </c>
      <c r="F844" t="s">
        <v>149</v>
      </c>
      <c r="G844" t="s">
        <v>1722</v>
      </c>
      <c r="H844" s="6">
        <v>6000</v>
      </c>
      <c r="I844" t="s">
        <v>52</v>
      </c>
      <c r="J844" t="s">
        <v>1793</v>
      </c>
      <c r="K844" t="s">
        <v>54</v>
      </c>
      <c r="L844" t="s">
        <v>102</v>
      </c>
      <c r="O844" t="s">
        <v>1724</v>
      </c>
      <c r="P844" t="s">
        <v>1725</v>
      </c>
      <c r="Q844" s="6">
        <v>91313.61</v>
      </c>
    </row>
    <row r="845" spans="1:17">
      <c r="A845" t="s">
        <v>1794</v>
      </c>
      <c r="B845" s="5">
        <v>46198</v>
      </c>
      <c r="C845" t="s">
        <v>1795</v>
      </c>
      <c r="D845" t="s">
        <v>17</v>
      </c>
      <c r="E845" t="s">
        <v>2</v>
      </c>
      <c r="F845" t="s">
        <v>50</v>
      </c>
      <c r="G845" t="s">
        <v>100</v>
      </c>
      <c r="H845" s="6">
        <v>15</v>
      </c>
      <c r="I845" t="s">
        <v>52</v>
      </c>
      <c r="J845" t="s">
        <v>101</v>
      </c>
      <c r="K845" t="s">
        <v>54</v>
      </c>
      <c r="L845" t="s">
        <v>102</v>
      </c>
      <c r="O845" t="s">
        <v>103</v>
      </c>
      <c r="P845" t="s">
        <v>104</v>
      </c>
      <c r="Q845" s="6">
        <v>31152.81</v>
      </c>
    </row>
    <row r="846" spans="1:17">
      <c r="A846" t="s">
        <v>1796</v>
      </c>
      <c r="B846" s="5">
        <v>46198</v>
      </c>
      <c r="C846" t="s">
        <v>1797</v>
      </c>
      <c r="D846" t="s">
        <v>17</v>
      </c>
      <c r="E846" t="s">
        <v>2</v>
      </c>
      <c r="F846" t="s">
        <v>50</v>
      </c>
      <c r="G846" t="s">
        <v>51</v>
      </c>
      <c r="H846" s="6">
        <v>34.71</v>
      </c>
      <c r="I846" t="s">
        <v>52</v>
      </c>
      <c r="J846" t="s">
        <v>60</v>
      </c>
      <c r="K846" t="s">
        <v>54</v>
      </c>
      <c r="L846" t="s">
        <v>55</v>
      </c>
      <c r="O846" t="s">
        <v>61</v>
      </c>
      <c r="P846" t="s">
        <v>62</v>
      </c>
      <c r="Q846" s="6">
        <v>31395.66</v>
      </c>
    </row>
    <row r="847" spans="1:17">
      <c r="A847" t="s">
        <v>1798</v>
      </c>
      <c r="B847" s="5">
        <v>46198</v>
      </c>
      <c r="C847" t="s">
        <v>1799</v>
      </c>
      <c r="D847" t="s">
        <v>17</v>
      </c>
      <c r="E847" t="s">
        <v>2</v>
      </c>
      <c r="F847" t="s">
        <v>50</v>
      </c>
      <c r="G847" t="s">
        <v>51</v>
      </c>
      <c r="H847" s="6">
        <v>7.1</v>
      </c>
      <c r="I847" t="s">
        <v>52</v>
      </c>
      <c r="J847" t="s">
        <v>121</v>
      </c>
      <c r="K847" t="s">
        <v>54</v>
      </c>
      <c r="L847" t="s">
        <v>55</v>
      </c>
      <c r="O847" t="s">
        <v>122</v>
      </c>
      <c r="P847" t="s">
        <v>123</v>
      </c>
      <c r="Q847" s="6">
        <v>31388.560000000001</v>
      </c>
    </row>
    <row r="848" spans="1:17">
      <c r="A848" t="s">
        <v>1800</v>
      </c>
      <c r="B848" s="5">
        <v>46198</v>
      </c>
      <c r="C848" t="s">
        <v>1801</v>
      </c>
      <c r="D848" t="s">
        <v>17</v>
      </c>
      <c r="E848" t="s">
        <v>2</v>
      </c>
      <c r="F848" t="s">
        <v>50</v>
      </c>
      <c r="G848" t="s">
        <v>51</v>
      </c>
      <c r="H848" s="6">
        <v>88.26</v>
      </c>
      <c r="I848" t="s">
        <v>52</v>
      </c>
      <c r="J848" t="s">
        <v>65</v>
      </c>
      <c r="K848" t="s">
        <v>54</v>
      </c>
      <c r="L848" t="s">
        <v>55</v>
      </c>
      <c r="O848" t="s">
        <v>66</v>
      </c>
      <c r="P848" t="s">
        <v>67</v>
      </c>
      <c r="Q848" s="6">
        <v>31167.81</v>
      </c>
    </row>
    <row r="849" spans="1:17">
      <c r="A849" t="s">
        <v>1802</v>
      </c>
      <c r="B849" s="5">
        <v>46198</v>
      </c>
      <c r="C849" t="s">
        <v>1803</v>
      </c>
      <c r="D849" t="s">
        <v>17</v>
      </c>
      <c r="E849" t="s">
        <v>2</v>
      </c>
      <c r="F849" t="s">
        <v>50</v>
      </c>
      <c r="G849" t="s">
        <v>51</v>
      </c>
      <c r="H849" s="6">
        <v>60.61</v>
      </c>
      <c r="I849" t="s">
        <v>52</v>
      </c>
      <c r="J849" t="s">
        <v>60</v>
      </c>
      <c r="K849" t="s">
        <v>54</v>
      </c>
      <c r="L849" t="s">
        <v>55</v>
      </c>
      <c r="O849" t="s">
        <v>61</v>
      </c>
      <c r="P849" t="s">
        <v>62</v>
      </c>
      <c r="Q849" s="6">
        <v>31268.09</v>
      </c>
    </row>
    <row r="850" spans="1:17">
      <c r="A850" t="s">
        <v>1804</v>
      </c>
      <c r="B850" s="5">
        <v>46198</v>
      </c>
      <c r="C850" t="s">
        <v>1805</v>
      </c>
      <c r="D850" t="s">
        <v>17</v>
      </c>
      <c r="E850" t="s">
        <v>2</v>
      </c>
      <c r="F850" t="s">
        <v>50</v>
      </c>
      <c r="G850" t="s">
        <v>100</v>
      </c>
      <c r="H850" s="6">
        <v>12.02</v>
      </c>
      <c r="I850" t="s">
        <v>52</v>
      </c>
      <c r="J850" t="s">
        <v>114</v>
      </c>
      <c r="K850" t="s">
        <v>54</v>
      </c>
      <c r="L850" t="s">
        <v>102</v>
      </c>
      <c r="O850" t="s">
        <v>103</v>
      </c>
      <c r="P850" t="s">
        <v>104</v>
      </c>
      <c r="Q850" s="6">
        <v>31256.07</v>
      </c>
    </row>
    <row r="851" spans="1:17">
      <c r="A851" t="s">
        <v>1806</v>
      </c>
      <c r="B851" s="5">
        <v>46199</v>
      </c>
      <c r="C851" t="s">
        <v>1807</v>
      </c>
      <c r="D851" t="s">
        <v>17</v>
      </c>
      <c r="E851" t="s">
        <v>2</v>
      </c>
      <c r="F851" t="s">
        <v>50</v>
      </c>
      <c r="G851" t="s">
        <v>51</v>
      </c>
      <c r="H851" s="6">
        <v>13.61</v>
      </c>
      <c r="I851" t="s">
        <v>52</v>
      </c>
      <c r="J851" t="s">
        <v>53</v>
      </c>
      <c r="K851" t="s">
        <v>54</v>
      </c>
      <c r="L851" t="s">
        <v>55</v>
      </c>
      <c r="O851" t="s">
        <v>56</v>
      </c>
      <c r="P851" t="s">
        <v>57</v>
      </c>
      <c r="Q851" s="6">
        <v>30981.62</v>
      </c>
    </row>
    <row r="852" spans="1:17">
      <c r="A852" t="s">
        <v>1808</v>
      </c>
      <c r="B852" s="5">
        <v>46199</v>
      </c>
      <c r="C852" t="s">
        <v>1809</v>
      </c>
      <c r="D852" t="s">
        <v>17</v>
      </c>
      <c r="E852" t="s">
        <v>2</v>
      </c>
      <c r="F852" t="s">
        <v>50</v>
      </c>
      <c r="G852" t="s">
        <v>100</v>
      </c>
      <c r="H852" s="6">
        <v>22.91</v>
      </c>
      <c r="I852" t="s">
        <v>52</v>
      </c>
      <c r="J852" t="s">
        <v>114</v>
      </c>
      <c r="K852" t="s">
        <v>54</v>
      </c>
      <c r="L852" t="s">
        <v>102</v>
      </c>
      <c r="O852" t="s">
        <v>103</v>
      </c>
      <c r="P852" t="s">
        <v>104</v>
      </c>
      <c r="Q852" s="6">
        <v>30995.23</v>
      </c>
    </row>
    <row r="853" spans="1:17">
      <c r="A853" t="s">
        <v>1810</v>
      </c>
      <c r="B853" s="5">
        <v>46199</v>
      </c>
      <c r="C853" t="s">
        <v>1811</v>
      </c>
      <c r="D853" t="s">
        <v>17</v>
      </c>
      <c r="E853" t="s">
        <v>2</v>
      </c>
      <c r="F853" t="s">
        <v>50</v>
      </c>
      <c r="G853" t="s">
        <v>51</v>
      </c>
      <c r="H853" s="6">
        <v>60.7</v>
      </c>
      <c r="I853" t="s">
        <v>52</v>
      </c>
      <c r="J853" t="s">
        <v>196</v>
      </c>
      <c r="K853" t="s">
        <v>54</v>
      </c>
      <c r="L853" t="s">
        <v>55</v>
      </c>
      <c r="O853" t="s">
        <v>197</v>
      </c>
      <c r="P853" t="s">
        <v>198</v>
      </c>
      <c r="Q853" s="6">
        <v>31031.67</v>
      </c>
    </row>
    <row r="854" spans="1:17">
      <c r="A854" t="s">
        <v>1812</v>
      </c>
      <c r="B854" s="5">
        <v>46199</v>
      </c>
      <c r="C854" t="s">
        <v>1813</v>
      </c>
      <c r="D854" t="s">
        <v>17</v>
      </c>
      <c r="E854" t="s">
        <v>2</v>
      </c>
      <c r="F854" t="s">
        <v>50</v>
      </c>
      <c r="G854" t="s">
        <v>51</v>
      </c>
      <c r="H854" s="6">
        <v>28.16</v>
      </c>
      <c r="I854" t="s">
        <v>52</v>
      </c>
      <c r="J854" t="s">
        <v>126</v>
      </c>
      <c r="K854" t="s">
        <v>54</v>
      </c>
      <c r="L854" t="s">
        <v>55</v>
      </c>
      <c r="O854" t="s">
        <v>56</v>
      </c>
      <c r="P854" t="s">
        <v>57</v>
      </c>
      <c r="Q854" s="6">
        <v>30953.46</v>
      </c>
    </row>
    <row r="855" spans="1:17">
      <c r="A855" t="s">
        <v>1814</v>
      </c>
      <c r="B855" s="5">
        <v>46199</v>
      </c>
      <c r="C855" t="s">
        <v>1815</v>
      </c>
      <c r="D855" t="s">
        <v>17</v>
      </c>
      <c r="E855" t="s">
        <v>2</v>
      </c>
      <c r="F855" t="s">
        <v>50</v>
      </c>
      <c r="G855" t="s">
        <v>1816</v>
      </c>
      <c r="H855" s="6">
        <v>16200</v>
      </c>
      <c r="I855" t="s">
        <v>52</v>
      </c>
      <c r="J855" t="s">
        <v>1817</v>
      </c>
      <c r="K855" t="s">
        <v>1818</v>
      </c>
      <c r="L855" t="s">
        <v>1819</v>
      </c>
      <c r="O855" t="s">
        <v>1820</v>
      </c>
      <c r="P855" t="s">
        <v>1821</v>
      </c>
      <c r="Q855" s="6">
        <v>75113.61</v>
      </c>
    </row>
    <row r="856" spans="1:17">
      <c r="A856" t="s">
        <v>1822</v>
      </c>
      <c r="B856" s="5">
        <v>46199</v>
      </c>
      <c r="C856" t="s">
        <v>1823</v>
      </c>
      <c r="D856" t="s">
        <v>17</v>
      </c>
      <c r="E856" t="s">
        <v>2</v>
      </c>
      <c r="F856" t="s">
        <v>50</v>
      </c>
      <c r="G856" t="s">
        <v>100</v>
      </c>
      <c r="H856" s="6">
        <v>23.22</v>
      </c>
      <c r="I856" t="s">
        <v>52</v>
      </c>
      <c r="J856" t="s">
        <v>114</v>
      </c>
      <c r="K856" t="s">
        <v>54</v>
      </c>
      <c r="L856" t="s">
        <v>102</v>
      </c>
      <c r="O856" t="s">
        <v>103</v>
      </c>
      <c r="P856" t="s">
        <v>104</v>
      </c>
      <c r="Q856" s="6">
        <v>31092.37</v>
      </c>
    </row>
    <row r="857" spans="1:17">
      <c r="A857" t="s">
        <v>1824</v>
      </c>
      <c r="B857" s="5">
        <v>46199</v>
      </c>
      <c r="C857" t="s">
        <v>1825</v>
      </c>
      <c r="D857" t="s">
        <v>17</v>
      </c>
      <c r="E857" t="s">
        <v>2</v>
      </c>
      <c r="F857" t="s">
        <v>50</v>
      </c>
      <c r="G857" t="s">
        <v>51</v>
      </c>
      <c r="H857" s="6">
        <v>37.24</v>
      </c>
      <c r="I857" t="s">
        <v>52</v>
      </c>
      <c r="J857" t="s">
        <v>81</v>
      </c>
      <c r="K857" t="s">
        <v>54</v>
      </c>
      <c r="L857" t="s">
        <v>55</v>
      </c>
      <c r="O857" t="s">
        <v>82</v>
      </c>
      <c r="P857" t="s">
        <v>83</v>
      </c>
      <c r="Q857" s="6">
        <v>30916.22</v>
      </c>
    </row>
    <row r="858" spans="1:17">
      <c r="A858" t="s">
        <v>1826</v>
      </c>
      <c r="B858" s="5">
        <v>46199</v>
      </c>
      <c r="C858" t="s">
        <v>1827</v>
      </c>
      <c r="D858" t="s">
        <v>17</v>
      </c>
      <c r="E858" t="s">
        <v>2</v>
      </c>
      <c r="F858" t="s">
        <v>50</v>
      </c>
      <c r="G858" t="s">
        <v>51</v>
      </c>
      <c r="H858" s="6">
        <v>13.53</v>
      </c>
      <c r="I858" t="s">
        <v>52</v>
      </c>
      <c r="J858" t="s">
        <v>126</v>
      </c>
      <c r="K858" t="s">
        <v>54</v>
      </c>
      <c r="L858" t="s">
        <v>55</v>
      </c>
      <c r="O858" t="s">
        <v>56</v>
      </c>
      <c r="P858" t="s">
        <v>57</v>
      </c>
      <c r="Q858" s="6">
        <v>31018.14</v>
      </c>
    </row>
    <row r="859" spans="1:17">
      <c r="A859" t="s">
        <v>1828</v>
      </c>
      <c r="B859" s="5">
        <v>46200</v>
      </c>
      <c r="C859" t="s">
        <v>1829</v>
      </c>
      <c r="D859" t="s">
        <v>17</v>
      </c>
      <c r="E859" t="s">
        <v>2</v>
      </c>
      <c r="F859" t="s">
        <v>50</v>
      </c>
      <c r="G859" t="s">
        <v>51</v>
      </c>
      <c r="H859" s="6">
        <v>84.39</v>
      </c>
      <c r="I859" t="s">
        <v>52</v>
      </c>
      <c r="J859" t="s">
        <v>65</v>
      </c>
      <c r="K859" t="s">
        <v>54</v>
      </c>
      <c r="L859" t="s">
        <v>55</v>
      </c>
      <c r="O859" t="s">
        <v>66</v>
      </c>
      <c r="P859" t="s">
        <v>67</v>
      </c>
      <c r="Q859" s="6">
        <v>30831.83</v>
      </c>
    </row>
    <row r="860" spans="1:17">
      <c r="A860" t="s">
        <v>1830</v>
      </c>
      <c r="B860" s="5">
        <v>46200</v>
      </c>
      <c r="C860" t="s">
        <v>1831</v>
      </c>
      <c r="D860" t="s">
        <v>17</v>
      </c>
      <c r="E860" t="s">
        <v>2</v>
      </c>
      <c r="F860" t="s">
        <v>50</v>
      </c>
      <c r="G860" t="s">
        <v>51</v>
      </c>
      <c r="H860" s="6">
        <v>13.7</v>
      </c>
      <c r="I860" t="s">
        <v>52</v>
      </c>
      <c r="J860" t="s">
        <v>53</v>
      </c>
      <c r="K860" t="s">
        <v>54</v>
      </c>
      <c r="L860" t="s">
        <v>55</v>
      </c>
      <c r="O860" t="s">
        <v>56</v>
      </c>
      <c r="P860" t="s">
        <v>57</v>
      </c>
      <c r="Q860" s="6">
        <v>30528.51</v>
      </c>
    </row>
    <row r="861" spans="1:17">
      <c r="A861" t="s">
        <v>1832</v>
      </c>
      <c r="B861" s="5">
        <v>46200</v>
      </c>
      <c r="C861" t="s">
        <v>1833</v>
      </c>
      <c r="D861" t="s">
        <v>17</v>
      </c>
      <c r="E861" t="s">
        <v>2</v>
      </c>
      <c r="F861" t="s">
        <v>50</v>
      </c>
      <c r="G861" t="s">
        <v>51</v>
      </c>
      <c r="H861" s="6">
        <v>103.12</v>
      </c>
      <c r="I861" t="s">
        <v>52</v>
      </c>
      <c r="J861" t="s">
        <v>65</v>
      </c>
      <c r="K861" t="s">
        <v>54</v>
      </c>
      <c r="L861" t="s">
        <v>55</v>
      </c>
      <c r="O861" t="s">
        <v>66</v>
      </c>
      <c r="P861" t="s">
        <v>67</v>
      </c>
      <c r="Q861" s="6">
        <v>30728.71</v>
      </c>
    </row>
    <row r="862" spans="1:17">
      <c r="A862" t="s">
        <v>1834</v>
      </c>
      <c r="B862" s="5">
        <v>46200</v>
      </c>
      <c r="C862" t="s">
        <v>1835</v>
      </c>
      <c r="D862" t="s">
        <v>17</v>
      </c>
      <c r="E862" t="s">
        <v>2</v>
      </c>
      <c r="F862" t="s">
        <v>50</v>
      </c>
      <c r="G862" t="s">
        <v>51</v>
      </c>
      <c r="H862" s="6">
        <v>47.34</v>
      </c>
      <c r="I862" t="s">
        <v>52</v>
      </c>
      <c r="J862" t="s">
        <v>126</v>
      </c>
      <c r="K862" t="s">
        <v>54</v>
      </c>
      <c r="L862" t="s">
        <v>55</v>
      </c>
      <c r="O862" t="s">
        <v>56</v>
      </c>
      <c r="P862" t="s">
        <v>57</v>
      </c>
      <c r="Q862" s="6">
        <v>30681.37</v>
      </c>
    </row>
    <row r="863" spans="1:17">
      <c r="A863" t="s">
        <v>1836</v>
      </c>
      <c r="B863" s="5">
        <v>46200</v>
      </c>
      <c r="C863" t="s">
        <v>1837</v>
      </c>
      <c r="D863" t="s">
        <v>17</v>
      </c>
      <c r="E863" t="s">
        <v>2</v>
      </c>
      <c r="F863" t="s">
        <v>50</v>
      </c>
      <c r="G863" t="s">
        <v>51</v>
      </c>
      <c r="H863" s="6">
        <v>105.71</v>
      </c>
      <c r="I863" t="s">
        <v>52</v>
      </c>
      <c r="J863" t="s">
        <v>65</v>
      </c>
      <c r="K863" t="s">
        <v>54</v>
      </c>
      <c r="L863" t="s">
        <v>55</v>
      </c>
      <c r="O863" t="s">
        <v>66</v>
      </c>
      <c r="P863" t="s">
        <v>67</v>
      </c>
      <c r="Q863" s="6">
        <v>30575.66</v>
      </c>
    </row>
    <row r="864" spans="1:17">
      <c r="A864" t="s">
        <v>1838</v>
      </c>
      <c r="B864" s="5">
        <v>46200</v>
      </c>
      <c r="C864" t="s">
        <v>1839</v>
      </c>
      <c r="D864" t="s">
        <v>17</v>
      </c>
      <c r="E864" t="s">
        <v>2</v>
      </c>
      <c r="F864" t="s">
        <v>50</v>
      </c>
      <c r="G864" t="s">
        <v>51</v>
      </c>
      <c r="H864" s="6">
        <v>10.91</v>
      </c>
      <c r="I864" t="s">
        <v>52</v>
      </c>
      <c r="J864" t="s">
        <v>121</v>
      </c>
      <c r="K864" t="s">
        <v>54</v>
      </c>
      <c r="L864" t="s">
        <v>55</v>
      </c>
      <c r="O864" t="s">
        <v>122</v>
      </c>
      <c r="P864" t="s">
        <v>123</v>
      </c>
      <c r="Q864" s="6">
        <v>30517.599999999999</v>
      </c>
    </row>
    <row r="865" spans="1:17">
      <c r="A865" t="s">
        <v>1840</v>
      </c>
      <c r="B865" s="5">
        <v>46200</v>
      </c>
      <c r="C865" t="s">
        <v>1841</v>
      </c>
      <c r="D865" t="s">
        <v>17</v>
      </c>
      <c r="E865" t="s">
        <v>2</v>
      </c>
      <c r="F865" t="s">
        <v>50</v>
      </c>
      <c r="G865" t="s">
        <v>100</v>
      </c>
      <c r="H865" s="6">
        <v>22.97</v>
      </c>
      <c r="I865" t="s">
        <v>52</v>
      </c>
      <c r="J865" t="s">
        <v>114</v>
      </c>
      <c r="K865" t="s">
        <v>54</v>
      </c>
      <c r="L865" t="s">
        <v>102</v>
      </c>
      <c r="O865" t="s">
        <v>103</v>
      </c>
      <c r="P865" t="s">
        <v>104</v>
      </c>
      <c r="Q865" s="6">
        <v>30542.21</v>
      </c>
    </row>
    <row r="866" spans="1:17">
      <c r="A866" t="s">
        <v>1842</v>
      </c>
      <c r="B866" s="5">
        <v>46200</v>
      </c>
      <c r="C866" t="s">
        <v>1843</v>
      </c>
      <c r="D866" t="s">
        <v>17</v>
      </c>
      <c r="E866" t="s">
        <v>2</v>
      </c>
      <c r="F866" t="s">
        <v>50</v>
      </c>
      <c r="G866" t="s">
        <v>100</v>
      </c>
      <c r="H866" s="6">
        <v>10.48</v>
      </c>
      <c r="I866" t="s">
        <v>52</v>
      </c>
      <c r="J866" t="s">
        <v>114</v>
      </c>
      <c r="K866" t="s">
        <v>54</v>
      </c>
      <c r="L866" t="s">
        <v>102</v>
      </c>
      <c r="O866" t="s">
        <v>103</v>
      </c>
      <c r="P866" t="s">
        <v>104</v>
      </c>
      <c r="Q866" s="6">
        <v>30565.18</v>
      </c>
    </row>
    <row r="867" spans="1:17">
      <c r="A867" t="s">
        <v>1844</v>
      </c>
      <c r="B867" s="5">
        <v>46200</v>
      </c>
      <c r="C867" t="s">
        <v>1845</v>
      </c>
      <c r="D867" t="s">
        <v>17</v>
      </c>
      <c r="E867" t="s">
        <v>2</v>
      </c>
      <c r="F867" t="s">
        <v>50</v>
      </c>
      <c r="G867" t="s">
        <v>72</v>
      </c>
      <c r="H867" s="6">
        <v>159.02000000000001</v>
      </c>
      <c r="I867" t="s">
        <v>52</v>
      </c>
      <c r="J867" t="s">
        <v>233</v>
      </c>
      <c r="K867" t="s">
        <v>54</v>
      </c>
      <c r="L867" t="s">
        <v>74</v>
      </c>
      <c r="O867" t="s">
        <v>75</v>
      </c>
      <c r="P867" t="s">
        <v>76</v>
      </c>
      <c r="Q867" s="6">
        <v>30358.58</v>
      </c>
    </row>
    <row r="868" spans="1:17">
      <c r="A868" t="s">
        <v>1846</v>
      </c>
      <c r="B868" s="5">
        <v>46201</v>
      </c>
      <c r="C868" t="s">
        <v>1847</v>
      </c>
      <c r="D868" t="s">
        <v>17</v>
      </c>
      <c r="E868" t="s">
        <v>2</v>
      </c>
      <c r="F868" t="s">
        <v>50</v>
      </c>
      <c r="G868" t="s">
        <v>51</v>
      </c>
      <c r="H868" s="6">
        <v>64.36</v>
      </c>
      <c r="I868" t="s">
        <v>52</v>
      </c>
      <c r="J868" t="s">
        <v>196</v>
      </c>
      <c r="K868" t="s">
        <v>54</v>
      </c>
      <c r="L868" t="s">
        <v>55</v>
      </c>
      <c r="O868" t="s">
        <v>197</v>
      </c>
      <c r="P868" t="s">
        <v>198</v>
      </c>
      <c r="Q868" s="6">
        <v>30273.14</v>
      </c>
    </row>
    <row r="869" spans="1:17">
      <c r="A869" t="s">
        <v>1848</v>
      </c>
      <c r="B869" s="5">
        <v>46201</v>
      </c>
      <c r="C869" t="s">
        <v>1849</v>
      </c>
      <c r="D869" t="s">
        <v>17</v>
      </c>
      <c r="E869" t="s">
        <v>2</v>
      </c>
      <c r="F869" t="s">
        <v>149</v>
      </c>
      <c r="G869" t="s">
        <v>321</v>
      </c>
      <c r="H869" s="6">
        <v>3132.52</v>
      </c>
      <c r="I869" t="s">
        <v>52</v>
      </c>
      <c r="J869" t="s">
        <v>9</v>
      </c>
      <c r="K869" t="s">
        <v>54</v>
      </c>
      <c r="L869" t="s">
        <v>102</v>
      </c>
      <c r="O869" t="s">
        <v>322</v>
      </c>
      <c r="P869" t="s">
        <v>323</v>
      </c>
      <c r="Q869" s="6">
        <v>38533.949999999997</v>
      </c>
    </row>
    <row r="870" spans="1:17">
      <c r="A870" t="s">
        <v>1850</v>
      </c>
      <c r="B870" s="5">
        <v>46201</v>
      </c>
      <c r="C870" t="s">
        <v>1851</v>
      </c>
      <c r="D870" t="s">
        <v>17</v>
      </c>
      <c r="E870" t="s">
        <v>2</v>
      </c>
      <c r="F870" t="s">
        <v>50</v>
      </c>
      <c r="G870" t="s">
        <v>100</v>
      </c>
      <c r="H870" s="6">
        <v>21.08</v>
      </c>
      <c r="I870" t="s">
        <v>52</v>
      </c>
      <c r="J870" t="s">
        <v>114</v>
      </c>
      <c r="K870" t="s">
        <v>54</v>
      </c>
      <c r="L870" t="s">
        <v>102</v>
      </c>
      <c r="O870" t="s">
        <v>103</v>
      </c>
      <c r="P870" t="s">
        <v>104</v>
      </c>
      <c r="Q870" s="6">
        <v>30337.5</v>
      </c>
    </row>
    <row r="871" spans="1:17">
      <c r="A871" t="s">
        <v>1852</v>
      </c>
      <c r="B871" s="5">
        <v>46201</v>
      </c>
      <c r="C871" t="s">
        <v>1853</v>
      </c>
      <c r="D871" t="s">
        <v>17</v>
      </c>
      <c r="E871" t="s">
        <v>2</v>
      </c>
      <c r="F871" t="s">
        <v>50</v>
      </c>
      <c r="G871" t="s">
        <v>51</v>
      </c>
      <c r="H871" s="6">
        <v>72.42</v>
      </c>
      <c r="I871" t="s">
        <v>52</v>
      </c>
      <c r="J871" t="s">
        <v>65</v>
      </c>
      <c r="K871" t="s">
        <v>54</v>
      </c>
      <c r="L871" t="s">
        <v>55</v>
      </c>
      <c r="O871" t="s">
        <v>66</v>
      </c>
      <c r="P871" t="s">
        <v>67</v>
      </c>
      <c r="Q871" s="6">
        <v>30154.22</v>
      </c>
    </row>
    <row r="872" spans="1:17">
      <c r="A872" t="s">
        <v>1854</v>
      </c>
      <c r="B872" s="5">
        <v>46201</v>
      </c>
      <c r="C872" t="s">
        <v>1855</v>
      </c>
      <c r="D872" t="s">
        <v>17</v>
      </c>
      <c r="E872" t="s">
        <v>2</v>
      </c>
      <c r="F872" t="s">
        <v>50</v>
      </c>
      <c r="G872" t="s">
        <v>51</v>
      </c>
      <c r="H872" s="6">
        <v>9.6</v>
      </c>
      <c r="I872" t="s">
        <v>52</v>
      </c>
      <c r="J872" t="s">
        <v>126</v>
      </c>
      <c r="K872" t="s">
        <v>54</v>
      </c>
      <c r="L872" t="s">
        <v>55</v>
      </c>
      <c r="O872" t="s">
        <v>56</v>
      </c>
      <c r="P872" t="s">
        <v>57</v>
      </c>
      <c r="Q872" s="6">
        <v>30140.54</v>
      </c>
    </row>
    <row r="873" spans="1:17">
      <c r="A873" t="s">
        <v>1856</v>
      </c>
      <c r="B873" s="5">
        <v>46201</v>
      </c>
      <c r="C873" t="s">
        <v>1857</v>
      </c>
      <c r="D873" t="s">
        <v>17</v>
      </c>
      <c r="E873" t="s">
        <v>2</v>
      </c>
      <c r="F873" t="s">
        <v>50</v>
      </c>
      <c r="G873" t="s">
        <v>51</v>
      </c>
      <c r="H873" s="6">
        <v>10.87</v>
      </c>
      <c r="I873" t="s">
        <v>52</v>
      </c>
      <c r="J873" t="s">
        <v>53</v>
      </c>
      <c r="K873" t="s">
        <v>54</v>
      </c>
      <c r="L873" t="s">
        <v>55</v>
      </c>
      <c r="O873" t="s">
        <v>56</v>
      </c>
      <c r="P873" t="s">
        <v>57</v>
      </c>
      <c r="Q873" s="6">
        <v>30129.67</v>
      </c>
    </row>
    <row r="874" spans="1:17">
      <c r="A874" t="s">
        <v>1858</v>
      </c>
      <c r="B874" s="5">
        <v>46201</v>
      </c>
      <c r="C874" t="s">
        <v>1859</v>
      </c>
      <c r="D874" t="s">
        <v>17</v>
      </c>
      <c r="E874" t="s">
        <v>2</v>
      </c>
      <c r="F874" t="s">
        <v>50</v>
      </c>
      <c r="G874" t="s">
        <v>51</v>
      </c>
      <c r="H874" s="6">
        <v>4.08</v>
      </c>
      <c r="I874" t="s">
        <v>52</v>
      </c>
      <c r="J874" t="s">
        <v>53</v>
      </c>
      <c r="K874" t="s">
        <v>54</v>
      </c>
      <c r="L874" t="s">
        <v>55</v>
      </c>
      <c r="O874" t="s">
        <v>56</v>
      </c>
      <c r="P874" t="s">
        <v>57</v>
      </c>
      <c r="Q874" s="6">
        <v>30150.14</v>
      </c>
    </row>
    <row r="875" spans="1:17">
      <c r="A875" t="s">
        <v>1860</v>
      </c>
      <c r="B875" s="5">
        <v>46201</v>
      </c>
      <c r="C875" t="s">
        <v>289</v>
      </c>
      <c r="D875" t="s">
        <v>17</v>
      </c>
      <c r="E875" t="s">
        <v>2</v>
      </c>
      <c r="F875" t="s">
        <v>50</v>
      </c>
      <c r="G875" t="s">
        <v>51</v>
      </c>
      <c r="H875" s="6">
        <v>46.5</v>
      </c>
      <c r="I875" t="s">
        <v>52</v>
      </c>
      <c r="J875" t="s">
        <v>126</v>
      </c>
      <c r="K875" t="s">
        <v>54</v>
      </c>
      <c r="L875" t="s">
        <v>55</v>
      </c>
      <c r="O875" t="s">
        <v>56</v>
      </c>
      <c r="P875" t="s">
        <v>57</v>
      </c>
      <c r="Q875" s="6">
        <v>30226.639999999999</v>
      </c>
    </row>
    <row r="876" spans="1:17">
      <c r="A876" t="s">
        <v>1861</v>
      </c>
      <c r="B876" s="5">
        <v>46202</v>
      </c>
      <c r="C876" t="s">
        <v>1862</v>
      </c>
      <c r="D876" t="s">
        <v>17</v>
      </c>
      <c r="E876" t="s">
        <v>2</v>
      </c>
      <c r="F876" t="s">
        <v>50</v>
      </c>
      <c r="G876" t="s">
        <v>100</v>
      </c>
      <c r="H876" s="6">
        <v>18.059999999999999</v>
      </c>
      <c r="I876" t="s">
        <v>52</v>
      </c>
      <c r="J876" t="s">
        <v>114</v>
      </c>
      <c r="K876" t="s">
        <v>54</v>
      </c>
      <c r="L876" t="s">
        <v>102</v>
      </c>
      <c r="O876" t="s">
        <v>103</v>
      </c>
      <c r="P876" t="s">
        <v>104</v>
      </c>
      <c r="Q876" s="6">
        <v>30100.59</v>
      </c>
    </row>
    <row r="877" spans="1:17">
      <c r="A877" t="s">
        <v>1863</v>
      </c>
      <c r="B877" s="5">
        <v>46202</v>
      </c>
      <c r="C877" t="s">
        <v>1864</v>
      </c>
      <c r="D877" t="s">
        <v>17</v>
      </c>
      <c r="E877" t="s">
        <v>2</v>
      </c>
      <c r="F877" t="s">
        <v>50</v>
      </c>
      <c r="G877" t="s">
        <v>51</v>
      </c>
      <c r="H877" s="6">
        <v>130.07</v>
      </c>
      <c r="I877" t="s">
        <v>52</v>
      </c>
      <c r="J877" t="s">
        <v>196</v>
      </c>
      <c r="K877" t="s">
        <v>54</v>
      </c>
      <c r="L877" t="s">
        <v>55</v>
      </c>
      <c r="O877" t="s">
        <v>197</v>
      </c>
      <c r="P877" t="s">
        <v>198</v>
      </c>
      <c r="Q877" s="6">
        <v>29970.52</v>
      </c>
    </row>
    <row r="878" spans="1:17">
      <c r="A878" t="s">
        <v>1865</v>
      </c>
      <c r="B878" s="5">
        <v>46202</v>
      </c>
      <c r="C878" t="s">
        <v>1866</v>
      </c>
      <c r="D878" t="s">
        <v>17</v>
      </c>
      <c r="E878" t="s">
        <v>2</v>
      </c>
      <c r="F878" t="s">
        <v>50</v>
      </c>
      <c r="G878" t="s">
        <v>51</v>
      </c>
      <c r="H878" s="6">
        <v>182.68</v>
      </c>
      <c r="I878" t="s">
        <v>52</v>
      </c>
      <c r="J878" t="s">
        <v>196</v>
      </c>
      <c r="K878" t="s">
        <v>54</v>
      </c>
      <c r="L878" t="s">
        <v>55</v>
      </c>
      <c r="O878" t="s">
        <v>197</v>
      </c>
      <c r="P878" t="s">
        <v>198</v>
      </c>
      <c r="Q878" s="6">
        <v>29574.12</v>
      </c>
    </row>
    <row r="879" spans="1:17">
      <c r="A879" t="s">
        <v>1867</v>
      </c>
      <c r="B879" s="5">
        <v>46202</v>
      </c>
      <c r="C879" t="s">
        <v>1868</v>
      </c>
      <c r="D879" t="s">
        <v>17</v>
      </c>
      <c r="E879" t="s">
        <v>2</v>
      </c>
      <c r="F879" t="s">
        <v>50</v>
      </c>
      <c r="G879" t="s">
        <v>51</v>
      </c>
      <c r="H879" s="6">
        <v>32.57</v>
      </c>
      <c r="I879" t="s">
        <v>52</v>
      </c>
      <c r="J879" t="s">
        <v>65</v>
      </c>
      <c r="K879" t="s">
        <v>54</v>
      </c>
      <c r="L879" t="s">
        <v>55</v>
      </c>
      <c r="O879" t="s">
        <v>66</v>
      </c>
      <c r="P879" t="s">
        <v>67</v>
      </c>
      <c r="Q879" s="6">
        <v>29756.799999999999</v>
      </c>
    </row>
    <row r="880" spans="1:17">
      <c r="A880" t="s">
        <v>1869</v>
      </c>
      <c r="B880" s="5">
        <v>46202</v>
      </c>
      <c r="C880" t="s">
        <v>1870</v>
      </c>
      <c r="D880" t="s">
        <v>17</v>
      </c>
      <c r="E880" t="s">
        <v>2</v>
      </c>
      <c r="F880" t="s">
        <v>50</v>
      </c>
      <c r="G880" t="s">
        <v>100</v>
      </c>
      <c r="H880" s="6">
        <v>11.02</v>
      </c>
      <c r="I880" t="s">
        <v>52</v>
      </c>
      <c r="J880" t="s">
        <v>114</v>
      </c>
      <c r="K880" t="s">
        <v>54</v>
      </c>
      <c r="L880" t="s">
        <v>102</v>
      </c>
      <c r="O880" t="s">
        <v>103</v>
      </c>
      <c r="P880" t="s">
        <v>104</v>
      </c>
      <c r="Q880" s="6">
        <v>30118.65</v>
      </c>
    </row>
    <row r="881" spans="1:17">
      <c r="A881" t="s">
        <v>1871</v>
      </c>
      <c r="B881" s="5">
        <v>46202</v>
      </c>
      <c r="C881" t="s">
        <v>1872</v>
      </c>
      <c r="D881" t="s">
        <v>17</v>
      </c>
      <c r="E881" t="s">
        <v>2</v>
      </c>
      <c r="F881" t="s">
        <v>50</v>
      </c>
      <c r="G881" t="s">
        <v>51</v>
      </c>
      <c r="H881" s="6">
        <v>181.15</v>
      </c>
      <c r="I881" t="s">
        <v>52</v>
      </c>
      <c r="J881" t="s">
        <v>196</v>
      </c>
      <c r="K881" t="s">
        <v>54</v>
      </c>
      <c r="L881" t="s">
        <v>55</v>
      </c>
      <c r="O881" t="s">
        <v>197</v>
      </c>
      <c r="P881" t="s">
        <v>198</v>
      </c>
      <c r="Q881" s="6">
        <v>29789.37</v>
      </c>
    </row>
    <row r="882" spans="1:17">
      <c r="A882" t="s">
        <v>1873</v>
      </c>
      <c r="B882" s="5">
        <v>46203</v>
      </c>
      <c r="C882" t="s">
        <v>1874</v>
      </c>
      <c r="D882" t="s">
        <v>17</v>
      </c>
      <c r="E882" t="s">
        <v>2</v>
      </c>
      <c r="F882" t="s">
        <v>50</v>
      </c>
      <c r="G882" t="s">
        <v>100</v>
      </c>
      <c r="H882" s="6">
        <v>20.86</v>
      </c>
      <c r="I882" t="s">
        <v>52</v>
      </c>
      <c r="J882" t="s">
        <v>114</v>
      </c>
      <c r="K882" t="s">
        <v>54</v>
      </c>
      <c r="L882" t="s">
        <v>102</v>
      </c>
      <c r="O882" t="s">
        <v>103</v>
      </c>
      <c r="P882" t="s">
        <v>104</v>
      </c>
      <c r="Q882" s="6">
        <v>29553.26</v>
      </c>
    </row>
    <row r="883" spans="1:17">
      <c r="A883" t="s">
        <v>1875</v>
      </c>
      <c r="B883" s="5">
        <v>46203</v>
      </c>
      <c r="C883" t="s">
        <v>1876</v>
      </c>
      <c r="D883" t="s">
        <v>17</v>
      </c>
      <c r="E883" t="s">
        <v>2</v>
      </c>
      <c r="F883" t="s">
        <v>50</v>
      </c>
      <c r="G883" t="s">
        <v>100</v>
      </c>
      <c r="H883" s="6">
        <v>10.11</v>
      </c>
      <c r="I883" t="s">
        <v>52</v>
      </c>
      <c r="J883" t="s">
        <v>114</v>
      </c>
      <c r="K883" t="s">
        <v>54</v>
      </c>
      <c r="L883" t="s">
        <v>102</v>
      </c>
      <c r="O883" t="s">
        <v>103</v>
      </c>
      <c r="P883" t="s">
        <v>104</v>
      </c>
      <c r="Q883" s="6">
        <v>29383.35</v>
      </c>
    </row>
    <row r="884" spans="1:17">
      <c r="A884" t="s">
        <v>1877</v>
      </c>
      <c r="B884" s="5">
        <v>46203</v>
      </c>
      <c r="C884" t="s">
        <v>1878</v>
      </c>
      <c r="D884" t="s">
        <v>17</v>
      </c>
      <c r="E884" t="s">
        <v>2</v>
      </c>
      <c r="F884" t="s">
        <v>50</v>
      </c>
      <c r="G884" t="s">
        <v>51</v>
      </c>
      <c r="H884" s="6">
        <v>69.41</v>
      </c>
      <c r="I884" t="s">
        <v>52</v>
      </c>
      <c r="J884" t="s">
        <v>60</v>
      </c>
      <c r="K884" t="s">
        <v>54</v>
      </c>
      <c r="L884" t="s">
        <v>55</v>
      </c>
      <c r="O884" t="s">
        <v>61</v>
      </c>
      <c r="P884" t="s">
        <v>62</v>
      </c>
      <c r="Q884" s="6">
        <v>29393.46</v>
      </c>
    </row>
    <row r="885" spans="1:17">
      <c r="A885" t="s">
        <v>1879</v>
      </c>
      <c r="B885" s="5">
        <v>46203</v>
      </c>
      <c r="C885" t="s">
        <v>1880</v>
      </c>
      <c r="D885" t="s">
        <v>17</v>
      </c>
      <c r="E885" t="s">
        <v>2</v>
      </c>
      <c r="F885" t="s">
        <v>50</v>
      </c>
      <c r="G885" t="s">
        <v>51</v>
      </c>
      <c r="H885" s="6">
        <v>55.65</v>
      </c>
      <c r="I885" t="s">
        <v>52</v>
      </c>
      <c r="J885" t="s">
        <v>65</v>
      </c>
      <c r="K885" t="s">
        <v>54</v>
      </c>
      <c r="L885" t="s">
        <v>55</v>
      </c>
      <c r="O885" t="s">
        <v>66</v>
      </c>
      <c r="P885" t="s">
        <v>67</v>
      </c>
      <c r="Q885" s="6">
        <v>29462.87</v>
      </c>
    </row>
    <row r="886" spans="1:17">
      <c r="A886" t="s">
        <v>1881</v>
      </c>
      <c r="B886" s="5">
        <v>46203</v>
      </c>
      <c r="C886" t="s">
        <v>1882</v>
      </c>
      <c r="D886" t="s">
        <v>17</v>
      </c>
      <c r="E886" t="s">
        <v>2</v>
      </c>
      <c r="F886" t="s">
        <v>50</v>
      </c>
      <c r="G886" t="s">
        <v>51</v>
      </c>
      <c r="H886" s="6">
        <v>107.72</v>
      </c>
      <c r="I886" t="s">
        <v>52</v>
      </c>
      <c r="J886" t="s">
        <v>196</v>
      </c>
      <c r="K886" t="s">
        <v>54</v>
      </c>
      <c r="L886" t="s">
        <v>55</v>
      </c>
      <c r="O886" t="s">
        <v>197</v>
      </c>
      <c r="P886" t="s">
        <v>198</v>
      </c>
      <c r="Q886" s="6">
        <v>29109.67</v>
      </c>
    </row>
    <row r="887" spans="1:17">
      <c r="A887" t="s">
        <v>1883</v>
      </c>
      <c r="B887" s="5">
        <v>46203</v>
      </c>
      <c r="C887" t="s">
        <v>1884</v>
      </c>
      <c r="D887" t="s">
        <v>17</v>
      </c>
      <c r="E887" t="s">
        <v>2</v>
      </c>
      <c r="F887" t="s">
        <v>50</v>
      </c>
      <c r="G887" t="s">
        <v>51</v>
      </c>
      <c r="H887" s="6">
        <v>165.96</v>
      </c>
      <c r="I887" t="s">
        <v>52</v>
      </c>
      <c r="J887" t="s">
        <v>196</v>
      </c>
      <c r="K887" t="s">
        <v>54</v>
      </c>
      <c r="L887" t="s">
        <v>55</v>
      </c>
      <c r="O887" t="s">
        <v>197</v>
      </c>
      <c r="P887" t="s">
        <v>198</v>
      </c>
      <c r="Q887" s="6">
        <v>29217.39</v>
      </c>
    </row>
    <row r="888" spans="1:17">
      <c r="A888" t="s">
        <v>1885</v>
      </c>
      <c r="B888" s="5">
        <v>46203</v>
      </c>
      <c r="C888" t="s">
        <v>1886</v>
      </c>
      <c r="D888" t="s">
        <v>17</v>
      </c>
      <c r="E888" t="s">
        <v>2</v>
      </c>
      <c r="F888" t="s">
        <v>50</v>
      </c>
      <c r="G888" t="s">
        <v>51</v>
      </c>
      <c r="H888" s="6">
        <v>34.74</v>
      </c>
      <c r="I888" t="s">
        <v>52</v>
      </c>
      <c r="J888" t="s">
        <v>81</v>
      </c>
      <c r="K888" t="s">
        <v>54</v>
      </c>
      <c r="L888" t="s">
        <v>55</v>
      </c>
      <c r="O888" t="s">
        <v>82</v>
      </c>
      <c r="P888" t="s">
        <v>83</v>
      </c>
      <c r="Q888" s="6">
        <v>29518.52</v>
      </c>
    </row>
    <row r="889" spans="1:17">
      <c r="A889" t="s">
        <v>1887</v>
      </c>
      <c r="B889" s="5">
        <v>46204</v>
      </c>
      <c r="C889" t="s">
        <v>1888</v>
      </c>
      <c r="D889" t="s">
        <v>17</v>
      </c>
      <c r="E889" t="s">
        <v>2</v>
      </c>
      <c r="F889" t="s">
        <v>50</v>
      </c>
      <c r="G889" t="s">
        <v>51</v>
      </c>
      <c r="H889" s="6">
        <v>11.23</v>
      </c>
      <c r="I889" t="s">
        <v>52</v>
      </c>
      <c r="J889" t="s">
        <v>121</v>
      </c>
      <c r="K889" t="s">
        <v>54</v>
      </c>
      <c r="L889" t="s">
        <v>55</v>
      </c>
      <c r="O889" t="s">
        <v>122</v>
      </c>
      <c r="P889" t="s">
        <v>123</v>
      </c>
      <c r="Q889" s="6">
        <v>28823.25</v>
      </c>
    </row>
    <row r="890" spans="1:17">
      <c r="A890" t="s">
        <v>1889</v>
      </c>
      <c r="B890" s="5">
        <v>46204</v>
      </c>
      <c r="C890" t="s">
        <v>1890</v>
      </c>
      <c r="D890" t="s">
        <v>17</v>
      </c>
      <c r="E890" t="s">
        <v>2</v>
      </c>
      <c r="F890" t="s">
        <v>50</v>
      </c>
      <c r="G890" t="s">
        <v>51</v>
      </c>
      <c r="H890" s="6">
        <v>107.01</v>
      </c>
      <c r="I890" t="s">
        <v>52</v>
      </c>
      <c r="J890" t="s">
        <v>65</v>
      </c>
      <c r="K890" t="s">
        <v>54</v>
      </c>
      <c r="L890" t="s">
        <v>55</v>
      </c>
      <c r="O890" t="s">
        <v>66</v>
      </c>
      <c r="P890" t="s">
        <v>67</v>
      </c>
      <c r="Q890" s="6">
        <v>28667.5</v>
      </c>
    </row>
    <row r="891" spans="1:17">
      <c r="A891" t="s">
        <v>1891</v>
      </c>
      <c r="B891" s="5">
        <v>46204</v>
      </c>
      <c r="C891" t="s">
        <v>1892</v>
      </c>
      <c r="D891" t="s">
        <v>17</v>
      </c>
      <c r="E891" t="s">
        <v>2</v>
      </c>
      <c r="F891" t="s">
        <v>50</v>
      </c>
      <c r="G891" t="s">
        <v>51</v>
      </c>
      <c r="H891" s="6">
        <v>48.74</v>
      </c>
      <c r="I891" t="s">
        <v>52</v>
      </c>
      <c r="J891" t="s">
        <v>60</v>
      </c>
      <c r="K891" t="s">
        <v>54</v>
      </c>
      <c r="L891" t="s">
        <v>55</v>
      </c>
      <c r="O891" t="s">
        <v>61</v>
      </c>
      <c r="P891" t="s">
        <v>62</v>
      </c>
      <c r="Q891" s="6">
        <v>28774.51</v>
      </c>
    </row>
    <row r="892" spans="1:17">
      <c r="A892" t="s">
        <v>1893</v>
      </c>
      <c r="B892" s="5">
        <v>46204</v>
      </c>
      <c r="C892" t="s">
        <v>1894</v>
      </c>
      <c r="D892" t="s">
        <v>17</v>
      </c>
      <c r="E892" t="s">
        <v>2</v>
      </c>
      <c r="F892" t="s">
        <v>50</v>
      </c>
      <c r="G892" t="s">
        <v>51</v>
      </c>
      <c r="H892" s="6">
        <v>24.71</v>
      </c>
      <c r="I892" t="s">
        <v>52</v>
      </c>
      <c r="J892" t="s">
        <v>60</v>
      </c>
      <c r="K892" t="s">
        <v>54</v>
      </c>
      <c r="L892" t="s">
        <v>55</v>
      </c>
      <c r="O892" t="s">
        <v>61</v>
      </c>
      <c r="P892" t="s">
        <v>62</v>
      </c>
      <c r="Q892" s="6">
        <v>29008.639999999999</v>
      </c>
    </row>
    <row r="893" spans="1:17">
      <c r="A893" t="s">
        <v>1895</v>
      </c>
      <c r="B893" s="5">
        <v>46204</v>
      </c>
      <c r="C893" t="s">
        <v>1896</v>
      </c>
      <c r="D893" t="s">
        <v>17</v>
      </c>
      <c r="E893" t="s">
        <v>2</v>
      </c>
      <c r="F893" t="s">
        <v>50</v>
      </c>
      <c r="G893" t="s">
        <v>51</v>
      </c>
      <c r="H893" s="6">
        <v>76.319999999999993</v>
      </c>
      <c r="I893" t="s">
        <v>52</v>
      </c>
      <c r="J893" t="s">
        <v>65</v>
      </c>
      <c r="K893" t="s">
        <v>54</v>
      </c>
      <c r="L893" t="s">
        <v>55</v>
      </c>
      <c r="O893" t="s">
        <v>66</v>
      </c>
      <c r="P893" t="s">
        <v>67</v>
      </c>
      <c r="Q893" s="6">
        <v>29033.35</v>
      </c>
    </row>
    <row r="894" spans="1:17">
      <c r="A894" t="s">
        <v>1897</v>
      </c>
      <c r="B894" s="5">
        <v>46204</v>
      </c>
      <c r="C894" t="s">
        <v>1898</v>
      </c>
      <c r="D894" t="s">
        <v>17</v>
      </c>
      <c r="E894" t="s">
        <v>2</v>
      </c>
      <c r="F894" t="s">
        <v>50</v>
      </c>
      <c r="G894" t="s">
        <v>51</v>
      </c>
      <c r="H894" s="6">
        <v>174.16</v>
      </c>
      <c r="I894" t="s">
        <v>52</v>
      </c>
      <c r="J894" t="s">
        <v>196</v>
      </c>
      <c r="K894" t="s">
        <v>54</v>
      </c>
      <c r="L894" t="s">
        <v>55</v>
      </c>
      <c r="O894" t="s">
        <v>197</v>
      </c>
      <c r="P894" t="s">
        <v>198</v>
      </c>
      <c r="Q894" s="6">
        <v>28834.48</v>
      </c>
    </row>
    <row r="895" spans="1:17">
      <c r="A895" t="s">
        <v>1899</v>
      </c>
      <c r="B895" s="5">
        <v>46205</v>
      </c>
      <c r="C895" t="s">
        <v>1900</v>
      </c>
      <c r="D895" t="s">
        <v>17</v>
      </c>
      <c r="E895" t="s">
        <v>2</v>
      </c>
      <c r="F895" t="s">
        <v>50</v>
      </c>
      <c r="G895" t="s">
        <v>100</v>
      </c>
      <c r="H895" s="6">
        <v>12.12</v>
      </c>
      <c r="I895" t="s">
        <v>52</v>
      </c>
      <c r="J895" t="s">
        <v>114</v>
      </c>
      <c r="K895" t="s">
        <v>54</v>
      </c>
      <c r="L895" t="s">
        <v>102</v>
      </c>
      <c r="O895" t="s">
        <v>103</v>
      </c>
      <c r="P895" t="s">
        <v>104</v>
      </c>
      <c r="Q895" s="6">
        <v>28509.48</v>
      </c>
    </row>
    <row r="896" spans="1:17">
      <c r="A896" t="s">
        <v>1901</v>
      </c>
      <c r="B896" s="5">
        <v>46205</v>
      </c>
      <c r="C896" t="s">
        <v>1902</v>
      </c>
      <c r="D896" t="s">
        <v>17</v>
      </c>
      <c r="E896" t="s">
        <v>2</v>
      </c>
      <c r="F896" t="s">
        <v>50</v>
      </c>
      <c r="G896" t="s">
        <v>51</v>
      </c>
      <c r="H896" s="6">
        <v>13.21</v>
      </c>
      <c r="I896" t="s">
        <v>52</v>
      </c>
      <c r="J896" t="s">
        <v>121</v>
      </c>
      <c r="K896" t="s">
        <v>54</v>
      </c>
      <c r="L896" t="s">
        <v>55</v>
      </c>
      <c r="O896" t="s">
        <v>122</v>
      </c>
      <c r="P896" t="s">
        <v>123</v>
      </c>
      <c r="Q896" s="6">
        <v>28496.27</v>
      </c>
    </row>
    <row r="897" spans="1:17">
      <c r="A897" t="s">
        <v>1903</v>
      </c>
      <c r="B897" s="5">
        <v>46205</v>
      </c>
      <c r="C897" t="s">
        <v>1904</v>
      </c>
      <c r="D897" t="s">
        <v>17</v>
      </c>
      <c r="E897" t="s">
        <v>2</v>
      </c>
      <c r="F897" t="s">
        <v>149</v>
      </c>
      <c r="G897" t="s">
        <v>72</v>
      </c>
      <c r="H897" s="6">
        <v>51.09</v>
      </c>
      <c r="I897" t="s">
        <v>52</v>
      </c>
      <c r="J897" t="s">
        <v>606</v>
      </c>
      <c r="K897" t="s">
        <v>54</v>
      </c>
      <c r="L897" t="s">
        <v>74</v>
      </c>
      <c r="O897" t="s">
        <v>75</v>
      </c>
      <c r="P897" t="s">
        <v>76</v>
      </c>
      <c r="Q897" s="6">
        <v>28528.35</v>
      </c>
    </row>
    <row r="898" spans="1:17">
      <c r="A898" t="s">
        <v>1905</v>
      </c>
      <c r="B898" s="5">
        <v>46205</v>
      </c>
      <c r="C898" t="s">
        <v>1906</v>
      </c>
      <c r="D898" t="s">
        <v>17</v>
      </c>
      <c r="E898" t="s">
        <v>2</v>
      </c>
      <c r="F898" t="s">
        <v>50</v>
      </c>
      <c r="G898" t="s">
        <v>51</v>
      </c>
      <c r="H898" s="6">
        <v>78.2</v>
      </c>
      <c r="I898" t="s">
        <v>52</v>
      </c>
      <c r="J898" t="s">
        <v>65</v>
      </c>
      <c r="K898" t="s">
        <v>54</v>
      </c>
      <c r="L898" t="s">
        <v>55</v>
      </c>
      <c r="O898" t="s">
        <v>66</v>
      </c>
      <c r="P898" t="s">
        <v>67</v>
      </c>
      <c r="Q898" s="6">
        <v>28553.22</v>
      </c>
    </row>
    <row r="899" spans="1:17">
      <c r="A899" t="s">
        <v>1907</v>
      </c>
      <c r="B899" s="5">
        <v>46205</v>
      </c>
      <c r="C899" t="s">
        <v>1908</v>
      </c>
      <c r="D899" t="s">
        <v>17</v>
      </c>
      <c r="E899" t="s">
        <v>2</v>
      </c>
      <c r="F899" t="s">
        <v>50</v>
      </c>
      <c r="G899" t="s">
        <v>100</v>
      </c>
      <c r="H899" s="6">
        <v>1850</v>
      </c>
      <c r="I899" t="s">
        <v>52</v>
      </c>
      <c r="J899" t="s">
        <v>107</v>
      </c>
      <c r="K899" t="s">
        <v>54</v>
      </c>
      <c r="L899" t="s">
        <v>102</v>
      </c>
      <c r="O899" t="s">
        <v>108</v>
      </c>
      <c r="P899" t="s">
        <v>109</v>
      </c>
      <c r="Q899" s="6">
        <v>40562.300000000003</v>
      </c>
    </row>
    <row r="900" spans="1:17">
      <c r="A900" t="s">
        <v>1909</v>
      </c>
      <c r="B900" s="5">
        <v>46205</v>
      </c>
      <c r="C900" t="s">
        <v>1910</v>
      </c>
      <c r="D900" t="s">
        <v>17</v>
      </c>
      <c r="E900" t="s">
        <v>2</v>
      </c>
      <c r="F900" t="s">
        <v>50</v>
      </c>
      <c r="G900" t="s">
        <v>51</v>
      </c>
      <c r="H900" s="6">
        <v>18.14</v>
      </c>
      <c r="I900" t="s">
        <v>52</v>
      </c>
      <c r="J900" t="s">
        <v>121</v>
      </c>
      <c r="K900" t="s">
        <v>54</v>
      </c>
      <c r="L900" t="s">
        <v>55</v>
      </c>
      <c r="O900" t="s">
        <v>122</v>
      </c>
      <c r="P900" t="s">
        <v>123</v>
      </c>
      <c r="Q900" s="6">
        <v>28535.08</v>
      </c>
    </row>
    <row r="901" spans="1:17">
      <c r="A901" t="s">
        <v>1911</v>
      </c>
      <c r="B901" s="5">
        <v>46205</v>
      </c>
      <c r="C901" t="s">
        <v>1912</v>
      </c>
      <c r="D901" t="s">
        <v>17</v>
      </c>
      <c r="E901" t="s">
        <v>2</v>
      </c>
      <c r="F901" t="s">
        <v>50</v>
      </c>
      <c r="G901" t="s">
        <v>51</v>
      </c>
      <c r="H901" s="6">
        <v>13.48</v>
      </c>
      <c r="I901" t="s">
        <v>52</v>
      </c>
      <c r="J901" t="s">
        <v>53</v>
      </c>
      <c r="K901" t="s">
        <v>54</v>
      </c>
      <c r="L901" t="s">
        <v>55</v>
      </c>
      <c r="O901" t="s">
        <v>56</v>
      </c>
      <c r="P901" t="s">
        <v>57</v>
      </c>
      <c r="Q901" s="6">
        <v>28521.599999999999</v>
      </c>
    </row>
    <row r="902" spans="1:17">
      <c r="A902" t="s">
        <v>1913</v>
      </c>
      <c r="B902" s="5">
        <v>46205</v>
      </c>
      <c r="C902" t="s">
        <v>1914</v>
      </c>
      <c r="D902" t="s">
        <v>17</v>
      </c>
      <c r="E902" t="s">
        <v>2</v>
      </c>
      <c r="F902" t="s">
        <v>50</v>
      </c>
      <c r="G902" t="s">
        <v>51</v>
      </c>
      <c r="H902" s="6">
        <v>36.08</v>
      </c>
      <c r="I902" t="s">
        <v>52</v>
      </c>
      <c r="J902" t="s">
        <v>60</v>
      </c>
      <c r="K902" t="s">
        <v>54</v>
      </c>
      <c r="L902" t="s">
        <v>55</v>
      </c>
      <c r="O902" t="s">
        <v>61</v>
      </c>
      <c r="P902" t="s">
        <v>62</v>
      </c>
      <c r="Q902" s="6">
        <v>28631.42</v>
      </c>
    </row>
    <row r="903" spans="1:17">
      <c r="A903" t="s">
        <v>1915</v>
      </c>
      <c r="B903" s="5">
        <v>46205</v>
      </c>
      <c r="C903" t="s">
        <v>1916</v>
      </c>
      <c r="D903" t="s">
        <v>17</v>
      </c>
      <c r="E903" t="s">
        <v>2</v>
      </c>
      <c r="F903" t="s">
        <v>50</v>
      </c>
      <c r="G903" t="s">
        <v>51</v>
      </c>
      <c r="H903" s="6">
        <v>19.010000000000002</v>
      </c>
      <c r="I903" t="s">
        <v>52</v>
      </c>
      <c r="J903" t="s">
        <v>81</v>
      </c>
      <c r="K903" t="s">
        <v>54</v>
      </c>
      <c r="L903" t="s">
        <v>55</v>
      </c>
      <c r="O903" t="s">
        <v>82</v>
      </c>
      <c r="P903" t="s">
        <v>83</v>
      </c>
      <c r="Q903" s="6">
        <v>28477.26</v>
      </c>
    </row>
    <row r="904" spans="1:17">
      <c r="A904" t="s">
        <v>1917</v>
      </c>
      <c r="B904" s="5">
        <v>46206</v>
      </c>
      <c r="C904" t="s">
        <v>1918</v>
      </c>
      <c r="D904" t="s">
        <v>17</v>
      </c>
      <c r="E904" t="s">
        <v>2</v>
      </c>
      <c r="F904" t="s">
        <v>50</v>
      </c>
      <c r="G904" t="s">
        <v>100</v>
      </c>
      <c r="H904" s="6">
        <v>16.920000000000002</v>
      </c>
      <c r="I904" t="s">
        <v>52</v>
      </c>
      <c r="J904" t="s">
        <v>114</v>
      </c>
      <c r="K904" t="s">
        <v>54</v>
      </c>
      <c r="L904" t="s">
        <v>102</v>
      </c>
      <c r="O904" t="s">
        <v>103</v>
      </c>
      <c r="P904" t="s">
        <v>104</v>
      </c>
      <c r="Q904" s="6">
        <v>28511.43</v>
      </c>
    </row>
    <row r="905" spans="1:17">
      <c r="A905" t="s">
        <v>1919</v>
      </c>
      <c r="B905" s="5">
        <v>46206</v>
      </c>
      <c r="C905" t="s">
        <v>1920</v>
      </c>
      <c r="D905" t="s">
        <v>17</v>
      </c>
      <c r="E905" t="s">
        <v>2</v>
      </c>
      <c r="F905" t="s">
        <v>50</v>
      </c>
      <c r="G905" t="s">
        <v>51</v>
      </c>
      <c r="H905" s="6">
        <v>29.81</v>
      </c>
      <c r="I905" t="s">
        <v>52</v>
      </c>
      <c r="J905" t="s">
        <v>196</v>
      </c>
      <c r="K905" t="s">
        <v>54</v>
      </c>
      <c r="L905" t="s">
        <v>55</v>
      </c>
      <c r="O905" t="s">
        <v>197</v>
      </c>
      <c r="P905" t="s">
        <v>198</v>
      </c>
      <c r="Q905" s="6">
        <v>28432.09</v>
      </c>
    </row>
    <row r="906" spans="1:17">
      <c r="A906" t="s">
        <v>1921</v>
      </c>
      <c r="B906" s="5">
        <v>46206</v>
      </c>
      <c r="C906" t="s">
        <v>1922</v>
      </c>
      <c r="D906" t="s">
        <v>17</v>
      </c>
      <c r="E906" t="s">
        <v>2</v>
      </c>
      <c r="F906" t="s">
        <v>50</v>
      </c>
      <c r="G906" t="s">
        <v>51</v>
      </c>
      <c r="H906" s="6">
        <v>34.53</v>
      </c>
      <c r="I906" t="s">
        <v>52</v>
      </c>
      <c r="J906" t="s">
        <v>60</v>
      </c>
      <c r="K906" t="s">
        <v>54</v>
      </c>
      <c r="L906" t="s">
        <v>55</v>
      </c>
      <c r="O906" t="s">
        <v>61</v>
      </c>
      <c r="P906" t="s">
        <v>62</v>
      </c>
      <c r="Q906" s="6">
        <v>28476.9</v>
      </c>
    </row>
    <row r="907" spans="1:17">
      <c r="A907" t="s">
        <v>1923</v>
      </c>
      <c r="B907" s="5">
        <v>46206</v>
      </c>
      <c r="C907" t="s">
        <v>1924</v>
      </c>
      <c r="D907" t="s">
        <v>17</v>
      </c>
      <c r="E907" t="s">
        <v>2</v>
      </c>
      <c r="F907" t="s">
        <v>50</v>
      </c>
      <c r="G907" t="s">
        <v>88</v>
      </c>
      <c r="H907" s="6">
        <v>60</v>
      </c>
      <c r="I907" t="s">
        <v>52</v>
      </c>
      <c r="J907" t="s">
        <v>89</v>
      </c>
      <c r="K907" t="s">
        <v>54</v>
      </c>
      <c r="L907" t="s">
        <v>90</v>
      </c>
      <c r="M907" t="s">
        <v>91</v>
      </c>
      <c r="N907" t="s">
        <v>12</v>
      </c>
      <c r="O907" t="s">
        <v>92</v>
      </c>
      <c r="P907" t="s">
        <v>93</v>
      </c>
      <c r="Q907" s="6">
        <v>28228.13</v>
      </c>
    </row>
    <row r="908" spans="1:17">
      <c r="A908" t="s">
        <v>1925</v>
      </c>
      <c r="B908" s="5">
        <v>46206</v>
      </c>
      <c r="C908" t="s">
        <v>1926</v>
      </c>
      <c r="D908" t="s">
        <v>17</v>
      </c>
      <c r="E908" t="s">
        <v>2</v>
      </c>
      <c r="F908" t="s">
        <v>50</v>
      </c>
      <c r="G908" t="s">
        <v>72</v>
      </c>
      <c r="H908" s="6">
        <v>110.7</v>
      </c>
      <c r="I908" t="s">
        <v>52</v>
      </c>
      <c r="J908" t="s">
        <v>606</v>
      </c>
      <c r="K908" t="s">
        <v>54</v>
      </c>
      <c r="L908" t="s">
        <v>74</v>
      </c>
      <c r="O908" t="s">
        <v>75</v>
      </c>
      <c r="P908" t="s">
        <v>76</v>
      </c>
      <c r="Q908" s="6">
        <v>28288.13</v>
      </c>
    </row>
    <row r="909" spans="1:17">
      <c r="A909" t="s">
        <v>1927</v>
      </c>
      <c r="B909" s="5">
        <v>46206</v>
      </c>
      <c r="C909" t="s">
        <v>1928</v>
      </c>
      <c r="D909" t="s">
        <v>17</v>
      </c>
      <c r="E909" t="s">
        <v>2</v>
      </c>
      <c r="F909" t="s">
        <v>50</v>
      </c>
      <c r="G909" t="s">
        <v>51</v>
      </c>
      <c r="H909" s="6">
        <v>33.26</v>
      </c>
      <c r="I909" t="s">
        <v>52</v>
      </c>
      <c r="J909" t="s">
        <v>81</v>
      </c>
      <c r="K909" t="s">
        <v>54</v>
      </c>
      <c r="L909" t="s">
        <v>55</v>
      </c>
      <c r="O909" t="s">
        <v>82</v>
      </c>
      <c r="P909" t="s">
        <v>83</v>
      </c>
      <c r="Q909" s="6">
        <v>28398.83</v>
      </c>
    </row>
    <row r="910" spans="1:17">
      <c r="A910" t="s">
        <v>1929</v>
      </c>
      <c r="B910" s="5">
        <v>46206</v>
      </c>
      <c r="C910" t="s">
        <v>1930</v>
      </c>
      <c r="D910" t="s">
        <v>17</v>
      </c>
      <c r="E910" t="s">
        <v>2</v>
      </c>
      <c r="F910" t="s">
        <v>50</v>
      </c>
      <c r="G910" t="s">
        <v>100</v>
      </c>
      <c r="H910" s="6">
        <v>15</v>
      </c>
      <c r="I910" t="s">
        <v>52</v>
      </c>
      <c r="J910" t="s">
        <v>101</v>
      </c>
      <c r="K910" t="s">
        <v>54</v>
      </c>
      <c r="L910" t="s">
        <v>102</v>
      </c>
      <c r="O910" t="s">
        <v>103</v>
      </c>
      <c r="P910" t="s">
        <v>104</v>
      </c>
      <c r="Q910" s="6">
        <v>28461.9</v>
      </c>
    </row>
    <row r="911" spans="1:17">
      <c r="A911" t="s">
        <v>1931</v>
      </c>
      <c r="B911" s="5">
        <v>46207</v>
      </c>
      <c r="C911" t="s">
        <v>1932</v>
      </c>
      <c r="D911" t="s">
        <v>17</v>
      </c>
      <c r="E911" t="s">
        <v>2</v>
      </c>
      <c r="F911" t="s">
        <v>50</v>
      </c>
      <c r="G911" t="s">
        <v>51</v>
      </c>
      <c r="H911" s="6">
        <v>125.9</v>
      </c>
      <c r="I911" t="s">
        <v>52</v>
      </c>
      <c r="J911" t="s">
        <v>65</v>
      </c>
      <c r="K911" t="s">
        <v>54</v>
      </c>
      <c r="L911" t="s">
        <v>55</v>
      </c>
      <c r="O911" t="s">
        <v>66</v>
      </c>
      <c r="P911" t="s">
        <v>67</v>
      </c>
      <c r="Q911" s="6">
        <v>27899.05</v>
      </c>
    </row>
    <row r="912" spans="1:17">
      <c r="A912" t="s">
        <v>1933</v>
      </c>
      <c r="B912" s="5">
        <v>46207</v>
      </c>
      <c r="C912" t="s">
        <v>1934</v>
      </c>
      <c r="D912" t="s">
        <v>17</v>
      </c>
      <c r="E912" t="s">
        <v>2</v>
      </c>
      <c r="F912" t="s">
        <v>50</v>
      </c>
      <c r="G912" t="s">
        <v>51</v>
      </c>
      <c r="H912" s="6">
        <v>58.86</v>
      </c>
      <c r="I912" t="s">
        <v>52</v>
      </c>
      <c r="J912" t="s">
        <v>196</v>
      </c>
      <c r="K912" t="s">
        <v>54</v>
      </c>
      <c r="L912" t="s">
        <v>55</v>
      </c>
      <c r="O912" t="s">
        <v>197</v>
      </c>
      <c r="P912" t="s">
        <v>198</v>
      </c>
      <c r="Q912" s="6">
        <v>28024.95</v>
      </c>
    </row>
    <row r="913" spans="1:17">
      <c r="A913" t="s">
        <v>1935</v>
      </c>
      <c r="B913" s="5">
        <v>46207</v>
      </c>
      <c r="C913" t="s">
        <v>1936</v>
      </c>
      <c r="D913" t="s">
        <v>17</v>
      </c>
      <c r="E913" t="s">
        <v>2</v>
      </c>
      <c r="F913" t="s">
        <v>50</v>
      </c>
      <c r="G913" t="s">
        <v>51</v>
      </c>
      <c r="H913" s="6">
        <v>10.82</v>
      </c>
      <c r="I913" t="s">
        <v>52</v>
      </c>
      <c r="J913" t="s">
        <v>53</v>
      </c>
      <c r="K913" t="s">
        <v>54</v>
      </c>
      <c r="L913" t="s">
        <v>55</v>
      </c>
      <c r="O913" t="s">
        <v>56</v>
      </c>
      <c r="P913" t="s">
        <v>57</v>
      </c>
      <c r="Q913" s="6">
        <v>28147.9</v>
      </c>
    </row>
    <row r="914" spans="1:17">
      <c r="A914" t="s">
        <v>1937</v>
      </c>
      <c r="B914" s="5">
        <v>46207</v>
      </c>
      <c r="C914" t="s">
        <v>1938</v>
      </c>
      <c r="D914" t="s">
        <v>17</v>
      </c>
      <c r="E914" t="s">
        <v>2</v>
      </c>
      <c r="F914" t="s">
        <v>50</v>
      </c>
      <c r="G914" t="s">
        <v>51</v>
      </c>
      <c r="H914" s="6">
        <v>15.76</v>
      </c>
      <c r="I914" t="s">
        <v>52</v>
      </c>
      <c r="J914" t="s">
        <v>53</v>
      </c>
      <c r="K914" t="s">
        <v>54</v>
      </c>
      <c r="L914" t="s">
        <v>55</v>
      </c>
      <c r="O914" t="s">
        <v>56</v>
      </c>
      <c r="P914" t="s">
        <v>57</v>
      </c>
      <c r="Q914" s="6">
        <v>28212.37</v>
      </c>
    </row>
    <row r="915" spans="1:17">
      <c r="A915" t="s">
        <v>1939</v>
      </c>
      <c r="B915" s="5">
        <v>46207</v>
      </c>
      <c r="C915" t="s">
        <v>1940</v>
      </c>
      <c r="D915" t="s">
        <v>17</v>
      </c>
      <c r="E915" t="s">
        <v>2</v>
      </c>
      <c r="F915" t="s">
        <v>50</v>
      </c>
      <c r="G915" t="s">
        <v>51</v>
      </c>
      <c r="H915" s="6">
        <v>64.09</v>
      </c>
      <c r="I915" t="s">
        <v>52</v>
      </c>
      <c r="J915" t="s">
        <v>60</v>
      </c>
      <c r="K915" t="s">
        <v>54</v>
      </c>
      <c r="L915" t="s">
        <v>55</v>
      </c>
      <c r="O915" t="s">
        <v>61</v>
      </c>
      <c r="P915" t="s">
        <v>62</v>
      </c>
      <c r="Q915" s="6">
        <v>28083.81</v>
      </c>
    </row>
    <row r="916" spans="1:17">
      <c r="A916" t="s">
        <v>1941</v>
      </c>
      <c r="B916" s="5">
        <v>46207</v>
      </c>
      <c r="C916" t="s">
        <v>1942</v>
      </c>
      <c r="D916" t="s">
        <v>17</v>
      </c>
      <c r="E916" t="s">
        <v>2</v>
      </c>
      <c r="F916" t="s">
        <v>50</v>
      </c>
      <c r="G916" t="s">
        <v>51</v>
      </c>
      <c r="H916" s="6">
        <v>17.61</v>
      </c>
      <c r="I916" t="s">
        <v>52</v>
      </c>
      <c r="J916" t="s">
        <v>121</v>
      </c>
      <c r="K916" t="s">
        <v>54</v>
      </c>
      <c r="L916" t="s">
        <v>55</v>
      </c>
      <c r="O916" t="s">
        <v>122</v>
      </c>
      <c r="P916" t="s">
        <v>123</v>
      </c>
      <c r="Q916" s="6">
        <v>27881.439999999999</v>
      </c>
    </row>
    <row r="917" spans="1:17">
      <c r="A917" t="s">
        <v>1943</v>
      </c>
      <c r="B917" s="5">
        <v>46207</v>
      </c>
      <c r="C917" t="s">
        <v>1944</v>
      </c>
      <c r="D917" t="s">
        <v>17</v>
      </c>
      <c r="E917" t="s">
        <v>2</v>
      </c>
      <c r="F917" t="s">
        <v>50</v>
      </c>
      <c r="G917" t="s">
        <v>72</v>
      </c>
      <c r="H917" s="6">
        <v>143.54</v>
      </c>
      <c r="I917" t="s">
        <v>52</v>
      </c>
      <c r="J917" t="s">
        <v>73</v>
      </c>
      <c r="K917" t="s">
        <v>54</v>
      </c>
      <c r="L917" t="s">
        <v>74</v>
      </c>
      <c r="O917" t="s">
        <v>75</v>
      </c>
      <c r="P917" t="s">
        <v>76</v>
      </c>
      <c r="Q917" s="6">
        <v>27723.99</v>
      </c>
    </row>
    <row r="918" spans="1:17">
      <c r="A918" t="s">
        <v>1945</v>
      </c>
      <c r="B918" s="5">
        <v>46207</v>
      </c>
      <c r="C918" t="s">
        <v>1946</v>
      </c>
      <c r="D918" t="s">
        <v>17</v>
      </c>
      <c r="E918" t="s">
        <v>2</v>
      </c>
      <c r="F918" t="s">
        <v>50</v>
      </c>
      <c r="G918" t="s">
        <v>51</v>
      </c>
      <c r="H918" s="6">
        <v>53.65</v>
      </c>
      <c r="I918" t="s">
        <v>52</v>
      </c>
      <c r="J918" t="s">
        <v>81</v>
      </c>
      <c r="K918" t="s">
        <v>54</v>
      </c>
      <c r="L918" t="s">
        <v>55</v>
      </c>
      <c r="O918" t="s">
        <v>82</v>
      </c>
      <c r="P918" t="s">
        <v>83</v>
      </c>
      <c r="Q918" s="6">
        <v>28158.720000000001</v>
      </c>
    </row>
    <row r="919" spans="1:17">
      <c r="A919" t="s">
        <v>1947</v>
      </c>
      <c r="B919" s="5">
        <v>46207</v>
      </c>
      <c r="C919" t="s">
        <v>1948</v>
      </c>
      <c r="D919" t="s">
        <v>17</v>
      </c>
      <c r="E919" t="s">
        <v>2</v>
      </c>
      <c r="F919" t="s">
        <v>50</v>
      </c>
      <c r="G919" t="s">
        <v>100</v>
      </c>
      <c r="H919" s="6">
        <v>13.91</v>
      </c>
      <c r="I919" t="s">
        <v>52</v>
      </c>
      <c r="J919" t="s">
        <v>114</v>
      </c>
      <c r="K919" t="s">
        <v>54</v>
      </c>
      <c r="L919" t="s">
        <v>102</v>
      </c>
      <c r="O919" t="s">
        <v>103</v>
      </c>
      <c r="P919" t="s">
        <v>104</v>
      </c>
      <c r="Q919" s="6">
        <v>27867.53</v>
      </c>
    </row>
    <row r="920" spans="1:17">
      <c r="A920" t="s">
        <v>1949</v>
      </c>
      <c r="B920" s="5">
        <v>46208</v>
      </c>
      <c r="C920" t="s">
        <v>1950</v>
      </c>
      <c r="D920" t="s">
        <v>17</v>
      </c>
      <c r="E920" t="s">
        <v>2</v>
      </c>
      <c r="F920" t="s">
        <v>50</v>
      </c>
      <c r="G920" t="s">
        <v>51</v>
      </c>
      <c r="H920" s="6">
        <v>9.91</v>
      </c>
      <c r="I920" t="s">
        <v>52</v>
      </c>
      <c r="J920" t="s">
        <v>121</v>
      </c>
      <c r="K920" t="s">
        <v>54</v>
      </c>
      <c r="L920" t="s">
        <v>55</v>
      </c>
      <c r="O920" t="s">
        <v>122</v>
      </c>
      <c r="P920" t="s">
        <v>123</v>
      </c>
      <c r="Q920" s="6">
        <v>27714.080000000002</v>
      </c>
    </row>
    <row r="921" spans="1:17">
      <c r="A921" t="s">
        <v>1951</v>
      </c>
      <c r="B921" s="5">
        <v>46208</v>
      </c>
      <c r="C921" t="s">
        <v>1952</v>
      </c>
      <c r="D921" t="s">
        <v>17</v>
      </c>
      <c r="E921" t="s">
        <v>2</v>
      </c>
      <c r="F921" t="s">
        <v>50</v>
      </c>
      <c r="G921" t="s">
        <v>100</v>
      </c>
      <c r="H921" s="6">
        <v>15</v>
      </c>
      <c r="I921" t="s">
        <v>52</v>
      </c>
      <c r="J921" t="s">
        <v>101</v>
      </c>
      <c r="K921" t="s">
        <v>54</v>
      </c>
      <c r="L921" t="s">
        <v>102</v>
      </c>
      <c r="O921" t="s">
        <v>103</v>
      </c>
      <c r="P921" t="s">
        <v>104</v>
      </c>
      <c r="Q921" s="6">
        <v>27630.14</v>
      </c>
    </row>
    <row r="922" spans="1:17">
      <c r="A922" t="s">
        <v>1953</v>
      </c>
      <c r="B922" s="5">
        <v>46208</v>
      </c>
      <c r="C922" t="s">
        <v>1954</v>
      </c>
      <c r="D922" t="s">
        <v>17</v>
      </c>
      <c r="E922" t="s">
        <v>2</v>
      </c>
      <c r="F922" t="s">
        <v>50</v>
      </c>
      <c r="G922" t="s">
        <v>51</v>
      </c>
      <c r="H922" s="6">
        <v>38.29</v>
      </c>
      <c r="I922" t="s">
        <v>52</v>
      </c>
      <c r="J922" t="s">
        <v>126</v>
      </c>
      <c r="K922" t="s">
        <v>54</v>
      </c>
      <c r="L922" t="s">
        <v>55</v>
      </c>
      <c r="O922" t="s">
        <v>56</v>
      </c>
      <c r="P922" t="s">
        <v>57</v>
      </c>
      <c r="Q922" s="6">
        <v>27675.79</v>
      </c>
    </row>
    <row r="923" spans="1:17">
      <c r="A923" t="s">
        <v>1955</v>
      </c>
      <c r="B923" s="5">
        <v>46208</v>
      </c>
      <c r="C923" t="s">
        <v>1956</v>
      </c>
      <c r="D923" t="s">
        <v>17</v>
      </c>
      <c r="E923" t="s">
        <v>2</v>
      </c>
      <c r="F923" t="s">
        <v>50</v>
      </c>
      <c r="G923" t="s">
        <v>51</v>
      </c>
      <c r="H923" s="6">
        <v>30.65</v>
      </c>
      <c r="I923" t="s">
        <v>52</v>
      </c>
      <c r="J923" t="s">
        <v>126</v>
      </c>
      <c r="K923" t="s">
        <v>54</v>
      </c>
      <c r="L923" t="s">
        <v>55</v>
      </c>
      <c r="O923" t="s">
        <v>56</v>
      </c>
      <c r="P923" t="s">
        <v>57</v>
      </c>
      <c r="Q923" s="6">
        <v>27645.14</v>
      </c>
    </row>
    <row r="924" spans="1:17">
      <c r="A924" t="s">
        <v>1957</v>
      </c>
      <c r="B924" s="5">
        <v>46208</v>
      </c>
      <c r="C924" t="s">
        <v>1958</v>
      </c>
      <c r="D924" t="s">
        <v>17</v>
      </c>
      <c r="E924" t="s">
        <v>2</v>
      </c>
      <c r="F924" t="s">
        <v>50</v>
      </c>
      <c r="G924" t="s">
        <v>100</v>
      </c>
      <c r="H924" s="6">
        <v>15</v>
      </c>
      <c r="I924" t="s">
        <v>52</v>
      </c>
      <c r="J924" t="s">
        <v>101</v>
      </c>
      <c r="K924" t="s">
        <v>54</v>
      </c>
      <c r="L924" t="s">
        <v>102</v>
      </c>
      <c r="O924" t="s">
        <v>103</v>
      </c>
      <c r="P924" t="s">
        <v>104</v>
      </c>
      <c r="Q924" s="6">
        <v>27615.14</v>
      </c>
    </row>
    <row r="925" spans="1:17">
      <c r="A925" t="s">
        <v>1959</v>
      </c>
      <c r="B925" s="5">
        <v>46208</v>
      </c>
      <c r="C925" t="s">
        <v>1960</v>
      </c>
      <c r="D925" t="s">
        <v>17</v>
      </c>
      <c r="E925" t="s">
        <v>2</v>
      </c>
      <c r="F925" t="s">
        <v>50</v>
      </c>
      <c r="G925" t="s">
        <v>100</v>
      </c>
      <c r="H925" s="6">
        <v>111.27</v>
      </c>
      <c r="I925" t="s">
        <v>52</v>
      </c>
      <c r="J925" t="s">
        <v>177</v>
      </c>
      <c r="K925" t="s">
        <v>54</v>
      </c>
      <c r="L925" t="s">
        <v>102</v>
      </c>
      <c r="O925" t="s">
        <v>178</v>
      </c>
      <c r="P925" t="s">
        <v>179</v>
      </c>
      <c r="Q925" s="6">
        <v>40451.03</v>
      </c>
    </row>
    <row r="926" spans="1:17">
      <c r="A926" t="s">
        <v>1961</v>
      </c>
      <c r="B926" s="5">
        <v>46208</v>
      </c>
      <c r="C926" t="s">
        <v>1962</v>
      </c>
      <c r="D926" t="s">
        <v>17</v>
      </c>
      <c r="E926" t="s">
        <v>2</v>
      </c>
      <c r="F926" t="s">
        <v>50</v>
      </c>
      <c r="G926" t="s">
        <v>72</v>
      </c>
      <c r="H926" s="6">
        <v>146.63</v>
      </c>
      <c r="I926" t="s">
        <v>52</v>
      </c>
      <c r="J926" t="s">
        <v>638</v>
      </c>
      <c r="K926" t="s">
        <v>54</v>
      </c>
      <c r="L926" t="s">
        <v>74</v>
      </c>
      <c r="O926" t="s">
        <v>75</v>
      </c>
      <c r="P926" t="s">
        <v>76</v>
      </c>
      <c r="Q926" s="6">
        <v>27468.51</v>
      </c>
    </row>
    <row r="927" spans="1:17">
      <c r="A927" t="s">
        <v>1963</v>
      </c>
      <c r="B927" s="5">
        <v>46209</v>
      </c>
      <c r="C927" t="s">
        <v>1964</v>
      </c>
      <c r="D927" t="s">
        <v>17</v>
      </c>
      <c r="E927" t="s">
        <v>2</v>
      </c>
      <c r="F927" t="s">
        <v>50</v>
      </c>
      <c r="G927" t="s">
        <v>72</v>
      </c>
      <c r="H927" s="6">
        <v>146.83000000000001</v>
      </c>
      <c r="I927" t="s">
        <v>52</v>
      </c>
      <c r="J927" t="s">
        <v>316</v>
      </c>
      <c r="K927" t="s">
        <v>54</v>
      </c>
      <c r="L927" t="s">
        <v>74</v>
      </c>
      <c r="O927" t="s">
        <v>75</v>
      </c>
      <c r="P927" t="s">
        <v>76</v>
      </c>
      <c r="Q927" s="6">
        <v>27116.13</v>
      </c>
    </row>
    <row r="928" spans="1:17">
      <c r="A928" t="s">
        <v>1965</v>
      </c>
      <c r="B928" s="5">
        <v>46209</v>
      </c>
      <c r="C928" t="s">
        <v>1966</v>
      </c>
      <c r="D928" t="s">
        <v>17</v>
      </c>
      <c r="E928" t="s">
        <v>2</v>
      </c>
      <c r="F928" t="s">
        <v>50</v>
      </c>
      <c r="G928" t="s">
        <v>51</v>
      </c>
      <c r="H928" s="6">
        <v>9.94</v>
      </c>
      <c r="I928" t="s">
        <v>52</v>
      </c>
      <c r="J928" t="s">
        <v>121</v>
      </c>
      <c r="K928" t="s">
        <v>54</v>
      </c>
      <c r="L928" t="s">
        <v>55</v>
      </c>
      <c r="O928" t="s">
        <v>122</v>
      </c>
      <c r="P928" t="s">
        <v>123</v>
      </c>
      <c r="Q928" s="6">
        <v>27284.44</v>
      </c>
    </row>
    <row r="929" spans="1:17">
      <c r="A929" t="s">
        <v>1967</v>
      </c>
      <c r="B929" s="5">
        <v>46209</v>
      </c>
      <c r="C929" t="s">
        <v>1968</v>
      </c>
      <c r="D929" t="s">
        <v>17</v>
      </c>
      <c r="E929" t="s">
        <v>2</v>
      </c>
      <c r="F929" t="s">
        <v>149</v>
      </c>
      <c r="G929" t="s">
        <v>1969</v>
      </c>
      <c r="H929" s="6">
        <v>9480</v>
      </c>
      <c r="I929" t="s">
        <v>52</v>
      </c>
      <c r="J929" t="s">
        <v>1969</v>
      </c>
      <c r="K929" t="s">
        <v>54</v>
      </c>
      <c r="L929" t="s">
        <v>1970</v>
      </c>
      <c r="M929" t="s">
        <v>91</v>
      </c>
      <c r="N929" t="s">
        <v>12</v>
      </c>
      <c r="O929" t="s">
        <v>92</v>
      </c>
      <c r="P929" t="s">
        <v>1971</v>
      </c>
      <c r="Q929" s="6">
        <v>47563.61</v>
      </c>
    </row>
    <row r="930" spans="1:17">
      <c r="A930" t="s">
        <v>1972</v>
      </c>
      <c r="B930" s="5">
        <v>46209</v>
      </c>
      <c r="C930" t="s">
        <v>1973</v>
      </c>
      <c r="D930" t="s">
        <v>17</v>
      </c>
      <c r="E930" t="s">
        <v>2</v>
      </c>
      <c r="F930" t="s">
        <v>50</v>
      </c>
      <c r="G930" t="s">
        <v>51</v>
      </c>
      <c r="H930" s="6">
        <v>12.1</v>
      </c>
      <c r="I930" t="s">
        <v>52</v>
      </c>
      <c r="J930" t="s">
        <v>53</v>
      </c>
      <c r="K930" t="s">
        <v>54</v>
      </c>
      <c r="L930" t="s">
        <v>55</v>
      </c>
      <c r="O930" t="s">
        <v>56</v>
      </c>
      <c r="P930" t="s">
        <v>57</v>
      </c>
      <c r="Q930" s="6">
        <v>27294.38</v>
      </c>
    </row>
    <row r="931" spans="1:17">
      <c r="A931" t="s">
        <v>1974</v>
      </c>
      <c r="B931" s="5">
        <v>46209</v>
      </c>
      <c r="C931" t="s">
        <v>1975</v>
      </c>
      <c r="D931" t="s">
        <v>17</v>
      </c>
      <c r="E931" t="s">
        <v>2</v>
      </c>
      <c r="F931" t="s">
        <v>50</v>
      </c>
      <c r="G931" t="s">
        <v>51</v>
      </c>
      <c r="H931" s="6">
        <v>21.48</v>
      </c>
      <c r="I931" t="s">
        <v>52</v>
      </c>
      <c r="J931" t="s">
        <v>121</v>
      </c>
      <c r="K931" t="s">
        <v>54</v>
      </c>
      <c r="L931" t="s">
        <v>55</v>
      </c>
      <c r="O931" t="s">
        <v>122</v>
      </c>
      <c r="P931" t="s">
        <v>123</v>
      </c>
      <c r="Q931" s="6">
        <v>27262.959999999999</v>
      </c>
    </row>
    <row r="932" spans="1:17">
      <c r="A932" t="s">
        <v>1976</v>
      </c>
      <c r="B932" s="5">
        <v>46209</v>
      </c>
      <c r="C932" t="s">
        <v>1977</v>
      </c>
      <c r="D932" t="s">
        <v>17</v>
      </c>
      <c r="E932" t="s">
        <v>2</v>
      </c>
      <c r="F932" t="s">
        <v>50</v>
      </c>
      <c r="G932" t="s">
        <v>100</v>
      </c>
      <c r="H932" s="6">
        <v>19.5</v>
      </c>
      <c r="I932" t="s">
        <v>52</v>
      </c>
      <c r="J932" t="s">
        <v>114</v>
      </c>
      <c r="K932" t="s">
        <v>54</v>
      </c>
      <c r="L932" t="s">
        <v>102</v>
      </c>
      <c r="O932" t="s">
        <v>103</v>
      </c>
      <c r="P932" t="s">
        <v>104</v>
      </c>
      <c r="Q932" s="6">
        <v>27306.48</v>
      </c>
    </row>
    <row r="933" spans="1:17">
      <c r="A933" t="s">
        <v>1978</v>
      </c>
      <c r="B933" s="5">
        <v>46209</v>
      </c>
      <c r="C933" t="s">
        <v>1979</v>
      </c>
      <c r="D933" t="s">
        <v>17</v>
      </c>
      <c r="E933" t="s">
        <v>2</v>
      </c>
      <c r="F933" t="s">
        <v>50</v>
      </c>
      <c r="G933" t="s">
        <v>51</v>
      </c>
      <c r="H933" s="6">
        <v>142.53</v>
      </c>
      <c r="I933" t="s">
        <v>52</v>
      </c>
      <c r="J933" t="s">
        <v>65</v>
      </c>
      <c r="K933" t="s">
        <v>54</v>
      </c>
      <c r="L933" t="s">
        <v>55</v>
      </c>
      <c r="O933" t="s">
        <v>66</v>
      </c>
      <c r="P933" t="s">
        <v>67</v>
      </c>
      <c r="Q933" s="6">
        <v>27325.98</v>
      </c>
    </row>
    <row r="934" spans="1:17">
      <c r="A934" t="s">
        <v>1980</v>
      </c>
      <c r="B934" s="5">
        <v>46210</v>
      </c>
      <c r="C934" t="s">
        <v>1981</v>
      </c>
      <c r="D934" t="s">
        <v>17</v>
      </c>
      <c r="E934" t="s">
        <v>2</v>
      </c>
      <c r="F934" t="s">
        <v>50</v>
      </c>
      <c r="G934" t="s">
        <v>51</v>
      </c>
      <c r="H934" s="6">
        <v>3.43</v>
      </c>
      <c r="I934" t="s">
        <v>52</v>
      </c>
      <c r="J934" t="s">
        <v>121</v>
      </c>
      <c r="K934" t="s">
        <v>54</v>
      </c>
      <c r="L934" t="s">
        <v>55</v>
      </c>
      <c r="O934" t="s">
        <v>122</v>
      </c>
      <c r="P934" t="s">
        <v>123</v>
      </c>
      <c r="Q934" s="6">
        <v>27039.279999999999</v>
      </c>
    </row>
    <row r="935" spans="1:17">
      <c r="A935" t="s">
        <v>1982</v>
      </c>
      <c r="B935" s="5">
        <v>46210</v>
      </c>
      <c r="C935" t="s">
        <v>1983</v>
      </c>
      <c r="D935" t="s">
        <v>17</v>
      </c>
      <c r="E935" t="s">
        <v>2</v>
      </c>
      <c r="F935" t="s">
        <v>50</v>
      </c>
      <c r="G935" t="s">
        <v>1816</v>
      </c>
      <c r="H935" s="6">
        <v>8200</v>
      </c>
      <c r="I935" t="s">
        <v>52</v>
      </c>
      <c r="J935" t="s">
        <v>1984</v>
      </c>
      <c r="K935" t="s">
        <v>1985</v>
      </c>
      <c r="L935" t="s">
        <v>1819</v>
      </c>
      <c r="O935" t="s">
        <v>1820</v>
      </c>
      <c r="P935" t="s">
        <v>1821</v>
      </c>
      <c r="Q935" s="6">
        <v>96963.61</v>
      </c>
    </row>
    <row r="936" spans="1:17">
      <c r="A936" t="s">
        <v>1986</v>
      </c>
      <c r="B936" s="5">
        <v>46210</v>
      </c>
      <c r="C936" t="s">
        <v>1987</v>
      </c>
      <c r="D936" t="s">
        <v>17</v>
      </c>
      <c r="E936" t="s">
        <v>2</v>
      </c>
      <c r="F936" t="s">
        <v>50</v>
      </c>
      <c r="G936" t="s">
        <v>51</v>
      </c>
      <c r="H936" s="6">
        <v>18.41</v>
      </c>
      <c r="I936" t="s">
        <v>52</v>
      </c>
      <c r="J936" t="s">
        <v>121</v>
      </c>
      <c r="K936" t="s">
        <v>54</v>
      </c>
      <c r="L936" t="s">
        <v>55</v>
      </c>
      <c r="O936" t="s">
        <v>122</v>
      </c>
      <c r="P936" t="s">
        <v>123</v>
      </c>
      <c r="Q936" s="6">
        <v>27057.71</v>
      </c>
    </row>
    <row r="937" spans="1:17">
      <c r="A937" t="s">
        <v>1988</v>
      </c>
      <c r="B937" s="5">
        <v>46210</v>
      </c>
      <c r="C937" t="s">
        <v>1989</v>
      </c>
      <c r="D937" t="s">
        <v>17</v>
      </c>
      <c r="E937" t="s">
        <v>2</v>
      </c>
      <c r="F937" t="s">
        <v>50</v>
      </c>
      <c r="G937" t="s">
        <v>51</v>
      </c>
      <c r="H937" s="6">
        <v>14.29</v>
      </c>
      <c r="I937" t="s">
        <v>52</v>
      </c>
      <c r="J937" t="s">
        <v>126</v>
      </c>
      <c r="K937" t="s">
        <v>54</v>
      </c>
      <c r="L937" t="s">
        <v>55</v>
      </c>
      <c r="O937" t="s">
        <v>56</v>
      </c>
      <c r="P937" t="s">
        <v>57</v>
      </c>
      <c r="Q937" s="6">
        <v>27076.12</v>
      </c>
    </row>
    <row r="938" spans="1:17">
      <c r="A938" t="s">
        <v>1990</v>
      </c>
      <c r="B938" s="5">
        <v>46210</v>
      </c>
      <c r="C938" t="s">
        <v>1991</v>
      </c>
      <c r="D938" t="s">
        <v>17</v>
      </c>
      <c r="E938" t="s">
        <v>2</v>
      </c>
      <c r="F938" t="s">
        <v>50</v>
      </c>
      <c r="G938" t="s">
        <v>88</v>
      </c>
      <c r="H938" s="6">
        <v>80</v>
      </c>
      <c r="I938" t="s">
        <v>52</v>
      </c>
      <c r="J938" t="s">
        <v>89</v>
      </c>
      <c r="K938" t="s">
        <v>54</v>
      </c>
      <c r="L938" t="s">
        <v>90</v>
      </c>
      <c r="M938" t="s">
        <v>91</v>
      </c>
      <c r="N938" t="s">
        <v>12</v>
      </c>
      <c r="O938" t="s">
        <v>92</v>
      </c>
      <c r="P938" t="s">
        <v>93</v>
      </c>
      <c r="Q938" s="6">
        <v>26945.89</v>
      </c>
    </row>
    <row r="939" spans="1:17">
      <c r="A939" t="s">
        <v>1992</v>
      </c>
      <c r="B939" s="5">
        <v>46210</v>
      </c>
      <c r="C939" t="s">
        <v>1993</v>
      </c>
      <c r="D939" t="s">
        <v>17</v>
      </c>
      <c r="E939" t="s">
        <v>2</v>
      </c>
      <c r="F939" t="s">
        <v>50</v>
      </c>
      <c r="G939" t="s">
        <v>100</v>
      </c>
      <c r="H939" s="6">
        <v>15</v>
      </c>
      <c r="I939" t="s">
        <v>52</v>
      </c>
      <c r="J939" t="s">
        <v>101</v>
      </c>
      <c r="K939" t="s">
        <v>54</v>
      </c>
      <c r="L939" t="s">
        <v>102</v>
      </c>
      <c r="O939" t="s">
        <v>103</v>
      </c>
      <c r="P939" t="s">
        <v>104</v>
      </c>
      <c r="Q939" s="6">
        <v>27042.71</v>
      </c>
    </row>
    <row r="940" spans="1:17">
      <c r="A940" t="s">
        <v>1994</v>
      </c>
      <c r="B940" s="5">
        <v>46210</v>
      </c>
      <c r="C940" t="s">
        <v>1995</v>
      </c>
      <c r="D940" t="s">
        <v>17</v>
      </c>
      <c r="E940" t="s">
        <v>2</v>
      </c>
      <c r="F940" t="s">
        <v>50</v>
      </c>
      <c r="G940" t="s">
        <v>51</v>
      </c>
      <c r="H940" s="6">
        <v>25.72</v>
      </c>
      <c r="I940" t="s">
        <v>52</v>
      </c>
      <c r="J940" t="s">
        <v>196</v>
      </c>
      <c r="K940" t="s">
        <v>54</v>
      </c>
      <c r="L940" t="s">
        <v>55</v>
      </c>
      <c r="O940" t="s">
        <v>197</v>
      </c>
      <c r="P940" t="s">
        <v>198</v>
      </c>
      <c r="Q940" s="6">
        <v>27090.41</v>
      </c>
    </row>
    <row r="941" spans="1:17">
      <c r="A941" t="s">
        <v>1996</v>
      </c>
      <c r="B941" s="5">
        <v>46210</v>
      </c>
      <c r="C941" t="s">
        <v>1997</v>
      </c>
      <c r="D941" t="s">
        <v>17</v>
      </c>
      <c r="E941" t="s">
        <v>2</v>
      </c>
      <c r="F941" t="s">
        <v>50</v>
      </c>
      <c r="G941" t="s">
        <v>51</v>
      </c>
      <c r="H941" s="6">
        <v>13.39</v>
      </c>
      <c r="I941" t="s">
        <v>52</v>
      </c>
      <c r="J941" t="s">
        <v>126</v>
      </c>
      <c r="K941" t="s">
        <v>54</v>
      </c>
      <c r="L941" t="s">
        <v>55</v>
      </c>
      <c r="O941" t="s">
        <v>56</v>
      </c>
      <c r="P941" t="s">
        <v>57</v>
      </c>
      <c r="Q941" s="6">
        <v>27025.89</v>
      </c>
    </row>
    <row r="942" spans="1:17">
      <c r="A942" t="s">
        <v>1998</v>
      </c>
      <c r="B942" s="5">
        <v>46211</v>
      </c>
      <c r="C942" t="s">
        <v>1999</v>
      </c>
      <c r="D942" t="s">
        <v>17</v>
      </c>
      <c r="E942" t="s">
        <v>2</v>
      </c>
      <c r="F942" t="s">
        <v>50</v>
      </c>
      <c r="G942" t="s">
        <v>100</v>
      </c>
      <c r="H942" s="6">
        <v>15</v>
      </c>
      <c r="I942" t="s">
        <v>52</v>
      </c>
      <c r="J942" t="s">
        <v>101</v>
      </c>
      <c r="K942" t="s">
        <v>54</v>
      </c>
      <c r="L942" t="s">
        <v>102</v>
      </c>
      <c r="O942" t="s">
        <v>103</v>
      </c>
      <c r="P942" t="s">
        <v>104</v>
      </c>
      <c r="Q942" s="6">
        <v>26913.63</v>
      </c>
    </row>
    <row r="943" spans="1:17">
      <c r="A943" t="s">
        <v>2000</v>
      </c>
      <c r="B943" s="5">
        <v>46211</v>
      </c>
      <c r="C943" t="s">
        <v>2001</v>
      </c>
      <c r="D943" t="s">
        <v>17</v>
      </c>
      <c r="E943" t="s">
        <v>2</v>
      </c>
      <c r="F943" t="s">
        <v>50</v>
      </c>
      <c r="G943" t="s">
        <v>51</v>
      </c>
      <c r="H943" s="6">
        <v>14.42</v>
      </c>
      <c r="I943" t="s">
        <v>52</v>
      </c>
      <c r="J943" t="s">
        <v>121</v>
      </c>
      <c r="K943" t="s">
        <v>54</v>
      </c>
      <c r="L943" t="s">
        <v>55</v>
      </c>
      <c r="O943" t="s">
        <v>122</v>
      </c>
      <c r="P943" t="s">
        <v>123</v>
      </c>
      <c r="Q943" s="6">
        <v>26899.21</v>
      </c>
    </row>
    <row r="944" spans="1:17">
      <c r="A944" t="s">
        <v>2002</v>
      </c>
      <c r="B944" s="5">
        <v>46211</v>
      </c>
      <c r="C944" t="s">
        <v>2003</v>
      </c>
      <c r="D944" t="s">
        <v>17</v>
      </c>
      <c r="E944" t="s">
        <v>2</v>
      </c>
      <c r="F944" t="s">
        <v>50</v>
      </c>
      <c r="G944" t="s">
        <v>51</v>
      </c>
      <c r="H944" s="6">
        <v>17.260000000000002</v>
      </c>
      <c r="I944" t="s">
        <v>52</v>
      </c>
      <c r="J944" t="s">
        <v>53</v>
      </c>
      <c r="K944" t="s">
        <v>54</v>
      </c>
      <c r="L944" t="s">
        <v>55</v>
      </c>
      <c r="O944" t="s">
        <v>56</v>
      </c>
      <c r="P944" t="s">
        <v>57</v>
      </c>
      <c r="Q944" s="6">
        <v>26928.63</v>
      </c>
    </row>
    <row r="945" spans="1:17">
      <c r="A945" t="s">
        <v>2004</v>
      </c>
      <c r="B945" s="5">
        <v>46211</v>
      </c>
      <c r="C945" t="s">
        <v>2005</v>
      </c>
      <c r="D945" t="s">
        <v>17</v>
      </c>
      <c r="E945" t="s">
        <v>2</v>
      </c>
      <c r="F945" t="s">
        <v>149</v>
      </c>
      <c r="G945" t="s">
        <v>1969</v>
      </c>
      <c r="H945" s="6">
        <v>9725</v>
      </c>
      <c r="I945" t="s">
        <v>52</v>
      </c>
      <c r="J945" t="s">
        <v>1969</v>
      </c>
      <c r="K945" t="s">
        <v>54</v>
      </c>
      <c r="L945" t="s">
        <v>1970</v>
      </c>
      <c r="M945" t="s">
        <v>2006</v>
      </c>
      <c r="N945" t="s">
        <v>12</v>
      </c>
      <c r="O945" t="s">
        <v>92</v>
      </c>
      <c r="P945" t="s">
        <v>1971</v>
      </c>
      <c r="Q945" s="6">
        <v>57288.61</v>
      </c>
    </row>
    <row r="946" spans="1:17">
      <c r="A946" t="s">
        <v>2007</v>
      </c>
      <c r="B946" s="5">
        <v>46211</v>
      </c>
      <c r="C946" t="s">
        <v>2008</v>
      </c>
      <c r="D946" t="s">
        <v>17</v>
      </c>
      <c r="E946" t="s">
        <v>2</v>
      </c>
      <c r="F946" t="s">
        <v>50</v>
      </c>
      <c r="G946" t="s">
        <v>100</v>
      </c>
      <c r="H946" s="6">
        <v>13.97</v>
      </c>
      <c r="I946" t="s">
        <v>52</v>
      </c>
      <c r="J946" t="s">
        <v>114</v>
      </c>
      <c r="K946" t="s">
        <v>54</v>
      </c>
      <c r="L946" t="s">
        <v>102</v>
      </c>
      <c r="O946" t="s">
        <v>103</v>
      </c>
      <c r="P946" t="s">
        <v>104</v>
      </c>
      <c r="Q946" s="6">
        <v>26885.24</v>
      </c>
    </row>
    <row r="947" spans="1:17">
      <c r="A947" t="s">
        <v>2009</v>
      </c>
      <c r="B947" s="5">
        <v>46211</v>
      </c>
      <c r="C947" t="s">
        <v>2010</v>
      </c>
      <c r="D947" t="s">
        <v>17</v>
      </c>
      <c r="E947" t="s">
        <v>2</v>
      </c>
      <c r="F947" t="s">
        <v>50</v>
      </c>
      <c r="G947" t="s">
        <v>51</v>
      </c>
      <c r="H947" s="6">
        <v>33.49</v>
      </c>
      <c r="I947" t="s">
        <v>52</v>
      </c>
      <c r="J947" t="s">
        <v>60</v>
      </c>
      <c r="K947" t="s">
        <v>54</v>
      </c>
      <c r="L947" t="s">
        <v>55</v>
      </c>
      <c r="O947" t="s">
        <v>61</v>
      </c>
      <c r="P947" t="s">
        <v>62</v>
      </c>
      <c r="Q947" s="6">
        <v>26851.75</v>
      </c>
    </row>
    <row r="948" spans="1:17">
      <c r="A948" t="s">
        <v>2011</v>
      </c>
      <c r="B948" s="5">
        <v>46211</v>
      </c>
      <c r="C948" t="s">
        <v>2012</v>
      </c>
      <c r="D948" t="s">
        <v>17</v>
      </c>
      <c r="E948" t="s">
        <v>2</v>
      </c>
      <c r="F948" t="s">
        <v>149</v>
      </c>
      <c r="G948" t="s">
        <v>72</v>
      </c>
      <c r="H948" s="6">
        <v>100.7</v>
      </c>
      <c r="I948" t="s">
        <v>52</v>
      </c>
      <c r="J948" t="s">
        <v>606</v>
      </c>
      <c r="K948" t="s">
        <v>54</v>
      </c>
      <c r="L948" t="s">
        <v>74</v>
      </c>
      <c r="O948" t="s">
        <v>75</v>
      </c>
      <c r="P948" t="s">
        <v>76</v>
      </c>
      <c r="Q948" s="6">
        <v>26952.45</v>
      </c>
    </row>
    <row r="949" spans="1:17">
      <c r="A949" t="s">
        <v>2013</v>
      </c>
      <c r="B949" s="5">
        <v>46212</v>
      </c>
      <c r="C949" t="s">
        <v>2014</v>
      </c>
      <c r="D949" t="s">
        <v>17</v>
      </c>
      <c r="E949" t="s">
        <v>2</v>
      </c>
      <c r="F949" t="s">
        <v>50</v>
      </c>
      <c r="G949" t="s">
        <v>51</v>
      </c>
      <c r="H949" s="6">
        <v>44.08</v>
      </c>
      <c r="I949" t="s">
        <v>52</v>
      </c>
      <c r="J949" t="s">
        <v>126</v>
      </c>
      <c r="K949" t="s">
        <v>54</v>
      </c>
      <c r="L949" t="s">
        <v>55</v>
      </c>
      <c r="O949" t="s">
        <v>56</v>
      </c>
      <c r="P949" t="s">
        <v>57</v>
      </c>
      <c r="Q949" s="6">
        <v>26875.82</v>
      </c>
    </row>
    <row r="950" spans="1:17">
      <c r="A950" t="s">
        <v>2015</v>
      </c>
      <c r="B950" s="5">
        <v>46212</v>
      </c>
      <c r="C950" t="s">
        <v>2016</v>
      </c>
      <c r="D950" t="s">
        <v>17</v>
      </c>
      <c r="E950" t="s">
        <v>2</v>
      </c>
      <c r="F950" t="s">
        <v>149</v>
      </c>
      <c r="G950" t="s">
        <v>1969</v>
      </c>
      <c r="H950" s="6">
        <v>9150</v>
      </c>
      <c r="I950" t="s">
        <v>52</v>
      </c>
      <c r="J950" t="s">
        <v>1969</v>
      </c>
      <c r="K950" t="s">
        <v>54</v>
      </c>
      <c r="L950" t="s">
        <v>1970</v>
      </c>
      <c r="M950" t="s">
        <v>2017</v>
      </c>
      <c r="N950" t="s">
        <v>12</v>
      </c>
      <c r="O950" t="s">
        <v>92</v>
      </c>
      <c r="P950" t="s">
        <v>1971</v>
      </c>
      <c r="Q950" s="6">
        <v>66438.61</v>
      </c>
    </row>
    <row r="951" spans="1:17">
      <c r="A951" t="s">
        <v>2018</v>
      </c>
      <c r="B951" s="5">
        <v>46212</v>
      </c>
      <c r="C951" t="s">
        <v>2019</v>
      </c>
      <c r="D951" t="s">
        <v>17</v>
      </c>
      <c r="E951" t="s">
        <v>2</v>
      </c>
      <c r="F951" t="s">
        <v>50</v>
      </c>
      <c r="G951" t="s">
        <v>100</v>
      </c>
      <c r="H951" s="6">
        <v>15</v>
      </c>
      <c r="I951" t="s">
        <v>52</v>
      </c>
      <c r="J951" t="s">
        <v>101</v>
      </c>
      <c r="K951" t="s">
        <v>54</v>
      </c>
      <c r="L951" t="s">
        <v>102</v>
      </c>
      <c r="O951" t="s">
        <v>103</v>
      </c>
      <c r="P951" t="s">
        <v>104</v>
      </c>
      <c r="Q951" s="6">
        <v>26937.45</v>
      </c>
    </row>
    <row r="952" spans="1:17">
      <c r="A952" t="s">
        <v>2020</v>
      </c>
      <c r="B952" s="5">
        <v>46212</v>
      </c>
      <c r="C952" t="s">
        <v>2021</v>
      </c>
      <c r="D952" t="s">
        <v>17</v>
      </c>
      <c r="E952" t="s">
        <v>2</v>
      </c>
      <c r="F952" t="s">
        <v>50</v>
      </c>
      <c r="G952" t="s">
        <v>100</v>
      </c>
      <c r="H952" s="6">
        <v>17.55</v>
      </c>
      <c r="I952" t="s">
        <v>52</v>
      </c>
      <c r="J952" t="s">
        <v>114</v>
      </c>
      <c r="K952" t="s">
        <v>54</v>
      </c>
      <c r="L952" t="s">
        <v>102</v>
      </c>
      <c r="O952" t="s">
        <v>103</v>
      </c>
      <c r="P952" t="s">
        <v>104</v>
      </c>
      <c r="Q952" s="6">
        <v>26919.9</v>
      </c>
    </row>
    <row r="953" spans="1:17">
      <c r="A953" t="s">
        <v>2022</v>
      </c>
      <c r="B953" s="5">
        <v>46212</v>
      </c>
      <c r="C953" t="s">
        <v>908</v>
      </c>
      <c r="D953" t="s">
        <v>17</v>
      </c>
      <c r="E953" t="s">
        <v>2</v>
      </c>
      <c r="F953" t="s">
        <v>50</v>
      </c>
      <c r="G953" t="s">
        <v>51</v>
      </c>
      <c r="H953" s="6">
        <v>9.66</v>
      </c>
      <c r="I953" t="s">
        <v>52</v>
      </c>
      <c r="J953" t="s">
        <v>121</v>
      </c>
      <c r="K953" t="s">
        <v>54</v>
      </c>
      <c r="L953" t="s">
        <v>55</v>
      </c>
      <c r="O953" t="s">
        <v>122</v>
      </c>
      <c r="P953" t="s">
        <v>123</v>
      </c>
      <c r="Q953" s="6">
        <v>26836.81</v>
      </c>
    </row>
    <row r="954" spans="1:17">
      <c r="A954" t="s">
        <v>2023</v>
      </c>
      <c r="B954" s="5">
        <v>46212</v>
      </c>
      <c r="C954" t="s">
        <v>2024</v>
      </c>
      <c r="D954" t="s">
        <v>17</v>
      </c>
      <c r="E954" t="s">
        <v>2</v>
      </c>
      <c r="F954" t="s">
        <v>50</v>
      </c>
      <c r="G954" t="s">
        <v>72</v>
      </c>
      <c r="H954" s="6">
        <v>157.44999999999999</v>
      </c>
      <c r="I954" t="s">
        <v>52</v>
      </c>
      <c r="J954" t="s">
        <v>316</v>
      </c>
      <c r="K954" t="s">
        <v>54</v>
      </c>
      <c r="L954" t="s">
        <v>74</v>
      </c>
      <c r="O954" t="s">
        <v>75</v>
      </c>
      <c r="P954" t="s">
        <v>76</v>
      </c>
      <c r="Q954" s="6">
        <v>26679.360000000001</v>
      </c>
    </row>
    <row r="955" spans="1:17">
      <c r="A955" t="s">
        <v>2025</v>
      </c>
      <c r="B955" s="5">
        <v>46212</v>
      </c>
      <c r="C955" t="s">
        <v>2026</v>
      </c>
      <c r="D955" t="s">
        <v>17</v>
      </c>
      <c r="E955" t="s">
        <v>2</v>
      </c>
      <c r="F955" t="s">
        <v>50</v>
      </c>
      <c r="G955" t="s">
        <v>51</v>
      </c>
      <c r="H955" s="6">
        <v>12.92</v>
      </c>
      <c r="I955" t="s">
        <v>52</v>
      </c>
      <c r="J955" t="s">
        <v>121</v>
      </c>
      <c r="K955" t="s">
        <v>54</v>
      </c>
      <c r="L955" t="s">
        <v>55</v>
      </c>
      <c r="O955" t="s">
        <v>122</v>
      </c>
      <c r="P955" t="s">
        <v>123</v>
      </c>
      <c r="Q955" s="6">
        <v>26862.9</v>
      </c>
    </row>
    <row r="956" spans="1:17">
      <c r="A956" t="s">
        <v>2027</v>
      </c>
      <c r="B956" s="5">
        <v>46212</v>
      </c>
      <c r="C956" t="s">
        <v>2028</v>
      </c>
      <c r="D956" t="s">
        <v>17</v>
      </c>
      <c r="E956" t="s">
        <v>2</v>
      </c>
      <c r="F956" t="s">
        <v>50</v>
      </c>
      <c r="G956" t="s">
        <v>100</v>
      </c>
      <c r="H956" s="6">
        <v>16.43</v>
      </c>
      <c r="I956" t="s">
        <v>52</v>
      </c>
      <c r="J956" t="s">
        <v>114</v>
      </c>
      <c r="K956" t="s">
        <v>54</v>
      </c>
      <c r="L956" t="s">
        <v>102</v>
      </c>
      <c r="O956" t="s">
        <v>103</v>
      </c>
      <c r="P956" t="s">
        <v>104</v>
      </c>
      <c r="Q956" s="6">
        <v>26846.47</v>
      </c>
    </row>
    <row r="957" spans="1:17">
      <c r="A957" t="s">
        <v>2029</v>
      </c>
      <c r="B957" s="5">
        <v>46213</v>
      </c>
      <c r="C957" t="s">
        <v>2030</v>
      </c>
      <c r="D957" t="s">
        <v>17</v>
      </c>
      <c r="E957" t="s">
        <v>2</v>
      </c>
      <c r="F957" t="s">
        <v>50</v>
      </c>
      <c r="G957" t="s">
        <v>51</v>
      </c>
      <c r="H957" s="6">
        <v>12.97</v>
      </c>
      <c r="I957" t="s">
        <v>52</v>
      </c>
      <c r="J957" t="s">
        <v>196</v>
      </c>
      <c r="K957" t="s">
        <v>54</v>
      </c>
      <c r="L957" t="s">
        <v>55</v>
      </c>
      <c r="O957" t="s">
        <v>197</v>
      </c>
      <c r="P957" t="s">
        <v>198</v>
      </c>
      <c r="Q957" s="6">
        <v>26666.39</v>
      </c>
    </row>
    <row r="958" spans="1:17">
      <c r="A958" t="s">
        <v>2031</v>
      </c>
      <c r="B958" s="5">
        <v>46213</v>
      </c>
      <c r="C958" t="s">
        <v>2032</v>
      </c>
      <c r="D958" t="s">
        <v>17</v>
      </c>
      <c r="E958" t="s">
        <v>2</v>
      </c>
      <c r="F958" t="s">
        <v>50</v>
      </c>
      <c r="G958" t="s">
        <v>51</v>
      </c>
      <c r="H958" s="6">
        <v>29.26</v>
      </c>
      <c r="I958" t="s">
        <v>52</v>
      </c>
      <c r="J958" t="s">
        <v>81</v>
      </c>
      <c r="K958" t="s">
        <v>54</v>
      </c>
      <c r="L958" t="s">
        <v>55</v>
      </c>
      <c r="O958" t="s">
        <v>82</v>
      </c>
      <c r="P958" t="s">
        <v>83</v>
      </c>
      <c r="Q958" s="6">
        <v>26589.14</v>
      </c>
    </row>
    <row r="959" spans="1:17">
      <c r="A959" t="s">
        <v>2033</v>
      </c>
      <c r="B959" s="5">
        <v>46213</v>
      </c>
      <c r="C959" t="s">
        <v>2034</v>
      </c>
      <c r="D959" t="s">
        <v>17</v>
      </c>
      <c r="E959" t="s">
        <v>2</v>
      </c>
      <c r="F959" t="s">
        <v>50</v>
      </c>
      <c r="G959" t="s">
        <v>72</v>
      </c>
      <c r="H959" s="6">
        <v>42.09</v>
      </c>
      <c r="I959" t="s">
        <v>52</v>
      </c>
      <c r="J959" t="s">
        <v>611</v>
      </c>
      <c r="K959" t="s">
        <v>54</v>
      </c>
      <c r="L959" t="s">
        <v>74</v>
      </c>
      <c r="O959" t="s">
        <v>75</v>
      </c>
      <c r="P959" t="s">
        <v>76</v>
      </c>
      <c r="Q959" s="6">
        <v>26489.69</v>
      </c>
    </row>
    <row r="960" spans="1:17">
      <c r="A960" t="s">
        <v>2035</v>
      </c>
      <c r="B960" s="5">
        <v>46213</v>
      </c>
      <c r="C960" t="s">
        <v>2036</v>
      </c>
      <c r="D960" t="s">
        <v>17</v>
      </c>
      <c r="E960" t="s">
        <v>2</v>
      </c>
      <c r="F960" t="s">
        <v>50</v>
      </c>
      <c r="G960" t="s">
        <v>1816</v>
      </c>
      <c r="H960" s="6">
        <v>7600</v>
      </c>
      <c r="I960" t="s">
        <v>52</v>
      </c>
      <c r="J960" t="s">
        <v>1984</v>
      </c>
      <c r="K960" t="s">
        <v>1985</v>
      </c>
      <c r="L960" t="s">
        <v>1819</v>
      </c>
      <c r="O960" t="s">
        <v>1820</v>
      </c>
      <c r="P960" t="s">
        <v>1821</v>
      </c>
      <c r="Q960" s="6">
        <v>89363.61</v>
      </c>
    </row>
    <row r="961" spans="1:17">
      <c r="A961" t="s">
        <v>2037</v>
      </c>
      <c r="B961" s="5">
        <v>46213</v>
      </c>
      <c r="C961" t="s">
        <v>2038</v>
      </c>
      <c r="D961" t="s">
        <v>17</v>
      </c>
      <c r="E961" t="s">
        <v>2</v>
      </c>
      <c r="F961" t="s">
        <v>50</v>
      </c>
      <c r="G961" t="s">
        <v>100</v>
      </c>
      <c r="H961" s="6">
        <v>18.32</v>
      </c>
      <c r="I961" t="s">
        <v>52</v>
      </c>
      <c r="J961" t="s">
        <v>114</v>
      </c>
      <c r="K961" t="s">
        <v>54</v>
      </c>
      <c r="L961" t="s">
        <v>102</v>
      </c>
      <c r="O961" t="s">
        <v>103</v>
      </c>
      <c r="P961" t="s">
        <v>104</v>
      </c>
      <c r="Q961" s="6">
        <v>26531.78</v>
      </c>
    </row>
    <row r="962" spans="1:17">
      <c r="A962" t="s">
        <v>2039</v>
      </c>
      <c r="B962" s="5">
        <v>46213</v>
      </c>
      <c r="C962" t="s">
        <v>2040</v>
      </c>
      <c r="D962" t="s">
        <v>17</v>
      </c>
      <c r="E962" t="s">
        <v>2</v>
      </c>
      <c r="F962" t="s">
        <v>50</v>
      </c>
      <c r="G962" t="s">
        <v>51</v>
      </c>
      <c r="H962" s="6">
        <v>47.99</v>
      </c>
      <c r="I962" t="s">
        <v>52</v>
      </c>
      <c r="J962" t="s">
        <v>60</v>
      </c>
      <c r="K962" t="s">
        <v>54</v>
      </c>
      <c r="L962" t="s">
        <v>55</v>
      </c>
      <c r="O962" t="s">
        <v>61</v>
      </c>
      <c r="P962" t="s">
        <v>62</v>
      </c>
      <c r="Q962" s="6">
        <v>26618.400000000001</v>
      </c>
    </row>
    <row r="963" spans="1:17">
      <c r="A963" t="s">
        <v>2041</v>
      </c>
      <c r="B963" s="5">
        <v>46213</v>
      </c>
      <c r="C963" t="s">
        <v>2042</v>
      </c>
      <c r="D963" t="s">
        <v>17</v>
      </c>
      <c r="E963" t="s">
        <v>2</v>
      </c>
      <c r="F963" t="s">
        <v>50</v>
      </c>
      <c r="G963" t="s">
        <v>51</v>
      </c>
      <c r="H963" s="6">
        <v>17.89</v>
      </c>
      <c r="I963" t="s">
        <v>52</v>
      </c>
      <c r="J963" t="s">
        <v>53</v>
      </c>
      <c r="K963" t="s">
        <v>54</v>
      </c>
      <c r="L963" t="s">
        <v>55</v>
      </c>
      <c r="O963" t="s">
        <v>56</v>
      </c>
      <c r="P963" t="s">
        <v>57</v>
      </c>
      <c r="Q963" s="6">
        <v>26563.59</v>
      </c>
    </row>
    <row r="964" spans="1:17">
      <c r="A964" t="s">
        <v>2043</v>
      </c>
      <c r="B964" s="5">
        <v>46213</v>
      </c>
      <c r="C964" t="s">
        <v>2044</v>
      </c>
      <c r="D964" t="s">
        <v>17</v>
      </c>
      <c r="E964" t="s">
        <v>2</v>
      </c>
      <c r="F964" t="s">
        <v>50</v>
      </c>
      <c r="G964" t="s">
        <v>51</v>
      </c>
      <c r="H964" s="6">
        <v>7.66</v>
      </c>
      <c r="I964" t="s">
        <v>52</v>
      </c>
      <c r="J964" t="s">
        <v>53</v>
      </c>
      <c r="K964" t="s">
        <v>54</v>
      </c>
      <c r="L964" t="s">
        <v>55</v>
      </c>
      <c r="O964" t="s">
        <v>56</v>
      </c>
      <c r="P964" t="s">
        <v>57</v>
      </c>
      <c r="Q964" s="6">
        <v>26581.48</v>
      </c>
    </row>
    <row r="965" spans="1:17">
      <c r="A965" t="s">
        <v>2045</v>
      </c>
      <c r="B965" s="5">
        <v>46213</v>
      </c>
      <c r="C965" t="s">
        <v>2046</v>
      </c>
      <c r="D965" t="s">
        <v>17</v>
      </c>
      <c r="E965" t="s">
        <v>2</v>
      </c>
      <c r="F965" t="s">
        <v>50</v>
      </c>
      <c r="G965" t="s">
        <v>51</v>
      </c>
      <c r="H965" s="6">
        <v>13.49</v>
      </c>
      <c r="I965" t="s">
        <v>52</v>
      </c>
      <c r="J965" t="s">
        <v>121</v>
      </c>
      <c r="K965" t="s">
        <v>54</v>
      </c>
      <c r="L965" t="s">
        <v>55</v>
      </c>
      <c r="O965" t="s">
        <v>122</v>
      </c>
      <c r="P965" t="s">
        <v>123</v>
      </c>
      <c r="Q965" s="6">
        <v>26550.1</v>
      </c>
    </row>
    <row r="966" spans="1:17">
      <c r="A966" t="s">
        <v>2047</v>
      </c>
      <c r="B966" s="5">
        <v>46214</v>
      </c>
      <c r="C966" t="s">
        <v>2048</v>
      </c>
      <c r="D966" t="s">
        <v>17</v>
      </c>
      <c r="E966" t="s">
        <v>2</v>
      </c>
      <c r="F966" t="s">
        <v>50</v>
      </c>
      <c r="G966" t="s">
        <v>100</v>
      </c>
      <c r="H966" s="6">
        <v>19.21</v>
      </c>
      <c r="I966" t="s">
        <v>52</v>
      </c>
      <c r="J966" t="s">
        <v>114</v>
      </c>
      <c r="K966" t="s">
        <v>54</v>
      </c>
      <c r="L966" t="s">
        <v>102</v>
      </c>
      <c r="O966" t="s">
        <v>103</v>
      </c>
      <c r="P966" t="s">
        <v>104</v>
      </c>
      <c r="Q966" s="6">
        <v>26437.759999999998</v>
      </c>
    </row>
    <row r="967" spans="1:17">
      <c r="A967" t="s">
        <v>2049</v>
      </c>
      <c r="B967" s="5">
        <v>46214</v>
      </c>
      <c r="C967" t="s">
        <v>2050</v>
      </c>
      <c r="D967" t="s">
        <v>17</v>
      </c>
      <c r="E967" t="s">
        <v>2</v>
      </c>
      <c r="F967" t="s">
        <v>50</v>
      </c>
      <c r="G967" t="s">
        <v>100</v>
      </c>
      <c r="H967" s="6">
        <v>14.3</v>
      </c>
      <c r="I967" t="s">
        <v>52</v>
      </c>
      <c r="J967" t="s">
        <v>114</v>
      </c>
      <c r="K967" t="s">
        <v>54</v>
      </c>
      <c r="L967" t="s">
        <v>102</v>
      </c>
      <c r="O967" t="s">
        <v>103</v>
      </c>
      <c r="P967" t="s">
        <v>104</v>
      </c>
      <c r="Q967" s="6">
        <v>26246.19</v>
      </c>
    </row>
    <row r="968" spans="1:17">
      <c r="A968" t="s">
        <v>2051</v>
      </c>
      <c r="B968" s="5">
        <v>46214</v>
      </c>
      <c r="C968" t="s">
        <v>2052</v>
      </c>
      <c r="D968" t="s">
        <v>17</v>
      </c>
      <c r="E968" t="s">
        <v>2</v>
      </c>
      <c r="F968" t="s">
        <v>50</v>
      </c>
      <c r="G968" t="s">
        <v>51</v>
      </c>
      <c r="H968" s="6">
        <v>120.15</v>
      </c>
      <c r="I968" t="s">
        <v>52</v>
      </c>
      <c r="J968" t="s">
        <v>65</v>
      </c>
      <c r="K968" t="s">
        <v>54</v>
      </c>
      <c r="L968" t="s">
        <v>55</v>
      </c>
      <c r="O968" t="s">
        <v>66</v>
      </c>
      <c r="P968" t="s">
        <v>67</v>
      </c>
      <c r="Q968" s="6">
        <v>26317.61</v>
      </c>
    </row>
    <row r="969" spans="1:17">
      <c r="A969" t="s">
        <v>2053</v>
      </c>
      <c r="B969" s="5">
        <v>46214</v>
      </c>
      <c r="C969" t="s">
        <v>2054</v>
      </c>
      <c r="D969" t="s">
        <v>17</v>
      </c>
      <c r="E969" t="s">
        <v>2</v>
      </c>
      <c r="F969" t="s">
        <v>50</v>
      </c>
      <c r="G969" t="s">
        <v>51</v>
      </c>
      <c r="H969" s="6">
        <v>4.67</v>
      </c>
      <c r="I969" t="s">
        <v>52</v>
      </c>
      <c r="J969" t="s">
        <v>121</v>
      </c>
      <c r="K969" t="s">
        <v>54</v>
      </c>
      <c r="L969" t="s">
        <v>55</v>
      </c>
      <c r="O969" t="s">
        <v>122</v>
      </c>
      <c r="P969" t="s">
        <v>123</v>
      </c>
      <c r="Q969" s="6">
        <v>26312.94</v>
      </c>
    </row>
    <row r="970" spans="1:17">
      <c r="A970" t="s">
        <v>2055</v>
      </c>
      <c r="B970" s="5">
        <v>46214</v>
      </c>
      <c r="C970" t="s">
        <v>2056</v>
      </c>
      <c r="D970" t="s">
        <v>17</v>
      </c>
      <c r="E970" t="s">
        <v>2</v>
      </c>
      <c r="F970" t="s">
        <v>149</v>
      </c>
      <c r="G970" t="s">
        <v>1969</v>
      </c>
      <c r="H970" s="6">
        <v>9890</v>
      </c>
      <c r="I970" t="s">
        <v>52</v>
      </c>
      <c r="J970" t="s">
        <v>1969</v>
      </c>
      <c r="K970" t="s">
        <v>54</v>
      </c>
      <c r="L970" t="s">
        <v>1970</v>
      </c>
      <c r="M970" t="s">
        <v>2057</v>
      </c>
      <c r="N970" t="s">
        <v>12</v>
      </c>
      <c r="O970" t="s">
        <v>92</v>
      </c>
      <c r="P970" t="s">
        <v>1971</v>
      </c>
      <c r="Q970" s="6">
        <v>76328.61</v>
      </c>
    </row>
    <row r="971" spans="1:17">
      <c r="A971" t="s">
        <v>2058</v>
      </c>
      <c r="B971" s="5">
        <v>46214</v>
      </c>
      <c r="C971" t="s">
        <v>2059</v>
      </c>
      <c r="D971" t="s">
        <v>17</v>
      </c>
      <c r="E971" t="s">
        <v>2</v>
      </c>
      <c r="F971" t="s">
        <v>50</v>
      </c>
      <c r="G971" t="s">
        <v>51</v>
      </c>
      <c r="H971" s="6">
        <v>32.72</v>
      </c>
      <c r="I971" t="s">
        <v>52</v>
      </c>
      <c r="J971" t="s">
        <v>60</v>
      </c>
      <c r="K971" t="s">
        <v>54</v>
      </c>
      <c r="L971" t="s">
        <v>55</v>
      </c>
      <c r="O971" t="s">
        <v>61</v>
      </c>
      <c r="P971" t="s">
        <v>62</v>
      </c>
      <c r="Q971" s="6">
        <v>26456.97</v>
      </c>
    </row>
    <row r="972" spans="1:17">
      <c r="A972" t="s">
        <v>2060</v>
      </c>
      <c r="B972" s="5">
        <v>46214</v>
      </c>
      <c r="C972" t="s">
        <v>2061</v>
      </c>
      <c r="D972" t="s">
        <v>17</v>
      </c>
      <c r="E972" t="s">
        <v>2</v>
      </c>
      <c r="F972" t="s">
        <v>50</v>
      </c>
      <c r="G972" t="s">
        <v>51</v>
      </c>
      <c r="H972" s="6">
        <v>52.45</v>
      </c>
      <c r="I972" t="s">
        <v>52</v>
      </c>
      <c r="J972" t="s">
        <v>60</v>
      </c>
      <c r="K972" t="s">
        <v>54</v>
      </c>
      <c r="L972" t="s">
        <v>55</v>
      </c>
      <c r="O972" t="s">
        <v>61</v>
      </c>
      <c r="P972" t="s">
        <v>62</v>
      </c>
      <c r="Q972" s="6">
        <v>26260.49</v>
      </c>
    </row>
    <row r="973" spans="1:17">
      <c r="A973" t="s">
        <v>2062</v>
      </c>
      <c r="B973" s="5">
        <v>46214</v>
      </c>
      <c r="C973" t="s">
        <v>2063</v>
      </c>
      <c r="D973" t="s">
        <v>17</v>
      </c>
      <c r="E973" t="s">
        <v>2</v>
      </c>
      <c r="F973" t="s">
        <v>50</v>
      </c>
      <c r="G973" t="s">
        <v>72</v>
      </c>
      <c r="H973" s="6">
        <v>52.27</v>
      </c>
      <c r="I973" t="s">
        <v>52</v>
      </c>
      <c r="J973" t="s">
        <v>73</v>
      </c>
      <c r="K973" t="s">
        <v>54</v>
      </c>
      <c r="L973" t="s">
        <v>74</v>
      </c>
      <c r="O973" t="s">
        <v>75</v>
      </c>
      <c r="P973" t="s">
        <v>76</v>
      </c>
      <c r="Q973" s="6">
        <v>26193.919999999998</v>
      </c>
    </row>
    <row r="974" spans="1:17">
      <c r="A974" t="s">
        <v>2064</v>
      </c>
      <c r="B974" s="5">
        <v>46214</v>
      </c>
      <c r="C974" t="s">
        <v>2065</v>
      </c>
      <c r="D974" t="s">
        <v>17</v>
      </c>
      <c r="E974" t="s">
        <v>2</v>
      </c>
      <c r="F974" t="s">
        <v>50</v>
      </c>
      <c r="G974" t="s">
        <v>88</v>
      </c>
      <c r="H974" s="6">
        <v>120</v>
      </c>
      <c r="I974" t="s">
        <v>52</v>
      </c>
      <c r="J974" t="s">
        <v>89</v>
      </c>
      <c r="K974" t="s">
        <v>54</v>
      </c>
      <c r="L974" t="s">
        <v>90</v>
      </c>
      <c r="M974" t="s">
        <v>91</v>
      </c>
      <c r="N974" t="s">
        <v>12</v>
      </c>
      <c r="O974" t="s">
        <v>92</v>
      </c>
      <c r="P974" t="s">
        <v>93</v>
      </c>
      <c r="Q974" s="6">
        <v>26073.919999999998</v>
      </c>
    </row>
    <row r="975" spans="1:17">
      <c r="A975" t="s">
        <v>2066</v>
      </c>
      <c r="B975" s="5">
        <v>46215</v>
      </c>
      <c r="C975" t="s">
        <v>2067</v>
      </c>
      <c r="D975" t="s">
        <v>17</v>
      </c>
      <c r="E975" t="s">
        <v>2</v>
      </c>
      <c r="F975" t="s">
        <v>50</v>
      </c>
      <c r="G975" t="s">
        <v>51</v>
      </c>
      <c r="H975" s="6">
        <v>141.91</v>
      </c>
      <c r="I975" t="s">
        <v>52</v>
      </c>
      <c r="J975" t="s">
        <v>65</v>
      </c>
      <c r="K975" t="s">
        <v>54</v>
      </c>
      <c r="L975" t="s">
        <v>55</v>
      </c>
      <c r="O975" t="s">
        <v>66</v>
      </c>
      <c r="P975" t="s">
        <v>67</v>
      </c>
      <c r="Q975" s="6">
        <v>25897.05</v>
      </c>
    </row>
    <row r="976" spans="1:17">
      <c r="A976" t="s">
        <v>2068</v>
      </c>
      <c r="B976" s="5">
        <v>46215</v>
      </c>
      <c r="C976" t="s">
        <v>2069</v>
      </c>
      <c r="D976" t="s">
        <v>17</v>
      </c>
      <c r="E976" t="s">
        <v>2</v>
      </c>
      <c r="F976" t="s">
        <v>50</v>
      </c>
      <c r="G976" t="s">
        <v>51</v>
      </c>
      <c r="H976" s="6">
        <v>104.16</v>
      </c>
      <c r="I976" t="s">
        <v>52</v>
      </c>
      <c r="J976" t="s">
        <v>196</v>
      </c>
      <c r="K976" t="s">
        <v>54</v>
      </c>
      <c r="L976" t="s">
        <v>55</v>
      </c>
      <c r="O976" t="s">
        <v>197</v>
      </c>
      <c r="P976" t="s">
        <v>198</v>
      </c>
      <c r="Q976" s="6">
        <v>25783.18</v>
      </c>
    </row>
    <row r="977" spans="1:17">
      <c r="A977" t="s">
        <v>2070</v>
      </c>
      <c r="B977" s="5">
        <v>46215</v>
      </c>
      <c r="C977" t="s">
        <v>2071</v>
      </c>
      <c r="D977" t="s">
        <v>17</v>
      </c>
      <c r="E977" t="s">
        <v>2</v>
      </c>
      <c r="F977" t="s">
        <v>50</v>
      </c>
      <c r="G977" t="s">
        <v>72</v>
      </c>
      <c r="H977" s="6">
        <v>85.14</v>
      </c>
      <c r="I977" t="s">
        <v>52</v>
      </c>
      <c r="J977" t="s">
        <v>150</v>
      </c>
      <c r="K977" t="s">
        <v>54</v>
      </c>
      <c r="L977" t="s">
        <v>74</v>
      </c>
      <c r="O977" t="s">
        <v>75</v>
      </c>
      <c r="P977" t="s">
        <v>76</v>
      </c>
      <c r="Q977" s="6">
        <v>25676.6</v>
      </c>
    </row>
    <row r="978" spans="1:17">
      <c r="A978" t="s">
        <v>2072</v>
      </c>
      <c r="B978" s="5">
        <v>46215</v>
      </c>
      <c r="C978" t="s">
        <v>2073</v>
      </c>
      <c r="D978" t="s">
        <v>17</v>
      </c>
      <c r="E978" t="s">
        <v>2</v>
      </c>
      <c r="F978" t="s">
        <v>50</v>
      </c>
      <c r="G978" t="s">
        <v>51</v>
      </c>
      <c r="H978" s="6">
        <v>7.17</v>
      </c>
      <c r="I978" t="s">
        <v>52</v>
      </c>
      <c r="J978" t="s">
        <v>53</v>
      </c>
      <c r="K978" t="s">
        <v>54</v>
      </c>
      <c r="L978" t="s">
        <v>55</v>
      </c>
      <c r="O978" t="s">
        <v>56</v>
      </c>
      <c r="P978" t="s">
        <v>57</v>
      </c>
      <c r="Q978" s="6">
        <v>25761.74</v>
      </c>
    </row>
    <row r="979" spans="1:17">
      <c r="A979" t="s">
        <v>2074</v>
      </c>
      <c r="B979" s="5">
        <v>46215</v>
      </c>
      <c r="C979" t="s">
        <v>2075</v>
      </c>
      <c r="D979" t="s">
        <v>17</v>
      </c>
      <c r="E979" t="s">
        <v>2</v>
      </c>
      <c r="F979" t="s">
        <v>50</v>
      </c>
      <c r="G979" t="s">
        <v>51</v>
      </c>
      <c r="H979" s="6">
        <v>34.96</v>
      </c>
      <c r="I979" t="s">
        <v>52</v>
      </c>
      <c r="J979" t="s">
        <v>126</v>
      </c>
      <c r="K979" t="s">
        <v>54</v>
      </c>
      <c r="L979" t="s">
        <v>55</v>
      </c>
      <c r="O979" t="s">
        <v>56</v>
      </c>
      <c r="P979" t="s">
        <v>57</v>
      </c>
      <c r="Q979" s="6">
        <v>26038.959999999999</v>
      </c>
    </row>
    <row r="980" spans="1:17">
      <c r="A980" t="s">
        <v>2076</v>
      </c>
      <c r="B980" s="5">
        <v>46215</v>
      </c>
      <c r="C980" t="s">
        <v>2077</v>
      </c>
      <c r="D980" t="s">
        <v>17</v>
      </c>
      <c r="E980" t="s">
        <v>2</v>
      </c>
      <c r="F980" t="s">
        <v>50</v>
      </c>
      <c r="G980" t="s">
        <v>100</v>
      </c>
      <c r="H980" s="6">
        <v>14.27</v>
      </c>
      <c r="I980" t="s">
        <v>52</v>
      </c>
      <c r="J980" t="s">
        <v>114</v>
      </c>
      <c r="K980" t="s">
        <v>54</v>
      </c>
      <c r="L980" t="s">
        <v>102</v>
      </c>
      <c r="O980" t="s">
        <v>103</v>
      </c>
      <c r="P980" t="s">
        <v>104</v>
      </c>
      <c r="Q980" s="6">
        <v>25768.91</v>
      </c>
    </row>
    <row r="981" spans="1:17">
      <c r="A981" t="s">
        <v>2078</v>
      </c>
      <c r="B981" s="5">
        <v>46215</v>
      </c>
      <c r="C981" t="s">
        <v>2079</v>
      </c>
      <c r="D981" t="s">
        <v>17</v>
      </c>
      <c r="E981" t="s">
        <v>2</v>
      </c>
      <c r="F981" t="s">
        <v>50</v>
      </c>
      <c r="G981" t="s">
        <v>51</v>
      </c>
      <c r="H981" s="6">
        <v>9.7100000000000009</v>
      </c>
      <c r="I981" t="s">
        <v>52</v>
      </c>
      <c r="J981" t="s">
        <v>121</v>
      </c>
      <c r="K981" t="s">
        <v>54</v>
      </c>
      <c r="L981" t="s">
        <v>55</v>
      </c>
      <c r="O981" t="s">
        <v>122</v>
      </c>
      <c r="P981" t="s">
        <v>123</v>
      </c>
      <c r="Q981" s="6">
        <v>25887.34</v>
      </c>
    </row>
    <row r="982" spans="1:17">
      <c r="A982" t="s">
        <v>2080</v>
      </c>
      <c r="B982" s="5">
        <v>46216</v>
      </c>
      <c r="C982" t="s">
        <v>2081</v>
      </c>
      <c r="D982" t="s">
        <v>17</v>
      </c>
      <c r="E982" t="s">
        <v>2</v>
      </c>
      <c r="F982" t="s">
        <v>50</v>
      </c>
      <c r="G982" t="s">
        <v>100</v>
      </c>
      <c r="H982" s="6">
        <v>85.03</v>
      </c>
      <c r="I982" t="s">
        <v>52</v>
      </c>
      <c r="J982" t="s">
        <v>244</v>
      </c>
      <c r="K982" t="s">
        <v>54</v>
      </c>
      <c r="L982" t="s">
        <v>102</v>
      </c>
      <c r="O982" t="s">
        <v>178</v>
      </c>
      <c r="P982" t="s">
        <v>245</v>
      </c>
      <c r="Q982" s="6">
        <v>40366</v>
      </c>
    </row>
    <row r="983" spans="1:17">
      <c r="A983" t="s">
        <v>2082</v>
      </c>
      <c r="B983" s="5">
        <v>46216</v>
      </c>
      <c r="C983" t="s">
        <v>2083</v>
      </c>
      <c r="D983" t="s">
        <v>17</v>
      </c>
      <c r="E983" t="s">
        <v>2</v>
      </c>
      <c r="F983" t="s">
        <v>50</v>
      </c>
      <c r="G983" t="s">
        <v>51</v>
      </c>
      <c r="H983" s="6">
        <v>7.48</v>
      </c>
      <c r="I983" t="s">
        <v>52</v>
      </c>
      <c r="J983" t="s">
        <v>53</v>
      </c>
      <c r="K983" t="s">
        <v>54</v>
      </c>
      <c r="L983" t="s">
        <v>55</v>
      </c>
      <c r="O983" t="s">
        <v>56</v>
      </c>
      <c r="P983" t="s">
        <v>57</v>
      </c>
      <c r="Q983" s="6">
        <v>25213.57</v>
      </c>
    </row>
    <row r="984" spans="1:17">
      <c r="A984" t="s">
        <v>2084</v>
      </c>
      <c r="B984" s="5">
        <v>46216</v>
      </c>
      <c r="C984" t="s">
        <v>2085</v>
      </c>
      <c r="D984" t="s">
        <v>17</v>
      </c>
      <c r="E984" t="s">
        <v>2</v>
      </c>
      <c r="F984" t="s">
        <v>149</v>
      </c>
      <c r="G984" t="s">
        <v>1969</v>
      </c>
      <c r="H984" s="6">
        <v>9360</v>
      </c>
      <c r="I984" t="s">
        <v>52</v>
      </c>
      <c r="J984" t="s">
        <v>1969</v>
      </c>
      <c r="K984" t="s">
        <v>54</v>
      </c>
      <c r="L984" t="s">
        <v>1970</v>
      </c>
      <c r="M984" t="s">
        <v>2086</v>
      </c>
      <c r="N984" t="s">
        <v>12</v>
      </c>
      <c r="O984" t="s">
        <v>92</v>
      </c>
      <c r="P984" t="s">
        <v>1971</v>
      </c>
      <c r="Q984" s="6">
        <v>85688.61</v>
      </c>
    </row>
    <row r="985" spans="1:17">
      <c r="A985" t="s">
        <v>2087</v>
      </c>
      <c r="B985" s="5">
        <v>46216</v>
      </c>
      <c r="C985" t="s">
        <v>2088</v>
      </c>
      <c r="D985" t="s">
        <v>17</v>
      </c>
      <c r="E985" t="s">
        <v>2</v>
      </c>
      <c r="F985" t="s">
        <v>50</v>
      </c>
      <c r="G985" t="s">
        <v>51</v>
      </c>
      <c r="H985" s="6">
        <v>132.49</v>
      </c>
      <c r="I985" t="s">
        <v>52</v>
      </c>
      <c r="J985" t="s">
        <v>196</v>
      </c>
      <c r="K985" t="s">
        <v>54</v>
      </c>
      <c r="L985" t="s">
        <v>55</v>
      </c>
      <c r="O985" t="s">
        <v>197</v>
      </c>
      <c r="P985" t="s">
        <v>198</v>
      </c>
      <c r="Q985" s="6">
        <v>25242.2</v>
      </c>
    </row>
    <row r="986" spans="1:17">
      <c r="A986" t="s">
        <v>2089</v>
      </c>
      <c r="B986" s="5">
        <v>46216</v>
      </c>
      <c r="C986" t="s">
        <v>2090</v>
      </c>
      <c r="D986" t="s">
        <v>17</v>
      </c>
      <c r="E986" t="s">
        <v>2</v>
      </c>
      <c r="F986" t="s">
        <v>50</v>
      </c>
      <c r="G986" t="s">
        <v>51</v>
      </c>
      <c r="H986" s="6">
        <v>79.209999999999994</v>
      </c>
      <c r="I986" t="s">
        <v>52</v>
      </c>
      <c r="J986" t="s">
        <v>65</v>
      </c>
      <c r="K986" t="s">
        <v>54</v>
      </c>
      <c r="L986" t="s">
        <v>55</v>
      </c>
      <c r="O986" t="s">
        <v>66</v>
      </c>
      <c r="P986" t="s">
        <v>67</v>
      </c>
      <c r="Q986" s="6">
        <v>25374.69</v>
      </c>
    </row>
    <row r="987" spans="1:17">
      <c r="A987" t="s">
        <v>2091</v>
      </c>
      <c r="B987" s="5">
        <v>46216</v>
      </c>
      <c r="C987" t="s">
        <v>2092</v>
      </c>
      <c r="D987" t="s">
        <v>17</v>
      </c>
      <c r="E987" t="s">
        <v>2</v>
      </c>
      <c r="F987" t="s">
        <v>50</v>
      </c>
      <c r="G987" t="s">
        <v>51</v>
      </c>
      <c r="H987" s="6">
        <v>62.15</v>
      </c>
      <c r="I987" t="s">
        <v>52</v>
      </c>
      <c r="J987" t="s">
        <v>60</v>
      </c>
      <c r="K987" t="s">
        <v>54</v>
      </c>
      <c r="L987" t="s">
        <v>55</v>
      </c>
      <c r="O987" t="s">
        <v>61</v>
      </c>
      <c r="P987" t="s">
        <v>62</v>
      </c>
      <c r="Q987" s="6">
        <v>25614.45</v>
      </c>
    </row>
    <row r="988" spans="1:17">
      <c r="A988" t="s">
        <v>2093</v>
      </c>
      <c r="B988" s="5">
        <v>46216</v>
      </c>
      <c r="C988" t="s">
        <v>2094</v>
      </c>
      <c r="D988" t="s">
        <v>17</v>
      </c>
      <c r="E988" t="s">
        <v>2</v>
      </c>
      <c r="F988" t="s">
        <v>50</v>
      </c>
      <c r="G988" t="s">
        <v>51</v>
      </c>
      <c r="H988" s="6">
        <v>13.72</v>
      </c>
      <c r="I988" t="s">
        <v>52</v>
      </c>
      <c r="J988" t="s">
        <v>53</v>
      </c>
      <c r="K988" t="s">
        <v>54</v>
      </c>
      <c r="L988" t="s">
        <v>55</v>
      </c>
      <c r="O988" t="s">
        <v>56</v>
      </c>
      <c r="P988" t="s">
        <v>57</v>
      </c>
      <c r="Q988" s="6">
        <v>25600.73</v>
      </c>
    </row>
    <row r="989" spans="1:17">
      <c r="A989" t="s">
        <v>2095</v>
      </c>
      <c r="B989" s="5">
        <v>46216</v>
      </c>
      <c r="C989" t="s">
        <v>2096</v>
      </c>
      <c r="D989" t="s">
        <v>17</v>
      </c>
      <c r="E989" t="s">
        <v>2</v>
      </c>
      <c r="F989" t="s">
        <v>50</v>
      </c>
      <c r="G989" t="s">
        <v>51</v>
      </c>
      <c r="H989" s="6">
        <v>146.83000000000001</v>
      </c>
      <c r="I989" t="s">
        <v>52</v>
      </c>
      <c r="J989" t="s">
        <v>196</v>
      </c>
      <c r="K989" t="s">
        <v>54</v>
      </c>
      <c r="L989" t="s">
        <v>55</v>
      </c>
      <c r="O989" t="s">
        <v>197</v>
      </c>
      <c r="P989" t="s">
        <v>198</v>
      </c>
      <c r="Q989" s="6">
        <v>25453.9</v>
      </c>
    </row>
    <row r="990" spans="1:17">
      <c r="A990" t="s">
        <v>2097</v>
      </c>
      <c r="B990" s="5">
        <v>46216</v>
      </c>
      <c r="C990" t="s">
        <v>2098</v>
      </c>
      <c r="D990" t="s">
        <v>17</v>
      </c>
      <c r="E990" t="s">
        <v>2</v>
      </c>
      <c r="F990" t="s">
        <v>50</v>
      </c>
      <c r="G990" t="s">
        <v>51</v>
      </c>
      <c r="H990" s="6">
        <v>21.15</v>
      </c>
      <c r="I990" t="s">
        <v>52</v>
      </c>
      <c r="J990" t="s">
        <v>121</v>
      </c>
      <c r="K990" t="s">
        <v>54</v>
      </c>
      <c r="L990" t="s">
        <v>55</v>
      </c>
      <c r="O990" t="s">
        <v>122</v>
      </c>
      <c r="P990" t="s">
        <v>123</v>
      </c>
      <c r="Q990" s="6">
        <v>25221.05</v>
      </c>
    </row>
    <row r="991" spans="1:17">
      <c r="A991" t="s">
        <v>2099</v>
      </c>
      <c r="B991" s="5">
        <v>46217</v>
      </c>
      <c r="C991" t="s">
        <v>2100</v>
      </c>
      <c r="D991" t="s">
        <v>17</v>
      </c>
      <c r="E991" t="s">
        <v>2</v>
      </c>
      <c r="F991" t="s">
        <v>50</v>
      </c>
      <c r="G991" t="s">
        <v>51</v>
      </c>
      <c r="H991" s="6">
        <v>16.11</v>
      </c>
      <c r="I991" t="s">
        <v>52</v>
      </c>
      <c r="J991" t="s">
        <v>81</v>
      </c>
      <c r="K991" t="s">
        <v>54</v>
      </c>
      <c r="L991" t="s">
        <v>55</v>
      </c>
      <c r="O991" t="s">
        <v>82</v>
      </c>
      <c r="P991" t="s">
        <v>83</v>
      </c>
      <c r="Q991" s="6">
        <v>25069.29</v>
      </c>
    </row>
    <row r="992" spans="1:17">
      <c r="A992" t="s">
        <v>2101</v>
      </c>
      <c r="B992" s="5">
        <v>46217</v>
      </c>
      <c r="C992" t="s">
        <v>2102</v>
      </c>
      <c r="D992" t="s">
        <v>17</v>
      </c>
      <c r="E992" t="s">
        <v>2</v>
      </c>
      <c r="F992" t="s">
        <v>50</v>
      </c>
      <c r="G992" t="s">
        <v>51</v>
      </c>
      <c r="H992" s="6">
        <v>6.56</v>
      </c>
      <c r="I992" t="s">
        <v>52</v>
      </c>
      <c r="J992" t="s">
        <v>53</v>
      </c>
      <c r="K992" t="s">
        <v>54</v>
      </c>
      <c r="L992" t="s">
        <v>55</v>
      </c>
      <c r="O992" t="s">
        <v>56</v>
      </c>
      <c r="P992" t="s">
        <v>57</v>
      </c>
      <c r="Q992" s="6">
        <v>25192.01</v>
      </c>
    </row>
    <row r="993" spans="1:17">
      <c r="A993" t="s">
        <v>2103</v>
      </c>
      <c r="B993" s="5">
        <v>46217</v>
      </c>
      <c r="C993" t="s">
        <v>2104</v>
      </c>
      <c r="D993" t="s">
        <v>17</v>
      </c>
      <c r="E993" t="s">
        <v>2</v>
      </c>
      <c r="F993" t="s">
        <v>50</v>
      </c>
      <c r="G993" t="s">
        <v>100</v>
      </c>
      <c r="H993" s="6">
        <v>15</v>
      </c>
      <c r="I993" t="s">
        <v>52</v>
      </c>
      <c r="J993" t="s">
        <v>101</v>
      </c>
      <c r="K993" t="s">
        <v>54</v>
      </c>
      <c r="L993" t="s">
        <v>102</v>
      </c>
      <c r="O993" t="s">
        <v>103</v>
      </c>
      <c r="P993" t="s">
        <v>104</v>
      </c>
      <c r="Q993" s="6">
        <v>25198.57</v>
      </c>
    </row>
    <row r="994" spans="1:17">
      <c r="A994" t="s">
        <v>2105</v>
      </c>
      <c r="B994" s="5">
        <v>46217</v>
      </c>
      <c r="C994" t="s">
        <v>2106</v>
      </c>
      <c r="D994" t="s">
        <v>17</v>
      </c>
      <c r="E994" t="s">
        <v>2</v>
      </c>
      <c r="F994" t="s">
        <v>50</v>
      </c>
      <c r="G994" t="s">
        <v>1816</v>
      </c>
      <c r="H994" s="6">
        <v>8800</v>
      </c>
      <c r="I994" t="s">
        <v>52</v>
      </c>
      <c r="J994" t="s">
        <v>1984</v>
      </c>
      <c r="K994" t="s">
        <v>1985</v>
      </c>
      <c r="L994" t="s">
        <v>1819</v>
      </c>
      <c r="O994" t="s">
        <v>1820</v>
      </c>
      <c r="P994" t="s">
        <v>1821</v>
      </c>
      <c r="Q994" s="6">
        <v>80563.61</v>
      </c>
    </row>
    <row r="995" spans="1:17">
      <c r="A995" t="s">
        <v>2107</v>
      </c>
      <c r="B995" s="5">
        <v>46217</v>
      </c>
      <c r="C995" t="s">
        <v>2108</v>
      </c>
      <c r="D995" t="s">
        <v>17</v>
      </c>
      <c r="E995" t="s">
        <v>2</v>
      </c>
      <c r="F995" t="s">
        <v>50</v>
      </c>
      <c r="G995" t="s">
        <v>51</v>
      </c>
      <c r="H995" s="6">
        <v>52.8</v>
      </c>
      <c r="I995" t="s">
        <v>52</v>
      </c>
      <c r="J995" t="s">
        <v>196</v>
      </c>
      <c r="K995" t="s">
        <v>54</v>
      </c>
      <c r="L995" t="s">
        <v>55</v>
      </c>
      <c r="O995" t="s">
        <v>197</v>
      </c>
      <c r="P995" t="s">
        <v>198</v>
      </c>
      <c r="Q995" s="6">
        <v>25085.4</v>
      </c>
    </row>
    <row r="996" spans="1:17">
      <c r="A996" t="s">
        <v>2109</v>
      </c>
      <c r="B996" s="5">
        <v>46217</v>
      </c>
      <c r="C996" t="s">
        <v>2110</v>
      </c>
      <c r="D996" t="s">
        <v>17</v>
      </c>
      <c r="E996" t="s">
        <v>2</v>
      </c>
      <c r="F996" t="s">
        <v>50</v>
      </c>
      <c r="G996" t="s">
        <v>51</v>
      </c>
      <c r="H996" s="6">
        <v>53.81</v>
      </c>
      <c r="I996" t="s">
        <v>52</v>
      </c>
      <c r="J996" t="s">
        <v>196</v>
      </c>
      <c r="K996" t="s">
        <v>54</v>
      </c>
      <c r="L996" t="s">
        <v>55</v>
      </c>
      <c r="O996" t="s">
        <v>197</v>
      </c>
      <c r="P996" t="s">
        <v>198</v>
      </c>
      <c r="Q996" s="6">
        <v>25138.2</v>
      </c>
    </row>
    <row r="997" spans="1:17">
      <c r="A997" t="s">
        <v>2111</v>
      </c>
      <c r="B997" s="5">
        <v>46217</v>
      </c>
      <c r="C997" t="s">
        <v>2112</v>
      </c>
      <c r="D997" t="s">
        <v>17</v>
      </c>
      <c r="E997" t="s">
        <v>2</v>
      </c>
      <c r="F997" t="s">
        <v>50</v>
      </c>
      <c r="G997" t="s">
        <v>51</v>
      </c>
      <c r="H997" s="6">
        <v>55.79</v>
      </c>
      <c r="I997" t="s">
        <v>52</v>
      </c>
      <c r="J997" t="s">
        <v>60</v>
      </c>
      <c r="K997" t="s">
        <v>54</v>
      </c>
      <c r="L997" t="s">
        <v>55</v>
      </c>
      <c r="O997" t="s">
        <v>61</v>
      </c>
      <c r="P997" t="s">
        <v>62</v>
      </c>
      <c r="Q997" s="6">
        <v>25013.5</v>
      </c>
    </row>
    <row r="998" spans="1:17">
      <c r="A998" t="s">
        <v>2113</v>
      </c>
      <c r="B998" s="5">
        <v>46218</v>
      </c>
      <c r="C998" t="s">
        <v>2114</v>
      </c>
      <c r="D998" t="s">
        <v>17</v>
      </c>
      <c r="E998" t="s">
        <v>2</v>
      </c>
      <c r="F998" t="s">
        <v>50</v>
      </c>
      <c r="G998" t="s">
        <v>51</v>
      </c>
      <c r="H998" s="6">
        <v>12.09</v>
      </c>
      <c r="I998" t="s">
        <v>52</v>
      </c>
      <c r="J998" t="s">
        <v>121</v>
      </c>
      <c r="K998" t="s">
        <v>54</v>
      </c>
      <c r="L998" t="s">
        <v>55</v>
      </c>
      <c r="O998" t="s">
        <v>122</v>
      </c>
      <c r="P998" t="s">
        <v>123</v>
      </c>
      <c r="Q998" s="6">
        <v>24830.01</v>
      </c>
    </row>
    <row r="999" spans="1:17">
      <c r="A999" t="s">
        <v>2115</v>
      </c>
      <c r="B999" s="5">
        <v>46218</v>
      </c>
      <c r="C999" t="s">
        <v>2116</v>
      </c>
      <c r="D999" t="s">
        <v>17</v>
      </c>
      <c r="E999" t="s">
        <v>2</v>
      </c>
      <c r="F999" t="s">
        <v>50</v>
      </c>
      <c r="G999" t="s">
        <v>51</v>
      </c>
      <c r="H999" s="6">
        <v>145.53</v>
      </c>
      <c r="I999" t="s">
        <v>52</v>
      </c>
      <c r="J999" t="s">
        <v>196</v>
      </c>
      <c r="K999" t="s">
        <v>54</v>
      </c>
      <c r="L999" t="s">
        <v>55</v>
      </c>
      <c r="O999" t="s">
        <v>197</v>
      </c>
      <c r="P999" t="s">
        <v>198</v>
      </c>
      <c r="Q999" s="6">
        <v>24842.1</v>
      </c>
    </row>
    <row r="1000" spans="1:17">
      <c r="A1000" t="s">
        <v>2117</v>
      </c>
      <c r="B1000" s="5">
        <v>46218</v>
      </c>
      <c r="C1000" t="s">
        <v>2118</v>
      </c>
      <c r="D1000" t="s">
        <v>17</v>
      </c>
      <c r="E1000" t="s">
        <v>2</v>
      </c>
      <c r="F1000" t="s">
        <v>50</v>
      </c>
      <c r="G1000" t="s">
        <v>51</v>
      </c>
      <c r="H1000" s="6">
        <v>19.350000000000001</v>
      </c>
      <c r="I1000" t="s">
        <v>52</v>
      </c>
      <c r="J1000" t="s">
        <v>121</v>
      </c>
      <c r="K1000" t="s">
        <v>54</v>
      </c>
      <c r="L1000" t="s">
        <v>55</v>
      </c>
      <c r="O1000" t="s">
        <v>122</v>
      </c>
      <c r="P1000" t="s">
        <v>123</v>
      </c>
      <c r="Q1000" s="6">
        <v>24810.66</v>
      </c>
    </row>
    <row r="1001" spans="1:17">
      <c r="A1001" t="s">
        <v>2119</v>
      </c>
      <c r="B1001" s="5">
        <v>46218</v>
      </c>
      <c r="C1001" t="s">
        <v>2120</v>
      </c>
      <c r="D1001" t="s">
        <v>17</v>
      </c>
      <c r="E1001" t="s">
        <v>2</v>
      </c>
      <c r="F1001" t="s">
        <v>50</v>
      </c>
      <c r="G1001" t="s">
        <v>100</v>
      </c>
      <c r="H1001" s="6">
        <v>15</v>
      </c>
      <c r="I1001" t="s">
        <v>52</v>
      </c>
      <c r="J1001" t="s">
        <v>101</v>
      </c>
      <c r="K1001" t="s">
        <v>54</v>
      </c>
      <c r="L1001" t="s">
        <v>102</v>
      </c>
      <c r="O1001" t="s">
        <v>103</v>
      </c>
      <c r="P1001" t="s">
        <v>104</v>
      </c>
      <c r="Q1001" s="6">
        <v>24998.5</v>
      </c>
    </row>
    <row r="1002" spans="1:17">
      <c r="A1002" t="s">
        <v>2121</v>
      </c>
      <c r="B1002" s="5">
        <v>46218</v>
      </c>
      <c r="C1002" t="s">
        <v>2122</v>
      </c>
      <c r="D1002" t="s">
        <v>17</v>
      </c>
      <c r="E1002" t="s">
        <v>2</v>
      </c>
      <c r="F1002" t="s">
        <v>149</v>
      </c>
      <c r="G1002" t="s">
        <v>1969</v>
      </c>
      <c r="H1002" s="6">
        <v>9650</v>
      </c>
      <c r="I1002" t="s">
        <v>52</v>
      </c>
      <c r="J1002" t="s">
        <v>1969</v>
      </c>
      <c r="K1002" t="s">
        <v>54</v>
      </c>
      <c r="L1002" t="s">
        <v>1970</v>
      </c>
      <c r="M1002" t="s">
        <v>2123</v>
      </c>
      <c r="N1002" t="s">
        <v>12</v>
      </c>
      <c r="O1002" t="s">
        <v>92</v>
      </c>
      <c r="P1002" t="s">
        <v>1971</v>
      </c>
      <c r="Q1002" s="6">
        <v>95338.61</v>
      </c>
    </row>
    <row r="1003" spans="1:17">
      <c r="A1003" t="s">
        <v>2124</v>
      </c>
      <c r="B1003" s="5">
        <v>46218</v>
      </c>
      <c r="C1003" t="s">
        <v>2125</v>
      </c>
      <c r="D1003" t="s">
        <v>17</v>
      </c>
      <c r="E1003" t="s">
        <v>2</v>
      </c>
      <c r="F1003" t="s">
        <v>149</v>
      </c>
      <c r="G1003" t="s">
        <v>321</v>
      </c>
      <c r="H1003" s="6">
        <v>3094.13</v>
      </c>
      <c r="I1003" t="s">
        <v>52</v>
      </c>
      <c r="J1003" t="s">
        <v>9</v>
      </c>
      <c r="K1003" t="s">
        <v>54</v>
      </c>
      <c r="L1003" t="s">
        <v>102</v>
      </c>
      <c r="O1003" t="s">
        <v>322</v>
      </c>
      <c r="P1003" t="s">
        <v>323</v>
      </c>
      <c r="Q1003" s="6">
        <v>41628.080000000002</v>
      </c>
    </row>
    <row r="1004" spans="1:17">
      <c r="A1004" t="s">
        <v>2126</v>
      </c>
      <c r="B1004" s="5">
        <v>46218</v>
      </c>
      <c r="C1004" t="s">
        <v>2127</v>
      </c>
      <c r="D1004" t="s">
        <v>17</v>
      </c>
      <c r="E1004" t="s">
        <v>2</v>
      </c>
      <c r="F1004" t="s">
        <v>50</v>
      </c>
      <c r="G1004" t="s">
        <v>51</v>
      </c>
      <c r="H1004" s="6">
        <v>10.87</v>
      </c>
      <c r="I1004" t="s">
        <v>52</v>
      </c>
      <c r="J1004" t="s">
        <v>53</v>
      </c>
      <c r="K1004" t="s">
        <v>54</v>
      </c>
      <c r="L1004" t="s">
        <v>55</v>
      </c>
      <c r="O1004" t="s">
        <v>56</v>
      </c>
      <c r="P1004" t="s">
        <v>57</v>
      </c>
      <c r="Q1004" s="6">
        <v>24987.63</v>
      </c>
    </row>
    <row r="1005" spans="1:17">
      <c r="A1005" t="s">
        <v>2128</v>
      </c>
      <c r="B1005" s="5">
        <v>46219</v>
      </c>
      <c r="C1005" t="s">
        <v>2129</v>
      </c>
      <c r="D1005" t="s">
        <v>17</v>
      </c>
      <c r="E1005" t="s">
        <v>2</v>
      </c>
      <c r="F1005" t="s">
        <v>149</v>
      </c>
      <c r="G1005" t="s">
        <v>72</v>
      </c>
      <c r="H1005" s="6">
        <v>129.76</v>
      </c>
      <c r="I1005" t="s">
        <v>52</v>
      </c>
      <c r="J1005" t="s">
        <v>638</v>
      </c>
      <c r="K1005" t="s">
        <v>54</v>
      </c>
      <c r="L1005" t="s">
        <v>74</v>
      </c>
      <c r="O1005" t="s">
        <v>75</v>
      </c>
      <c r="P1005" t="s">
        <v>76</v>
      </c>
      <c r="Q1005" s="6">
        <v>24758.15</v>
      </c>
    </row>
    <row r="1006" spans="1:17">
      <c r="A1006" t="s">
        <v>2130</v>
      </c>
      <c r="B1006" s="5">
        <v>46219</v>
      </c>
      <c r="C1006" t="s">
        <v>2131</v>
      </c>
      <c r="D1006" t="s">
        <v>17</v>
      </c>
      <c r="E1006" t="s">
        <v>2</v>
      </c>
      <c r="F1006" t="s">
        <v>50</v>
      </c>
      <c r="G1006" t="s">
        <v>51</v>
      </c>
      <c r="H1006" s="6">
        <v>26.8</v>
      </c>
      <c r="I1006" t="s">
        <v>52</v>
      </c>
      <c r="J1006" t="s">
        <v>81</v>
      </c>
      <c r="K1006" t="s">
        <v>54</v>
      </c>
      <c r="L1006" t="s">
        <v>55</v>
      </c>
      <c r="O1006" t="s">
        <v>82</v>
      </c>
      <c r="P1006" t="s">
        <v>83</v>
      </c>
      <c r="Q1006" s="6">
        <v>24680.25</v>
      </c>
    </row>
    <row r="1007" spans="1:17">
      <c r="A1007" t="s">
        <v>2132</v>
      </c>
      <c r="B1007" s="5">
        <v>46219</v>
      </c>
      <c r="C1007" t="s">
        <v>2133</v>
      </c>
      <c r="D1007" t="s">
        <v>17</v>
      </c>
      <c r="E1007" t="s">
        <v>2</v>
      </c>
      <c r="F1007" t="s">
        <v>50</v>
      </c>
      <c r="G1007" t="s">
        <v>51</v>
      </c>
      <c r="H1007" s="6">
        <v>26.98</v>
      </c>
      <c r="I1007" t="s">
        <v>52</v>
      </c>
      <c r="J1007" t="s">
        <v>81</v>
      </c>
      <c r="K1007" t="s">
        <v>54</v>
      </c>
      <c r="L1007" t="s">
        <v>55</v>
      </c>
      <c r="O1007" t="s">
        <v>82</v>
      </c>
      <c r="P1007" t="s">
        <v>83</v>
      </c>
      <c r="Q1007" s="6">
        <v>24628.39</v>
      </c>
    </row>
    <row r="1008" spans="1:17">
      <c r="A1008" t="s">
        <v>2134</v>
      </c>
      <c r="B1008" s="5">
        <v>46219</v>
      </c>
      <c r="C1008" t="s">
        <v>1627</v>
      </c>
      <c r="D1008" t="s">
        <v>17</v>
      </c>
      <c r="E1008" t="s">
        <v>2</v>
      </c>
      <c r="F1008" t="s">
        <v>50</v>
      </c>
      <c r="G1008" t="s">
        <v>51</v>
      </c>
      <c r="H1008" s="6">
        <v>103.61</v>
      </c>
      <c r="I1008" t="s">
        <v>52</v>
      </c>
      <c r="J1008" t="s">
        <v>65</v>
      </c>
      <c r="K1008" t="s">
        <v>54</v>
      </c>
      <c r="L1008" t="s">
        <v>55</v>
      </c>
      <c r="O1008" t="s">
        <v>66</v>
      </c>
      <c r="P1008" t="s">
        <v>67</v>
      </c>
      <c r="Q1008" s="6">
        <v>24707.05</v>
      </c>
    </row>
    <row r="1009" spans="1:17">
      <c r="A1009" t="s">
        <v>2135</v>
      </c>
      <c r="B1009" s="5">
        <v>46219</v>
      </c>
      <c r="C1009" t="s">
        <v>2136</v>
      </c>
      <c r="D1009" t="s">
        <v>17</v>
      </c>
      <c r="E1009" t="s">
        <v>2</v>
      </c>
      <c r="F1009" t="s">
        <v>50</v>
      </c>
      <c r="G1009" t="s">
        <v>51</v>
      </c>
      <c r="H1009" s="6">
        <v>17.559999999999999</v>
      </c>
      <c r="I1009" t="s">
        <v>52</v>
      </c>
      <c r="J1009" t="s">
        <v>81</v>
      </c>
      <c r="K1009" t="s">
        <v>54</v>
      </c>
      <c r="L1009" t="s">
        <v>55</v>
      </c>
      <c r="O1009" t="s">
        <v>82</v>
      </c>
      <c r="P1009" t="s">
        <v>83</v>
      </c>
      <c r="Q1009" s="6">
        <v>24655.37</v>
      </c>
    </row>
    <row r="1010" spans="1:17">
      <c r="A1010" t="s">
        <v>2137</v>
      </c>
      <c r="B1010" s="5">
        <v>46219</v>
      </c>
      <c r="C1010" t="s">
        <v>2138</v>
      </c>
      <c r="D1010" t="s">
        <v>17</v>
      </c>
      <c r="E1010" t="s">
        <v>2</v>
      </c>
      <c r="F1010" t="s">
        <v>50</v>
      </c>
      <c r="G1010" t="s">
        <v>51</v>
      </c>
      <c r="H1010" s="6">
        <v>7.32</v>
      </c>
      <c r="I1010" t="s">
        <v>52</v>
      </c>
      <c r="J1010" t="s">
        <v>53</v>
      </c>
      <c r="K1010" t="s">
        <v>54</v>
      </c>
      <c r="L1010" t="s">
        <v>55</v>
      </c>
      <c r="O1010" t="s">
        <v>56</v>
      </c>
      <c r="P1010" t="s">
        <v>57</v>
      </c>
      <c r="Q1010" s="6">
        <v>24672.93</v>
      </c>
    </row>
    <row r="1011" spans="1:17">
      <c r="A1011" t="s">
        <v>2139</v>
      </c>
      <c r="B1011" s="5">
        <v>46220</v>
      </c>
      <c r="C1011" t="s">
        <v>2140</v>
      </c>
      <c r="D1011" t="s">
        <v>17</v>
      </c>
      <c r="E1011" t="s">
        <v>2</v>
      </c>
      <c r="F1011" t="s">
        <v>50</v>
      </c>
      <c r="G1011" t="s">
        <v>51</v>
      </c>
      <c r="H1011" s="6">
        <v>7.51</v>
      </c>
      <c r="I1011" t="s">
        <v>52</v>
      </c>
      <c r="J1011" t="s">
        <v>53</v>
      </c>
      <c r="K1011" t="s">
        <v>54</v>
      </c>
      <c r="L1011" t="s">
        <v>55</v>
      </c>
      <c r="O1011" t="s">
        <v>56</v>
      </c>
      <c r="P1011" t="s">
        <v>57</v>
      </c>
      <c r="Q1011" s="6">
        <v>24685.47</v>
      </c>
    </row>
    <row r="1012" spans="1:17">
      <c r="A1012" t="s">
        <v>2141</v>
      </c>
      <c r="B1012" s="5">
        <v>46220</v>
      </c>
      <c r="C1012" t="s">
        <v>2142</v>
      </c>
      <c r="D1012" t="s">
        <v>17</v>
      </c>
      <c r="E1012" t="s">
        <v>2</v>
      </c>
      <c r="F1012" t="s">
        <v>50</v>
      </c>
      <c r="G1012" t="s">
        <v>51</v>
      </c>
      <c r="H1012" s="6">
        <v>6.73</v>
      </c>
      <c r="I1012" t="s">
        <v>52</v>
      </c>
      <c r="J1012" t="s">
        <v>121</v>
      </c>
      <c r="K1012" t="s">
        <v>54</v>
      </c>
      <c r="L1012" t="s">
        <v>55</v>
      </c>
      <c r="O1012" t="s">
        <v>122</v>
      </c>
      <c r="P1012" t="s">
        <v>123</v>
      </c>
      <c r="Q1012" s="6">
        <v>24751.42</v>
      </c>
    </row>
    <row r="1013" spans="1:17">
      <c r="A1013" t="s">
        <v>2143</v>
      </c>
      <c r="B1013" s="5">
        <v>46220</v>
      </c>
      <c r="C1013" t="s">
        <v>2144</v>
      </c>
      <c r="D1013" t="s">
        <v>17</v>
      </c>
      <c r="E1013" t="s">
        <v>2</v>
      </c>
      <c r="F1013" t="s">
        <v>50</v>
      </c>
      <c r="G1013" t="s">
        <v>51</v>
      </c>
      <c r="H1013" s="6">
        <v>5.3</v>
      </c>
      <c r="I1013" t="s">
        <v>52</v>
      </c>
      <c r="J1013" t="s">
        <v>121</v>
      </c>
      <c r="K1013" t="s">
        <v>54</v>
      </c>
      <c r="L1013" t="s">
        <v>55</v>
      </c>
      <c r="O1013" t="s">
        <v>122</v>
      </c>
      <c r="P1013" t="s">
        <v>123</v>
      </c>
      <c r="Q1013" s="6">
        <v>24588.14</v>
      </c>
    </row>
    <row r="1014" spans="1:17">
      <c r="A1014" t="s">
        <v>2145</v>
      </c>
      <c r="B1014" s="5">
        <v>46220</v>
      </c>
      <c r="C1014" t="s">
        <v>2146</v>
      </c>
      <c r="D1014" t="s">
        <v>17</v>
      </c>
      <c r="E1014" t="s">
        <v>2</v>
      </c>
      <c r="F1014" t="s">
        <v>50</v>
      </c>
      <c r="G1014" t="s">
        <v>51</v>
      </c>
      <c r="H1014" s="6">
        <v>37.14</v>
      </c>
      <c r="I1014" t="s">
        <v>52</v>
      </c>
      <c r="J1014" t="s">
        <v>81</v>
      </c>
      <c r="K1014" t="s">
        <v>54</v>
      </c>
      <c r="L1014" t="s">
        <v>55</v>
      </c>
      <c r="O1014" t="s">
        <v>82</v>
      </c>
      <c r="P1014" t="s">
        <v>83</v>
      </c>
      <c r="Q1014" s="6">
        <v>24593.439999999999</v>
      </c>
    </row>
    <row r="1015" spans="1:17">
      <c r="A1015" t="s">
        <v>2147</v>
      </c>
      <c r="B1015" s="5">
        <v>46220</v>
      </c>
      <c r="C1015" t="s">
        <v>2148</v>
      </c>
      <c r="D1015" t="s">
        <v>17</v>
      </c>
      <c r="E1015" t="s">
        <v>2</v>
      </c>
      <c r="F1015" t="s">
        <v>50</v>
      </c>
      <c r="G1015" t="s">
        <v>51</v>
      </c>
      <c r="H1015" s="6">
        <v>10.4</v>
      </c>
      <c r="I1015" t="s">
        <v>52</v>
      </c>
      <c r="J1015" t="s">
        <v>126</v>
      </c>
      <c r="K1015" t="s">
        <v>54</v>
      </c>
      <c r="L1015" t="s">
        <v>55</v>
      </c>
      <c r="O1015" t="s">
        <v>56</v>
      </c>
      <c r="P1015" t="s">
        <v>57</v>
      </c>
      <c r="Q1015" s="6">
        <v>24675.07</v>
      </c>
    </row>
    <row r="1016" spans="1:17">
      <c r="A1016" t="s">
        <v>2149</v>
      </c>
      <c r="B1016" s="5">
        <v>46220</v>
      </c>
      <c r="C1016" t="s">
        <v>2150</v>
      </c>
      <c r="D1016" t="s">
        <v>17</v>
      </c>
      <c r="E1016" t="s">
        <v>2</v>
      </c>
      <c r="F1016" t="s">
        <v>50</v>
      </c>
      <c r="G1016" t="s">
        <v>51</v>
      </c>
      <c r="H1016" s="6">
        <v>44.49</v>
      </c>
      <c r="I1016" t="s">
        <v>52</v>
      </c>
      <c r="J1016" t="s">
        <v>60</v>
      </c>
      <c r="K1016" t="s">
        <v>54</v>
      </c>
      <c r="L1016" t="s">
        <v>55</v>
      </c>
      <c r="O1016" t="s">
        <v>61</v>
      </c>
      <c r="P1016" t="s">
        <v>62</v>
      </c>
      <c r="Q1016" s="6">
        <v>24630.58</v>
      </c>
    </row>
    <row r="1017" spans="1:17">
      <c r="A1017" t="s">
        <v>2151</v>
      </c>
      <c r="B1017" s="5">
        <v>46220</v>
      </c>
      <c r="C1017" t="s">
        <v>2152</v>
      </c>
      <c r="D1017" t="s">
        <v>17</v>
      </c>
      <c r="E1017" t="s">
        <v>2</v>
      </c>
      <c r="F1017" t="s">
        <v>50</v>
      </c>
      <c r="G1017" t="s">
        <v>100</v>
      </c>
      <c r="H1017" s="6">
        <v>18.010000000000002</v>
      </c>
      <c r="I1017" t="s">
        <v>52</v>
      </c>
      <c r="J1017" t="s">
        <v>114</v>
      </c>
      <c r="K1017" t="s">
        <v>54</v>
      </c>
      <c r="L1017" t="s">
        <v>102</v>
      </c>
      <c r="O1017" t="s">
        <v>103</v>
      </c>
      <c r="P1017" t="s">
        <v>104</v>
      </c>
      <c r="Q1017" s="6">
        <v>24692.98</v>
      </c>
    </row>
    <row r="1018" spans="1:17">
      <c r="A1018" t="s">
        <v>2153</v>
      </c>
      <c r="B1018" s="5">
        <v>46220</v>
      </c>
      <c r="C1018" t="s">
        <v>2154</v>
      </c>
      <c r="D1018" t="s">
        <v>17</v>
      </c>
      <c r="E1018" t="s">
        <v>2</v>
      </c>
      <c r="F1018" t="s">
        <v>149</v>
      </c>
      <c r="G1018" t="s">
        <v>1969</v>
      </c>
      <c r="H1018" s="6">
        <v>9825</v>
      </c>
      <c r="I1018" t="s">
        <v>52</v>
      </c>
      <c r="J1018" t="s">
        <v>1969</v>
      </c>
      <c r="K1018" t="s">
        <v>54</v>
      </c>
      <c r="L1018" t="s">
        <v>1970</v>
      </c>
      <c r="M1018" t="s">
        <v>2155</v>
      </c>
      <c r="N1018" t="s">
        <v>12</v>
      </c>
      <c r="O1018" t="s">
        <v>92</v>
      </c>
      <c r="P1018" t="s">
        <v>1971</v>
      </c>
      <c r="Q1018" s="6">
        <v>105163.61</v>
      </c>
    </row>
    <row r="1019" spans="1:17">
      <c r="A1019" t="s">
        <v>2156</v>
      </c>
      <c r="B1019" s="5">
        <v>46220</v>
      </c>
      <c r="C1019" t="s">
        <v>2157</v>
      </c>
      <c r="D1019" t="s">
        <v>17</v>
      </c>
      <c r="E1019" t="s">
        <v>2</v>
      </c>
      <c r="F1019" t="s">
        <v>50</v>
      </c>
      <c r="G1019" t="s">
        <v>51</v>
      </c>
      <c r="H1019" s="6">
        <v>40.43</v>
      </c>
      <c r="I1019" t="s">
        <v>52</v>
      </c>
      <c r="J1019" t="s">
        <v>65</v>
      </c>
      <c r="K1019" t="s">
        <v>54</v>
      </c>
      <c r="L1019" t="s">
        <v>55</v>
      </c>
      <c r="O1019" t="s">
        <v>66</v>
      </c>
      <c r="P1019" t="s">
        <v>67</v>
      </c>
      <c r="Q1019" s="6">
        <v>24710.99</v>
      </c>
    </row>
    <row r="1020" spans="1:17">
      <c r="A1020" t="s">
        <v>2158</v>
      </c>
      <c r="B1020" s="5">
        <v>46221</v>
      </c>
      <c r="C1020" t="s">
        <v>2159</v>
      </c>
      <c r="D1020" t="s">
        <v>17</v>
      </c>
      <c r="E1020" t="s">
        <v>2</v>
      </c>
      <c r="F1020" t="s">
        <v>50</v>
      </c>
      <c r="G1020" t="s">
        <v>100</v>
      </c>
      <c r="H1020" s="6">
        <v>15</v>
      </c>
      <c r="I1020" t="s">
        <v>52</v>
      </c>
      <c r="J1020" t="s">
        <v>101</v>
      </c>
      <c r="K1020" t="s">
        <v>54</v>
      </c>
      <c r="L1020" t="s">
        <v>102</v>
      </c>
      <c r="O1020" t="s">
        <v>103</v>
      </c>
      <c r="P1020" t="s">
        <v>104</v>
      </c>
      <c r="Q1020" s="6">
        <v>24533.24</v>
      </c>
    </row>
    <row r="1021" spans="1:17">
      <c r="A1021" t="s">
        <v>2160</v>
      </c>
      <c r="B1021" s="5">
        <v>46221</v>
      </c>
      <c r="C1021" t="s">
        <v>2161</v>
      </c>
      <c r="D1021" t="s">
        <v>17</v>
      </c>
      <c r="E1021" t="s">
        <v>2</v>
      </c>
      <c r="F1021" t="s">
        <v>50</v>
      </c>
      <c r="G1021" t="s">
        <v>51</v>
      </c>
      <c r="H1021" s="6">
        <v>41.96</v>
      </c>
      <c r="I1021" t="s">
        <v>52</v>
      </c>
      <c r="J1021" t="s">
        <v>81</v>
      </c>
      <c r="K1021" t="s">
        <v>54</v>
      </c>
      <c r="L1021" t="s">
        <v>55</v>
      </c>
      <c r="O1021" t="s">
        <v>82</v>
      </c>
      <c r="P1021" t="s">
        <v>83</v>
      </c>
      <c r="Q1021" s="6">
        <v>24435.39</v>
      </c>
    </row>
    <row r="1022" spans="1:17">
      <c r="A1022" t="s">
        <v>2162</v>
      </c>
      <c r="B1022" s="5">
        <v>46221</v>
      </c>
      <c r="C1022" t="s">
        <v>2163</v>
      </c>
      <c r="D1022" t="s">
        <v>17</v>
      </c>
      <c r="E1022" t="s">
        <v>2</v>
      </c>
      <c r="F1022" t="s">
        <v>50</v>
      </c>
      <c r="G1022" t="s">
        <v>51</v>
      </c>
      <c r="H1022" s="6">
        <v>25.96</v>
      </c>
      <c r="I1022" t="s">
        <v>52</v>
      </c>
      <c r="J1022" t="s">
        <v>60</v>
      </c>
      <c r="K1022" t="s">
        <v>54</v>
      </c>
      <c r="L1022" t="s">
        <v>55</v>
      </c>
      <c r="O1022" t="s">
        <v>61</v>
      </c>
      <c r="P1022" t="s">
        <v>62</v>
      </c>
      <c r="Q1022" s="6">
        <v>24477.35</v>
      </c>
    </row>
    <row r="1023" spans="1:17">
      <c r="A1023" t="s">
        <v>2164</v>
      </c>
      <c r="B1023" s="5">
        <v>46221</v>
      </c>
      <c r="C1023" t="s">
        <v>2165</v>
      </c>
      <c r="D1023" t="s">
        <v>17</v>
      </c>
      <c r="E1023" t="s">
        <v>2</v>
      </c>
      <c r="F1023" t="s">
        <v>50</v>
      </c>
      <c r="G1023" t="s">
        <v>100</v>
      </c>
      <c r="H1023" s="6">
        <v>15</v>
      </c>
      <c r="I1023" t="s">
        <v>52</v>
      </c>
      <c r="J1023" t="s">
        <v>101</v>
      </c>
      <c r="K1023" t="s">
        <v>54</v>
      </c>
      <c r="L1023" t="s">
        <v>102</v>
      </c>
      <c r="O1023" t="s">
        <v>103</v>
      </c>
      <c r="P1023" t="s">
        <v>104</v>
      </c>
      <c r="Q1023" s="6">
        <v>24548.240000000002</v>
      </c>
    </row>
    <row r="1024" spans="1:17">
      <c r="A1024" t="s">
        <v>2166</v>
      </c>
      <c r="B1024" s="5">
        <v>46221</v>
      </c>
      <c r="C1024" t="s">
        <v>2167</v>
      </c>
      <c r="D1024" t="s">
        <v>17</v>
      </c>
      <c r="E1024" t="s">
        <v>2</v>
      </c>
      <c r="F1024" t="s">
        <v>50</v>
      </c>
      <c r="G1024" t="s">
        <v>51</v>
      </c>
      <c r="H1024" s="6">
        <v>29.93</v>
      </c>
      <c r="I1024" t="s">
        <v>52</v>
      </c>
      <c r="J1024" t="s">
        <v>81</v>
      </c>
      <c r="K1024" t="s">
        <v>54</v>
      </c>
      <c r="L1024" t="s">
        <v>55</v>
      </c>
      <c r="O1024" t="s">
        <v>82</v>
      </c>
      <c r="P1024" t="s">
        <v>83</v>
      </c>
      <c r="Q1024" s="6">
        <v>24503.31</v>
      </c>
    </row>
    <row r="1025" spans="1:17">
      <c r="A1025" t="s">
        <v>2168</v>
      </c>
      <c r="B1025" s="5">
        <v>46221</v>
      </c>
      <c r="C1025" t="s">
        <v>2169</v>
      </c>
      <c r="D1025" t="s">
        <v>17</v>
      </c>
      <c r="E1025" t="s">
        <v>2</v>
      </c>
      <c r="F1025" t="s">
        <v>50</v>
      </c>
      <c r="G1025" t="s">
        <v>51</v>
      </c>
      <c r="H1025" s="6">
        <v>8.15</v>
      </c>
      <c r="I1025" t="s">
        <v>52</v>
      </c>
      <c r="J1025" t="s">
        <v>121</v>
      </c>
      <c r="K1025" t="s">
        <v>54</v>
      </c>
      <c r="L1025" t="s">
        <v>55</v>
      </c>
      <c r="O1025" t="s">
        <v>122</v>
      </c>
      <c r="P1025" t="s">
        <v>123</v>
      </c>
      <c r="Q1025" s="6">
        <v>24427.24</v>
      </c>
    </row>
    <row r="1026" spans="1:17">
      <c r="A1026" t="s">
        <v>2170</v>
      </c>
      <c r="B1026" s="5">
        <v>46221</v>
      </c>
      <c r="C1026" t="s">
        <v>2171</v>
      </c>
      <c r="D1026" t="s">
        <v>17</v>
      </c>
      <c r="E1026" t="s">
        <v>2</v>
      </c>
      <c r="F1026" t="s">
        <v>50</v>
      </c>
      <c r="G1026" t="s">
        <v>1816</v>
      </c>
      <c r="H1026" s="6">
        <v>9200</v>
      </c>
      <c r="I1026" t="s">
        <v>52</v>
      </c>
      <c r="J1026" t="s">
        <v>1984</v>
      </c>
      <c r="K1026" t="s">
        <v>1985</v>
      </c>
      <c r="L1026" t="s">
        <v>1819</v>
      </c>
      <c r="O1026" t="s">
        <v>1820</v>
      </c>
      <c r="P1026" t="s">
        <v>1821</v>
      </c>
      <c r="Q1026" s="6">
        <v>71363.61</v>
      </c>
    </row>
    <row r="1027" spans="1:17">
      <c r="A1027" t="s">
        <v>2172</v>
      </c>
      <c r="B1027" s="5">
        <v>46221</v>
      </c>
      <c r="C1027" t="s">
        <v>2173</v>
      </c>
      <c r="D1027" t="s">
        <v>17</v>
      </c>
      <c r="E1027" t="s">
        <v>2</v>
      </c>
      <c r="F1027" t="s">
        <v>50</v>
      </c>
      <c r="G1027" t="s">
        <v>51</v>
      </c>
      <c r="H1027" s="6">
        <v>24.9</v>
      </c>
      <c r="I1027" t="s">
        <v>52</v>
      </c>
      <c r="J1027" t="s">
        <v>81</v>
      </c>
      <c r="K1027" t="s">
        <v>54</v>
      </c>
      <c r="L1027" t="s">
        <v>55</v>
      </c>
      <c r="O1027" t="s">
        <v>82</v>
      </c>
      <c r="P1027" t="s">
        <v>83</v>
      </c>
      <c r="Q1027" s="6">
        <v>24563.24</v>
      </c>
    </row>
    <row r="1028" spans="1:17">
      <c r="A1028" t="s">
        <v>2174</v>
      </c>
      <c r="B1028" s="5">
        <v>46222</v>
      </c>
      <c r="C1028" t="s">
        <v>2175</v>
      </c>
      <c r="D1028" t="s">
        <v>17</v>
      </c>
      <c r="E1028" t="s">
        <v>2</v>
      </c>
      <c r="F1028" t="s">
        <v>50</v>
      </c>
      <c r="G1028" t="s">
        <v>51</v>
      </c>
      <c r="H1028" s="6">
        <v>6.18</v>
      </c>
      <c r="I1028" t="s">
        <v>52</v>
      </c>
      <c r="J1028" t="s">
        <v>121</v>
      </c>
      <c r="K1028" t="s">
        <v>54</v>
      </c>
      <c r="L1028" t="s">
        <v>55</v>
      </c>
      <c r="O1028" t="s">
        <v>122</v>
      </c>
      <c r="P1028" t="s">
        <v>123</v>
      </c>
      <c r="Q1028" s="6">
        <v>24421.06</v>
      </c>
    </row>
    <row r="1029" spans="1:17">
      <c r="A1029" t="s">
        <v>2176</v>
      </c>
      <c r="B1029" s="5">
        <v>46222</v>
      </c>
      <c r="C1029" t="s">
        <v>2177</v>
      </c>
      <c r="D1029" t="s">
        <v>17</v>
      </c>
      <c r="E1029" t="s">
        <v>2</v>
      </c>
      <c r="F1029" t="s">
        <v>50</v>
      </c>
      <c r="G1029" t="s">
        <v>100</v>
      </c>
      <c r="H1029" s="6">
        <v>15</v>
      </c>
      <c r="I1029" t="s">
        <v>52</v>
      </c>
      <c r="J1029" t="s">
        <v>101</v>
      </c>
      <c r="K1029" t="s">
        <v>54</v>
      </c>
      <c r="L1029" t="s">
        <v>102</v>
      </c>
      <c r="O1029" t="s">
        <v>103</v>
      </c>
      <c r="P1029" t="s">
        <v>104</v>
      </c>
      <c r="Q1029" s="6">
        <v>24271.26</v>
      </c>
    </row>
    <row r="1030" spans="1:17">
      <c r="A1030" t="s">
        <v>2178</v>
      </c>
      <c r="B1030" s="5">
        <v>46222</v>
      </c>
      <c r="C1030" t="s">
        <v>2179</v>
      </c>
      <c r="D1030" t="s">
        <v>17</v>
      </c>
      <c r="E1030" t="s">
        <v>2</v>
      </c>
      <c r="F1030" t="s">
        <v>50</v>
      </c>
      <c r="G1030" t="s">
        <v>100</v>
      </c>
      <c r="H1030" s="6">
        <v>21.47</v>
      </c>
      <c r="I1030" t="s">
        <v>52</v>
      </c>
      <c r="J1030" t="s">
        <v>114</v>
      </c>
      <c r="K1030" t="s">
        <v>54</v>
      </c>
      <c r="L1030" t="s">
        <v>102</v>
      </c>
      <c r="O1030" t="s">
        <v>103</v>
      </c>
      <c r="P1030" t="s">
        <v>104</v>
      </c>
      <c r="Q1030" s="6">
        <v>24249.79</v>
      </c>
    </row>
    <row r="1031" spans="1:17">
      <c r="A1031" t="s">
        <v>2180</v>
      </c>
      <c r="B1031" s="5">
        <v>46222</v>
      </c>
      <c r="C1031" t="s">
        <v>2181</v>
      </c>
      <c r="D1031" t="s">
        <v>17</v>
      </c>
      <c r="E1031" t="s">
        <v>2</v>
      </c>
      <c r="F1031" t="s">
        <v>50</v>
      </c>
      <c r="G1031" t="s">
        <v>51</v>
      </c>
      <c r="H1031" s="6">
        <v>129.84</v>
      </c>
      <c r="I1031" t="s">
        <v>52</v>
      </c>
      <c r="J1031" t="s">
        <v>196</v>
      </c>
      <c r="K1031" t="s">
        <v>54</v>
      </c>
      <c r="L1031" t="s">
        <v>55</v>
      </c>
      <c r="O1031" t="s">
        <v>197</v>
      </c>
      <c r="P1031" t="s">
        <v>198</v>
      </c>
      <c r="Q1031" s="6">
        <v>24291.22</v>
      </c>
    </row>
    <row r="1032" spans="1:17">
      <c r="A1032" t="s">
        <v>2182</v>
      </c>
      <c r="B1032" s="5">
        <v>46222</v>
      </c>
      <c r="C1032" t="s">
        <v>2183</v>
      </c>
      <c r="D1032" t="s">
        <v>17</v>
      </c>
      <c r="E1032" t="s">
        <v>2</v>
      </c>
      <c r="F1032" t="s">
        <v>50</v>
      </c>
      <c r="G1032" t="s">
        <v>51</v>
      </c>
      <c r="H1032" s="6">
        <v>4.96</v>
      </c>
      <c r="I1032" t="s">
        <v>52</v>
      </c>
      <c r="J1032" t="s">
        <v>121</v>
      </c>
      <c r="K1032" t="s">
        <v>54</v>
      </c>
      <c r="L1032" t="s">
        <v>55</v>
      </c>
      <c r="O1032" t="s">
        <v>122</v>
      </c>
      <c r="P1032" t="s">
        <v>123</v>
      </c>
      <c r="Q1032" s="6">
        <v>24286.26</v>
      </c>
    </row>
    <row r="1033" spans="1:17">
      <c r="A1033" t="s">
        <v>2184</v>
      </c>
      <c r="B1033" s="5">
        <v>46222</v>
      </c>
      <c r="C1033" t="s">
        <v>2185</v>
      </c>
      <c r="D1033" t="s">
        <v>17</v>
      </c>
      <c r="E1033" t="s">
        <v>2</v>
      </c>
      <c r="F1033" t="s">
        <v>50</v>
      </c>
      <c r="G1033" t="s">
        <v>51</v>
      </c>
      <c r="H1033" s="6">
        <v>29.07</v>
      </c>
      <c r="I1033" t="s">
        <v>52</v>
      </c>
      <c r="J1033" t="s">
        <v>126</v>
      </c>
      <c r="K1033" t="s">
        <v>54</v>
      </c>
      <c r="L1033" t="s">
        <v>55</v>
      </c>
      <c r="O1033" t="s">
        <v>56</v>
      </c>
      <c r="P1033" t="s">
        <v>57</v>
      </c>
      <c r="Q1033" s="6">
        <v>24066.06</v>
      </c>
    </row>
    <row r="1034" spans="1:17">
      <c r="A1034" t="s">
        <v>2186</v>
      </c>
      <c r="B1034" s="5">
        <v>46222</v>
      </c>
      <c r="C1034" t="s">
        <v>2187</v>
      </c>
      <c r="D1034" t="s">
        <v>17</v>
      </c>
      <c r="E1034" t="s">
        <v>2</v>
      </c>
      <c r="F1034" t="s">
        <v>50</v>
      </c>
      <c r="G1034" t="s">
        <v>100</v>
      </c>
      <c r="H1034" s="6">
        <v>89.99</v>
      </c>
      <c r="I1034" t="s">
        <v>52</v>
      </c>
      <c r="J1034" t="s">
        <v>384</v>
      </c>
      <c r="K1034" t="s">
        <v>54</v>
      </c>
      <c r="L1034" t="s">
        <v>102</v>
      </c>
      <c r="O1034" t="s">
        <v>178</v>
      </c>
      <c r="P1034" t="s">
        <v>385</v>
      </c>
      <c r="Q1034" s="6">
        <v>40276.01</v>
      </c>
    </row>
    <row r="1035" spans="1:17">
      <c r="A1035" t="s">
        <v>2188</v>
      </c>
      <c r="B1035" s="5">
        <v>46222</v>
      </c>
      <c r="C1035" t="s">
        <v>2189</v>
      </c>
      <c r="D1035" t="s">
        <v>17</v>
      </c>
      <c r="E1035" t="s">
        <v>2</v>
      </c>
      <c r="F1035" t="s">
        <v>50</v>
      </c>
      <c r="G1035" t="s">
        <v>51</v>
      </c>
      <c r="H1035" s="6">
        <v>11.37</v>
      </c>
      <c r="I1035" t="s">
        <v>52</v>
      </c>
      <c r="J1035" t="s">
        <v>126</v>
      </c>
      <c r="K1035" t="s">
        <v>54</v>
      </c>
      <c r="L1035" t="s">
        <v>55</v>
      </c>
      <c r="O1035" t="s">
        <v>56</v>
      </c>
      <c r="P1035" t="s">
        <v>57</v>
      </c>
      <c r="Q1035" s="6">
        <v>24238.42</v>
      </c>
    </row>
    <row r="1036" spans="1:17">
      <c r="A1036" t="s">
        <v>2190</v>
      </c>
      <c r="B1036" s="5">
        <v>46222</v>
      </c>
      <c r="C1036" t="s">
        <v>2191</v>
      </c>
      <c r="D1036" t="s">
        <v>17</v>
      </c>
      <c r="E1036" t="s">
        <v>2</v>
      </c>
      <c r="F1036" t="s">
        <v>50</v>
      </c>
      <c r="G1036" t="s">
        <v>51</v>
      </c>
      <c r="H1036" s="6">
        <v>143.29</v>
      </c>
      <c r="I1036" t="s">
        <v>52</v>
      </c>
      <c r="J1036" t="s">
        <v>196</v>
      </c>
      <c r="K1036" t="s">
        <v>54</v>
      </c>
      <c r="L1036" t="s">
        <v>55</v>
      </c>
      <c r="O1036" t="s">
        <v>197</v>
      </c>
      <c r="P1036" t="s">
        <v>198</v>
      </c>
      <c r="Q1036" s="6">
        <v>24095.13</v>
      </c>
    </row>
    <row r="1037" spans="1:17">
      <c r="A1037" t="s">
        <v>2192</v>
      </c>
      <c r="B1037" s="5">
        <v>46223</v>
      </c>
      <c r="C1037" t="s">
        <v>2193</v>
      </c>
      <c r="D1037" t="s">
        <v>17</v>
      </c>
      <c r="E1037" t="s">
        <v>2</v>
      </c>
      <c r="F1037" t="s">
        <v>50</v>
      </c>
      <c r="G1037" t="s">
        <v>100</v>
      </c>
      <c r="H1037" s="6">
        <v>22.23</v>
      </c>
      <c r="I1037" t="s">
        <v>52</v>
      </c>
      <c r="J1037" t="s">
        <v>114</v>
      </c>
      <c r="K1037" t="s">
        <v>54</v>
      </c>
      <c r="L1037" t="s">
        <v>102</v>
      </c>
      <c r="O1037" t="s">
        <v>103</v>
      </c>
      <c r="P1037" t="s">
        <v>104</v>
      </c>
      <c r="Q1037" s="6">
        <v>23789.23</v>
      </c>
    </row>
    <row r="1038" spans="1:17">
      <c r="A1038" t="s">
        <v>2194</v>
      </c>
      <c r="B1038" s="5">
        <v>46223</v>
      </c>
      <c r="C1038" t="s">
        <v>2195</v>
      </c>
      <c r="D1038" t="s">
        <v>17</v>
      </c>
      <c r="E1038" t="s">
        <v>2</v>
      </c>
      <c r="F1038" t="s">
        <v>50</v>
      </c>
      <c r="G1038" t="s">
        <v>51</v>
      </c>
      <c r="H1038" s="6">
        <v>46.78</v>
      </c>
      <c r="I1038" t="s">
        <v>52</v>
      </c>
      <c r="J1038" t="s">
        <v>126</v>
      </c>
      <c r="K1038" t="s">
        <v>54</v>
      </c>
      <c r="L1038" t="s">
        <v>55</v>
      </c>
      <c r="O1038" t="s">
        <v>56</v>
      </c>
      <c r="P1038" t="s">
        <v>57</v>
      </c>
      <c r="Q1038" s="6">
        <v>24004.28</v>
      </c>
    </row>
    <row r="1039" spans="1:17">
      <c r="A1039" t="s">
        <v>2196</v>
      </c>
      <c r="B1039" s="5">
        <v>46223</v>
      </c>
      <c r="C1039" t="s">
        <v>2197</v>
      </c>
      <c r="D1039" t="s">
        <v>17</v>
      </c>
      <c r="E1039" t="s">
        <v>2</v>
      </c>
      <c r="F1039" t="s">
        <v>50</v>
      </c>
      <c r="G1039" t="s">
        <v>100</v>
      </c>
      <c r="H1039" s="6">
        <v>15</v>
      </c>
      <c r="I1039" t="s">
        <v>52</v>
      </c>
      <c r="J1039" t="s">
        <v>101</v>
      </c>
      <c r="K1039" t="s">
        <v>54</v>
      </c>
      <c r="L1039" t="s">
        <v>102</v>
      </c>
      <c r="O1039" t="s">
        <v>103</v>
      </c>
      <c r="P1039" t="s">
        <v>104</v>
      </c>
      <c r="Q1039" s="6">
        <v>24051.06</v>
      </c>
    </row>
    <row r="1040" spans="1:17">
      <c r="A1040" t="s">
        <v>2198</v>
      </c>
      <c r="B1040" s="5">
        <v>46223</v>
      </c>
      <c r="C1040" t="s">
        <v>2199</v>
      </c>
      <c r="D1040" t="s">
        <v>17</v>
      </c>
      <c r="E1040" t="s">
        <v>2</v>
      </c>
      <c r="F1040" t="s">
        <v>50</v>
      </c>
      <c r="G1040" t="s">
        <v>51</v>
      </c>
      <c r="H1040" s="6">
        <v>7.94</v>
      </c>
      <c r="I1040" t="s">
        <v>52</v>
      </c>
      <c r="J1040" t="s">
        <v>121</v>
      </c>
      <c r="K1040" t="s">
        <v>54</v>
      </c>
      <c r="L1040" t="s">
        <v>55</v>
      </c>
      <c r="O1040" t="s">
        <v>122</v>
      </c>
      <c r="P1040" t="s">
        <v>123</v>
      </c>
      <c r="Q1040" s="6">
        <v>23811.46</v>
      </c>
    </row>
    <row r="1041" spans="1:17">
      <c r="A1041" t="s">
        <v>2200</v>
      </c>
      <c r="B1041" s="5">
        <v>46223</v>
      </c>
      <c r="C1041" t="s">
        <v>2201</v>
      </c>
      <c r="D1041" t="s">
        <v>17</v>
      </c>
      <c r="E1041" t="s">
        <v>2</v>
      </c>
      <c r="F1041" t="s">
        <v>50</v>
      </c>
      <c r="G1041" t="s">
        <v>100</v>
      </c>
      <c r="H1041" s="6">
        <v>14.64</v>
      </c>
      <c r="I1041" t="s">
        <v>52</v>
      </c>
      <c r="J1041" t="s">
        <v>114</v>
      </c>
      <c r="K1041" t="s">
        <v>54</v>
      </c>
      <c r="L1041" t="s">
        <v>102</v>
      </c>
      <c r="O1041" t="s">
        <v>103</v>
      </c>
      <c r="P1041" t="s">
        <v>104</v>
      </c>
      <c r="Q1041" s="6">
        <v>23974.639999999999</v>
      </c>
    </row>
    <row r="1042" spans="1:17">
      <c r="A1042" t="s">
        <v>2202</v>
      </c>
      <c r="B1042" s="5">
        <v>46223</v>
      </c>
      <c r="C1042" t="s">
        <v>2203</v>
      </c>
      <c r="D1042" t="s">
        <v>17</v>
      </c>
      <c r="E1042" t="s">
        <v>2</v>
      </c>
      <c r="F1042" t="s">
        <v>50</v>
      </c>
      <c r="G1042" t="s">
        <v>100</v>
      </c>
      <c r="H1042" s="6">
        <v>15</v>
      </c>
      <c r="I1042" t="s">
        <v>52</v>
      </c>
      <c r="J1042" t="s">
        <v>101</v>
      </c>
      <c r="K1042" t="s">
        <v>54</v>
      </c>
      <c r="L1042" t="s">
        <v>102</v>
      </c>
      <c r="O1042" t="s">
        <v>103</v>
      </c>
      <c r="P1042" t="s">
        <v>104</v>
      </c>
      <c r="Q1042" s="6">
        <v>23989.279999999999</v>
      </c>
    </row>
    <row r="1043" spans="1:17">
      <c r="A1043" t="s">
        <v>2204</v>
      </c>
      <c r="B1043" s="5">
        <v>46223</v>
      </c>
      <c r="C1043" t="s">
        <v>2205</v>
      </c>
      <c r="D1043" t="s">
        <v>17</v>
      </c>
      <c r="E1043" t="s">
        <v>2</v>
      </c>
      <c r="F1043" t="s">
        <v>50</v>
      </c>
      <c r="G1043" t="s">
        <v>51</v>
      </c>
      <c r="H1043" s="6">
        <v>155.24</v>
      </c>
      <c r="I1043" t="s">
        <v>52</v>
      </c>
      <c r="J1043" t="s">
        <v>196</v>
      </c>
      <c r="K1043" t="s">
        <v>54</v>
      </c>
      <c r="L1043" t="s">
        <v>55</v>
      </c>
      <c r="O1043" t="s">
        <v>197</v>
      </c>
      <c r="P1043" t="s">
        <v>198</v>
      </c>
      <c r="Q1043" s="6">
        <v>23819.4</v>
      </c>
    </row>
    <row r="1044" spans="1:17">
      <c r="A1044" t="s">
        <v>2206</v>
      </c>
      <c r="B1044" s="5">
        <v>46223</v>
      </c>
      <c r="C1044" t="s">
        <v>2207</v>
      </c>
      <c r="D1044" t="s">
        <v>17</v>
      </c>
      <c r="E1044" t="s">
        <v>2</v>
      </c>
      <c r="F1044" t="s">
        <v>50</v>
      </c>
      <c r="G1044" t="s">
        <v>88</v>
      </c>
      <c r="H1044" s="6">
        <v>100</v>
      </c>
      <c r="I1044" t="s">
        <v>52</v>
      </c>
      <c r="J1044" t="s">
        <v>89</v>
      </c>
      <c r="K1044" t="s">
        <v>54</v>
      </c>
      <c r="L1044" t="s">
        <v>90</v>
      </c>
      <c r="M1044" t="s">
        <v>91</v>
      </c>
      <c r="N1044" t="s">
        <v>12</v>
      </c>
      <c r="O1044" t="s">
        <v>92</v>
      </c>
      <c r="P1044" t="s">
        <v>93</v>
      </c>
      <c r="Q1044" s="6">
        <v>23689.23</v>
      </c>
    </row>
    <row r="1045" spans="1:17">
      <c r="A1045" t="s">
        <v>2208</v>
      </c>
      <c r="B1045" s="5">
        <v>46224</v>
      </c>
      <c r="C1045" t="s">
        <v>2209</v>
      </c>
      <c r="D1045" t="s">
        <v>17</v>
      </c>
      <c r="E1045" t="s">
        <v>2</v>
      </c>
      <c r="F1045" t="s">
        <v>50</v>
      </c>
      <c r="G1045" t="s">
        <v>51</v>
      </c>
      <c r="H1045" s="6">
        <v>12.36</v>
      </c>
      <c r="I1045" t="s">
        <v>52</v>
      </c>
      <c r="J1045" t="s">
        <v>53</v>
      </c>
      <c r="K1045" t="s">
        <v>54</v>
      </c>
      <c r="L1045" t="s">
        <v>55</v>
      </c>
      <c r="O1045" t="s">
        <v>56</v>
      </c>
      <c r="P1045" t="s">
        <v>57</v>
      </c>
      <c r="Q1045" s="6">
        <v>23676.87</v>
      </c>
    </row>
    <row r="1046" spans="1:17">
      <c r="A1046" t="s">
        <v>2210</v>
      </c>
      <c r="B1046" s="5">
        <v>46224</v>
      </c>
      <c r="C1046" t="s">
        <v>2211</v>
      </c>
      <c r="D1046" t="s">
        <v>17</v>
      </c>
      <c r="E1046" t="s">
        <v>2</v>
      </c>
      <c r="F1046" t="s">
        <v>50</v>
      </c>
      <c r="G1046" t="s">
        <v>100</v>
      </c>
      <c r="H1046" s="6">
        <v>21.47</v>
      </c>
      <c r="I1046" t="s">
        <v>52</v>
      </c>
      <c r="J1046" t="s">
        <v>114</v>
      </c>
      <c r="K1046" t="s">
        <v>54</v>
      </c>
      <c r="L1046" t="s">
        <v>102</v>
      </c>
      <c r="O1046" t="s">
        <v>103</v>
      </c>
      <c r="P1046" t="s">
        <v>104</v>
      </c>
      <c r="Q1046" s="6">
        <v>23474.7</v>
      </c>
    </row>
    <row r="1047" spans="1:17">
      <c r="A1047" t="s">
        <v>2212</v>
      </c>
      <c r="B1047" s="5">
        <v>46224</v>
      </c>
      <c r="C1047" t="s">
        <v>2213</v>
      </c>
      <c r="D1047" t="s">
        <v>17</v>
      </c>
      <c r="E1047" t="s">
        <v>2</v>
      </c>
      <c r="F1047" t="s">
        <v>50</v>
      </c>
      <c r="G1047" t="s">
        <v>100</v>
      </c>
      <c r="H1047" s="6">
        <v>15</v>
      </c>
      <c r="I1047" t="s">
        <v>52</v>
      </c>
      <c r="J1047" t="s">
        <v>101</v>
      </c>
      <c r="K1047" t="s">
        <v>54</v>
      </c>
      <c r="L1047" t="s">
        <v>102</v>
      </c>
      <c r="O1047" t="s">
        <v>103</v>
      </c>
      <c r="P1047" t="s">
        <v>104</v>
      </c>
      <c r="Q1047" s="6">
        <v>23406.45</v>
      </c>
    </row>
    <row r="1048" spans="1:17">
      <c r="A1048" t="s">
        <v>2214</v>
      </c>
      <c r="B1048" s="5">
        <v>46224</v>
      </c>
      <c r="C1048" t="s">
        <v>2215</v>
      </c>
      <c r="D1048" t="s">
        <v>17</v>
      </c>
      <c r="E1048" t="s">
        <v>2</v>
      </c>
      <c r="F1048" t="s">
        <v>50</v>
      </c>
      <c r="G1048" t="s">
        <v>51</v>
      </c>
      <c r="H1048" s="6">
        <v>31.12</v>
      </c>
      <c r="I1048" t="s">
        <v>52</v>
      </c>
      <c r="J1048" t="s">
        <v>60</v>
      </c>
      <c r="K1048" t="s">
        <v>54</v>
      </c>
      <c r="L1048" t="s">
        <v>55</v>
      </c>
      <c r="O1048" t="s">
        <v>61</v>
      </c>
      <c r="P1048" t="s">
        <v>62</v>
      </c>
      <c r="Q1048" s="6">
        <v>23421.45</v>
      </c>
    </row>
    <row r="1049" spans="1:17">
      <c r="A1049" t="s">
        <v>2216</v>
      </c>
      <c r="B1049" s="5">
        <v>46224</v>
      </c>
      <c r="C1049" t="s">
        <v>2217</v>
      </c>
      <c r="D1049" t="s">
        <v>17</v>
      </c>
      <c r="E1049" t="s">
        <v>2</v>
      </c>
      <c r="F1049" t="s">
        <v>50</v>
      </c>
      <c r="G1049" t="s">
        <v>51</v>
      </c>
      <c r="H1049" s="6">
        <v>36.6</v>
      </c>
      <c r="I1049" t="s">
        <v>52</v>
      </c>
      <c r="J1049" t="s">
        <v>126</v>
      </c>
      <c r="K1049" t="s">
        <v>54</v>
      </c>
      <c r="L1049" t="s">
        <v>55</v>
      </c>
      <c r="O1049" t="s">
        <v>56</v>
      </c>
      <c r="P1049" t="s">
        <v>57</v>
      </c>
      <c r="Q1049" s="6">
        <v>23554.98</v>
      </c>
    </row>
    <row r="1050" spans="1:17">
      <c r="A1050" t="s">
        <v>2218</v>
      </c>
      <c r="B1050" s="5">
        <v>46224</v>
      </c>
      <c r="C1050" t="s">
        <v>2219</v>
      </c>
      <c r="D1050" t="s">
        <v>17</v>
      </c>
      <c r="E1050" t="s">
        <v>2</v>
      </c>
      <c r="F1050" t="s">
        <v>50</v>
      </c>
      <c r="G1050" t="s">
        <v>100</v>
      </c>
      <c r="H1050" s="6">
        <v>22.13</v>
      </c>
      <c r="I1050" t="s">
        <v>52</v>
      </c>
      <c r="J1050" t="s">
        <v>114</v>
      </c>
      <c r="K1050" t="s">
        <v>54</v>
      </c>
      <c r="L1050" t="s">
        <v>102</v>
      </c>
      <c r="O1050" t="s">
        <v>103</v>
      </c>
      <c r="P1050" t="s">
        <v>104</v>
      </c>
      <c r="Q1050" s="6">
        <v>23452.57</v>
      </c>
    </row>
    <row r="1051" spans="1:17">
      <c r="A1051" t="s">
        <v>2220</v>
      </c>
      <c r="B1051" s="5">
        <v>46224</v>
      </c>
      <c r="C1051" t="s">
        <v>2221</v>
      </c>
      <c r="D1051" t="s">
        <v>17</v>
      </c>
      <c r="E1051" t="s">
        <v>2</v>
      </c>
      <c r="F1051" t="s">
        <v>50</v>
      </c>
      <c r="G1051" t="s">
        <v>51</v>
      </c>
      <c r="H1051" s="6">
        <v>85.29</v>
      </c>
      <c r="I1051" t="s">
        <v>52</v>
      </c>
      <c r="J1051" t="s">
        <v>196</v>
      </c>
      <c r="K1051" t="s">
        <v>54</v>
      </c>
      <c r="L1051" t="s">
        <v>55</v>
      </c>
      <c r="O1051" t="s">
        <v>197</v>
      </c>
      <c r="P1051" t="s">
        <v>198</v>
      </c>
      <c r="Q1051" s="6">
        <v>23591.58</v>
      </c>
    </row>
    <row r="1052" spans="1:17">
      <c r="A1052" t="s">
        <v>2222</v>
      </c>
      <c r="B1052" s="5">
        <v>46224</v>
      </c>
      <c r="C1052" t="s">
        <v>2223</v>
      </c>
      <c r="D1052" t="s">
        <v>17</v>
      </c>
      <c r="E1052" t="s">
        <v>2</v>
      </c>
      <c r="F1052" t="s">
        <v>50</v>
      </c>
      <c r="G1052" t="s">
        <v>51</v>
      </c>
      <c r="H1052" s="6">
        <v>58.81</v>
      </c>
      <c r="I1052" t="s">
        <v>52</v>
      </c>
      <c r="J1052" t="s">
        <v>196</v>
      </c>
      <c r="K1052" t="s">
        <v>54</v>
      </c>
      <c r="L1052" t="s">
        <v>55</v>
      </c>
      <c r="O1052" t="s">
        <v>197</v>
      </c>
      <c r="P1052" t="s">
        <v>198</v>
      </c>
      <c r="Q1052" s="6">
        <v>23496.17</v>
      </c>
    </row>
    <row r="1053" spans="1:17">
      <c r="A1053" t="s">
        <v>2224</v>
      </c>
      <c r="B1053" s="5">
        <v>46225</v>
      </c>
      <c r="C1053" t="s">
        <v>2225</v>
      </c>
      <c r="D1053" t="s">
        <v>17</v>
      </c>
      <c r="E1053" t="s">
        <v>2</v>
      </c>
      <c r="F1053" t="s">
        <v>50</v>
      </c>
      <c r="G1053" t="s">
        <v>51</v>
      </c>
      <c r="H1053" s="6">
        <v>141.15</v>
      </c>
      <c r="I1053" t="s">
        <v>52</v>
      </c>
      <c r="J1053" t="s">
        <v>65</v>
      </c>
      <c r="K1053" t="s">
        <v>54</v>
      </c>
      <c r="L1053" t="s">
        <v>55</v>
      </c>
      <c r="O1053" t="s">
        <v>66</v>
      </c>
      <c r="P1053" t="s">
        <v>67</v>
      </c>
      <c r="Q1053" s="6">
        <v>23265.3</v>
      </c>
    </row>
    <row r="1054" spans="1:17">
      <c r="A1054" t="s">
        <v>2226</v>
      </c>
      <c r="B1054" s="5">
        <v>46225</v>
      </c>
      <c r="C1054" t="s">
        <v>2227</v>
      </c>
      <c r="D1054" t="s">
        <v>17</v>
      </c>
      <c r="E1054" t="s">
        <v>2</v>
      </c>
      <c r="F1054" t="s">
        <v>50</v>
      </c>
      <c r="G1054" t="s">
        <v>51</v>
      </c>
      <c r="H1054" s="6">
        <v>28.06</v>
      </c>
      <c r="I1054" t="s">
        <v>52</v>
      </c>
      <c r="J1054" t="s">
        <v>196</v>
      </c>
      <c r="K1054" t="s">
        <v>54</v>
      </c>
      <c r="L1054" t="s">
        <v>55</v>
      </c>
      <c r="O1054" t="s">
        <v>197</v>
      </c>
      <c r="P1054" t="s">
        <v>198</v>
      </c>
      <c r="Q1054" s="6">
        <v>23229.47</v>
      </c>
    </row>
    <row r="1055" spans="1:17">
      <c r="A1055" t="s">
        <v>2228</v>
      </c>
      <c r="B1055" s="5">
        <v>46225</v>
      </c>
      <c r="C1055" t="s">
        <v>2229</v>
      </c>
      <c r="D1055" t="s">
        <v>17</v>
      </c>
      <c r="E1055" t="s">
        <v>2</v>
      </c>
      <c r="F1055" t="s">
        <v>50</v>
      </c>
      <c r="G1055" t="s">
        <v>51</v>
      </c>
      <c r="H1055" s="6">
        <v>59.94</v>
      </c>
      <c r="I1055" t="s">
        <v>52</v>
      </c>
      <c r="J1055" t="s">
        <v>65</v>
      </c>
      <c r="K1055" t="s">
        <v>54</v>
      </c>
      <c r="L1055" t="s">
        <v>55</v>
      </c>
      <c r="O1055" t="s">
        <v>66</v>
      </c>
      <c r="P1055" t="s">
        <v>67</v>
      </c>
      <c r="Q1055" s="6">
        <v>23139.68</v>
      </c>
    </row>
    <row r="1056" spans="1:17">
      <c r="A1056" t="s">
        <v>2230</v>
      </c>
      <c r="B1056" s="5">
        <v>46225</v>
      </c>
      <c r="C1056" t="s">
        <v>2231</v>
      </c>
      <c r="D1056" t="s">
        <v>17</v>
      </c>
      <c r="E1056" t="s">
        <v>2</v>
      </c>
      <c r="F1056" t="s">
        <v>50</v>
      </c>
      <c r="G1056" t="s">
        <v>51</v>
      </c>
      <c r="H1056" s="6">
        <v>7.77</v>
      </c>
      <c r="I1056" t="s">
        <v>52</v>
      </c>
      <c r="J1056" t="s">
        <v>53</v>
      </c>
      <c r="K1056" t="s">
        <v>54</v>
      </c>
      <c r="L1056" t="s">
        <v>55</v>
      </c>
      <c r="O1056" t="s">
        <v>56</v>
      </c>
      <c r="P1056" t="s">
        <v>57</v>
      </c>
      <c r="Q1056" s="6">
        <v>23257.53</v>
      </c>
    </row>
    <row r="1057" spans="1:17">
      <c r="A1057" t="s">
        <v>2232</v>
      </c>
      <c r="B1057" s="5">
        <v>46225</v>
      </c>
      <c r="C1057" t="s">
        <v>2233</v>
      </c>
      <c r="D1057" t="s">
        <v>17</v>
      </c>
      <c r="E1057" t="s">
        <v>2</v>
      </c>
      <c r="F1057" t="s">
        <v>50</v>
      </c>
      <c r="G1057" t="s">
        <v>51</v>
      </c>
      <c r="H1057" s="6">
        <v>4.3600000000000003</v>
      </c>
      <c r="I1057" t="s">
        <v>52</v>
      </c>
      <c r="J1057" t="s">
        <v>121</v>
      </c>
      <c r="K1057" t="s">
        <v>54</v>
      </c>
      <c r="L1057" t="s">
        <v>55</v>
      </c>
      <c r="O1057" t="s">
        <v>122</v>
      </c>
      <c r="P1057" t="s">
        <v>123</v>
      </c>
      <c r="Q1057" s="6">
        <v>23135.32</v>
      </c>
    </row>
    <row r="1058" spans="1:17">
      <c r="A1058" t="s">
        <v>2234</v>
      </c>
      <c r="B1058" s="5">
        <v>46225</v>
      </c>
      <c r="C1058" t="s">
        <v>2235</v>
      </c>
      <c r="D1058" t="s">
        <v>17</v>
      </c>
      <c r="E1058" t="s">
        <v>2</v>
      </c>
      <c r="F1058" t="s">
        <v>50</v>
      </c>
      <c r="G1058" t="s">
        <v>51</v>
      </c>
      <c r="H1058" s="6">
        <v>29.85</v>
      </c>
      <c r="I1058" t="s">
        <v>52</v>
      </c>
      <c r="J1058" t="s">
        <v>81</v>
      </c>
      <c r="K1058" t="s">
        <v>54</v>
      </c>
      <c r="L1058" t="s">
        <v>55</v>
      </c>
      <c r="O1058" t="s">
        <v>82</v>
      </c>
      <c r="P1058" t="s">
        <v>83</v>
      </c>
      <c r="Q1058" s="6">
        <v>23199.62</v>
      </c>
    </row>
    <row r="1059" spans="1:17">
      <c r="A1059" t="s">
        <v>2236</v>
      </c>
      <c r="B1059" s="5">
        <v>46226</v>
      </c>
      <c r="C1059" t="s">
        <v>2237</v>
      </c>
      <c r="D1059" t="s">
        <v>17</v>
      </c>
      <c r="E1059" t="s">
        <v>2</v>
      </c>
      <c r="F1059" t="s">
        <v>50</v>
      </c>
      <c r="G1059" t="s">
        <v>100</v>
      </c>
      <c r="H1059" s="6">
        <v>15</v>
      </c>
      <c r="I1059" t="s">
        <v>52</v>
      </c>
      <c r="J1059" t="s">
        <v>101</v>
      </c>
      <c r="K1059" t="s">
        <v>54</v>
      </c>
      <c r="L1059" t="s">
        <v>102</v>
      </c>
      <c r="O1059" t="s">
        <v>103</v>
      </c>
      <c r="P1059" t="s">
        <v>104</v>
      </c>
      <c r="Q1059" s="6">
        <v>23086.83</v>
      </c>
    </row>
    <row r="1060" spans="1:17">
      <c r="A1060" t="s">
        <v>2238</v>
      </c>
      <c r="B1060" s="5">
        <v>46226</v>
      </c>
      <c r="C1060" t="s">
        <v>2239</v>
      </c>
      <c r="D1060" t="s">
        <v>17</v>
      </c>
      <c r="E1060" t="s">
        <v>2</v>
      </c>
      <c r="F1060" t="s">
        <v>50</v>
      </c>
      <c r="G1060" t="s">
        <v>51</v>
      </c>
      <c r="H1060" s="6">
        <v>17.11</v>
      </c>
      <c r="I1060" t="s">
        <v>52</v>
      </c>
      <c r="J1060" t="s">
        <v>53</v>
      </c>
      <c r="K1060" t="s">
        <v>54</v>
      </c>
      <c r="L1060" t="s">
        <v>55</v>
      </c>
      <c r="O1060" t="s">
        <v>56</v>
      </c>
      <c r="P1060" t="s">
        <v>57</v>
      </c>
      <c r="Q1060" s="6">
        <v>23021.66</v>
      </c>
    </row>
    <row r="1061" spans="1:17">
      <c r="A1061" t="s">
        <v>2240</v>
      </c>
      <c r="B1061" s="5">
        <v>46226</v>
      </c>
      <c r="C1061" t="s">
        <v>2241</v>
      </c>
      <c r="D1061" t="s">
        <v>17</v>
      </c>
      <c r="E1061" t="s">
        <v>2</v>
      </c>
      <c r="F1061" t="s">
        <v>50</v>
      </c>
      <c r="G1061" t="s">
        <v>51</v>
      </c>
      <c r="H1061" s="6">
        <v>9.17</v>
      </c>
      <c r="I1061" t="s">
        <v>52</v>
      </c>
      <c r="J1061" t="s">
        <v>121</v>
      </c>
      <c r="K1061" t="s">
        <v>54</v>
      </c>
      <c r="L1061" t="s">
        <v>55</v>
      </c>
      <c r="O1061" t="s">
        <v>122</v>
      </c>
      <c r="P1061" t="s">
        <v>123</v>
      </c>
      <c r="Q1061" s="6">
        <v>22757.23</v>
      </c>
    </row>
    <row r="1062" spans="1:17">
      <c r="A1062" t="s">
        <v>2242</v>
      </c>
      <c r="B1062" s="5">
        <v>46226</v>
      </c>
      <c r="C1062" t="s">
        <v>2243</v>
      </c>
      <c r="D1062" t="s">
        <v>17</v>
      </c>
      <c r="E1062" t="s">
        <v>2</v>
      </c>
      <c r="F1062" t="s">
        <v>50</v>
      </c>
      <c r="G1062" t="s">
        <v>51</v>
      </c>
      <c r="H1062" s="6">
        <v>127.68</v>
      </c>
      <c r="I1062" t="s">
        <v>52</v>
      </c>
      <c r="J1062" t="s">
        <v>65</v>
      </c>
      <c r="K1062" t="s">
        <v>54</v>
      </c>
      <c r="L1062" t="s">
        <v>55</v>
      </c>
      <c r="O1062" t="s">
        <v>66</v>
      </c>
      <c r="P1062" t="s">
        <v>67</v>
      </c>
      <c r="Q1062" s="6">
        <v>22766.400000000001</v>
      </c>
    </row>
    <row r="1063" spans="1:17">
      <c r="A1063" t="s">
        <v>2244</v>
      </c>
      <c r="B1063" s="5">
        <v>46226</v>
      </c>
      <c r="C1063" t="s">
        <v>2245</v>
      </c>
      <c r="D1063" t="s">
        <v>17</v>
      </c>
      <c r="E1063" t="s">
        <v>2</v>
      </c>
      <c r="F1063" t="s">
        <v>50</v>
      </c>
      <c r="G1063" t="s">
        <v>100</v>
      </c>
      <c r="H1063" s="6">
        <v>15</v>
      </c>
      <c r="I1063" t="s">
        <v>52</v>
      </c>
      <c r="J1063" t="s">
        <v>101</v>
      </c>
      <c r="K1063" t="s">
        <v>54</v>
      </c>
      <c r="L1063" t="s">
        <v>102</v>
      </c>
      <c r="O1063" t="s">
        <v>103</v>
      </c>
      <c r="P1063" t="s">
        <v>104</v>
      </c>
      <c r="Q1063" s="6">
        <v>22894.080000000002</v>
      </c>
    </row>
    <row r="1064" spans="1:17">
      <c r="A1064" t="s">
        <v>2246</v>
      </c>
      <c r="B1064" s="5">
        <v>46226</v>
      </c>
      <c r="C1064" t="s">
        <v>2247</v>
      </c>
      <c r="D1064" t="s">
        <v>17</v>
      </c>
      <c r="E1064" t="s">
        <v>2</v>
      </c>
      <c r="F1064" t="s">
        <v>50</v>
      </c>
      <c r="G1064" t="s">
        <v>51</v>
      </c>
      <c r="H1064" s="6">
        <v>48.06</v>
      </c>
      <c r="I1064" t="s">
        <v>52</v>
      </c>
      <c r="J1064" t="s">
        <v>60</v>
      </c>
      <c r="K1064" t="s">
        <v>54</v>
      </c>
      <c r="L1064" t="s">
        <v>55</v>
      </c>
      <c r="O1064" t="s">
        <v>61</v>
      </c>
      <c r="P1064" t="s">
        <v>62</v>
      </c>
      <c r="Q1064" s="6">
        <v>23038.77</v>
      </c>
    </row>
    <row r="1065" spans="1:17">
      <c r="A1065" t="s">
        <v>2248</v>
      </c>
      <c r="B1065" s="5">
        <v>46226</v>
      </c>
      <c r="C1065" t="s">
        <v>2249</v>
      </c>
      <c r="D1065" t="s">
        <v>17</v>
      </c>
      <c r="E1065" t="s">
        <v>2</v>
      </c>
      <c r="F1065" t="s">
        <v>50</v>
      </c>
      <c r="G1065" t="s">
        <v>51</v>
      </c>
      <c r="H1065" s="6">
        <v>33.49</v>
      </c>
      <c r="I1065" t="s">
        <v>52</v>
      </c>
      <c r="J1065" t="s">
        <v>65</v>
      </c>
      <c r="K1065" t="s">
        <v>54</v>
      </c>
      <c r="L1065" t="s">
        <v>55</v>
      </c>
      <c r="O1065" t="s">
        <v>66</v>
      </c>
      <c r="P1065" t="s">
        <v>67</v>
      </c>
      <c r="Q1065" s="6">
        <v>23101.83</v>
      </c>
    </row>
    <row r="1066" spans="1:17">
      <c r="A1066" t="s">
        <v>2250</v>
      </c>
      <c r="B1066" s="5">
        <v>46226</v>
      </c>
      <c r="C1066" t="s">
        <v>2251</v>
      </c>
      <c r="D1066" t="s">
        <v>17</v>
      </c>
      <c r="E1066" t="s">
        <v>2</v>
      </c>
      <c r="F1066" t="s">
        <v>50</v>
      </c>
      <c r="G1066" t="s">
        <v>51</v>
      </c>
      <c r="H1066" s="6">
        <v>112.58</v>
      </c>
      <c r="I1066" t="s">
        <v>52</v>
      </c>
      <c r="J1066" t="s">
        <v>65</v>
      </c>
      <c r="K1066" t="s">
        <v>54</v>
      </c>
      <c r="L1066" t="s">
        <v>55</v>
      </c>
      <c r="O1066" t="s">
        <v>66</v>
      </c>
      <c r="P1066" t="s">
        <v>67</v>
      </c>
      <c r="Q1066" s="6">
        <v>22909.08</v>
      </c>
    </row>
    <row r="1067" spans="1:17">
      <c r="A1067" t="s">
        <v>2252</v>
      </c>
      <c r="B1067" s="5">
        <v>46227</v>
      </c>
      <c r="C1067" t="s">
        <v>2253</v>
      </c>
      <c r="D1067" t="s">
        <v>17</v>
      </c>
      <c r="E1067" t="s">
        <v>2</v>
      </c>
      <c r="F1067" t="s">
        <v>50</v>
      </c>
      <c r="G1067" t="s">
        <v>72</v>
      </c>
      <c r="H1067" s="6">
        <v>41.56</v>
      </c>
      <c r="I1067" t="s">
        <v>52</v>
      </c>
      <c r="J1067" t="s">
        <v>73</v>
      </c>
      <c r="K1067" t="s">
        <v>54</v>
      </c>
      <c r="L1067" t="s">
        <v>74</v>
      </c>
      <c r="O1067" t="s">
        <v>75</v>
      </c>
      <c r="P1067" t="s">
        <v>76</v>
      </c>
      <c r="Q1067" s="6">
        <v>22433</v>
      </c>
    </row>
    <row r="1068" spans="1:17">
      <c r="A1068" t="s">
        <v>2254</v>
      </c>
      <c r="B1068" s="5">
        <v>46227</v>
      </c>
      <c r="C1068" t="s">
        <v>2255</v>
      </c>
      <c r="D1068" t="s">
        <v>17</v>
      </c>
      <c r="E1068" t="s">
        <v>2</v>
      </c>
      <c r="F1068" t="s">
        <v>50</v>
      </c>
      <c r="G1068" t="s">
        <v>51</v>
      </c>
      <c r="H1068" s="6">
        <v>22.86</v>
      </c>
      <c r="I1068" t="s">
        <v>52</v>
      </c>
      <c r="J1068" t="s">
        <v>126</v>
      </c>
      <c r="K1068" t="s">
        <v>54</v>
      </c>
      <c r="L1068" t="s">
        <v>55</v>
      </c>
      <c r="O1068" t="s">
        <v>56</v>
      </c>
      <c r="P1068" t="s">
        <v>57</v>
      </c>
      <c r="Q1068" s="6">
        <v>22593.33</v>
      </c>
    </row>
    <row r="1069" spans="1:17">
      <c r="A1069" t="s">
        <v>2256</v>
      </c>
      <c r="B1069" s="5">
        <v>46227</v>
      </c>
      <c r="C1069" t="s">
        <v>2257</v>
      </c>
      <c r="D1069" t="s">
        <v>17</v>
      </c>
      <c r="E1069" t="s">
        <v>2</v>
      </c>
      <c r="F1069" t="s">
        <v>50</v>
      </c>
      <c r="G1069" t="s">
        <v>51</v>
      </c>
      <c r="H1069" s="6">
        <v>25.59</v>
      </c>
      <c r="I1069" t="s">
        <v>52</v>
      </c>
      <c r="J1069" t="s">
        <v>65</v>
      </c>
      <c r="K1069" t="s">
        <v>54</v>
      </c>
      <c r="L1069" t="s">
        <v>55</v>
      </c>
      <c r="O1069" t="s">
        <v>66</v>
      </c>
      <c r="P1069" t="s">
        <v>67</v>
      </c>
      <c r="Q1069" s="6">
        <v>22552.74</v>
      </c>
    </row>
    <row r="1070" spans="1:17">
      <c r="A1070" t="s">
        <v>2258</v>
      </c>
      <c r="B1070" s="5">
        <v>46227</v>
      </c>
      <c r="C1070" t="s">
        <v>2259</v>
      </c>
      <c r="D1070" t="s">
        <v>17</v>
      </c>
      <c r="E1070" t="s">
        <v>2</v>
      </c>
      <c r="F1070" t="s">
        <v>50</v>
      </c>
      <c r="G1070" t="s">
        <v>51</v>
      </c>
      <c r="H1070" s="6">
        <v>28.29</v>
      </c>
      <c r="I1070" t="s">
        <v>52</v>
      </c>
      <c r="J1070" t="s">
        <v>60</v>
      </c>
      <c r="K1070" t="s">
        <v>54</v>
      </c>
      <c r="L1070" t="s">
        <v>55</v>
      </c>
      <c r="O1070" t="s">
        <v>61</v>
      </c>
      <c r="P1070" t="s">
        <v>62</v>
      </c>
      <c r="Q1070" s="6">
        <v>22524.45</v>
      </c>
    </row>
    <row r="1071" spans="1:17">
      <c r="A1071" t="s">
        <v>2260</v>
      </c>
      <c r="B1071" s="5">
        <v>46227</v>
      </c>
      <c r="C1071" t="s">
        <v>2261</v>
      </c>
      <c r="D1071" t="s">
        <v>17</v>
      </c>
      <c r="E1071" t="s">
        <v>2</v>
      </c>
      <c r="F1071" t="s">
        <v>50</v>
      </c>
      <c r="G1071" t="s">
        <v>100</v>
      </c>
      <c r="H1071" s="6">
        <v>15</v>
      </c>
      <c r="I1071" t="s">
        <v>52</v>
      </c>
      <c r="J1071" t="s">
        <v>101</v>
      </c>
      <c r="K1071" t="s">
        <v>54</v>
      </c>
      <c r="L1071" t="s">
        <v>102</v>
      </c>
      <c r="O1071" t="s">
        <v>103</v>
      </c>
      <c r="P1071" t="s">
        <v>104</v>
      </c>
      <c r="Q1071" s="6">
        <v>22578.33</v>
      </c>
    </row>
    <row r="1072" spans="1:17">
      <c r="A1072" t="s">
        <v>2262</v>
      </c>
      <c r="B1072" s="5">
        <v>46227</v>
      </c>
      <c r="C1072" t="s">
        <v>2263</v>
      </c>
      <c r="D1072" t="s">
        <v>17</v>
      </c>
      <c r="E1072" t="s">
        <v>2</v>
      </c>
      <c r="F1072" t="s">
        <v>50</v>
      </c>
      <c r="G1072" t="s">
        <v>51</v>
      </c>
      <c r="H1072" s="6">
        <v>49.89</v>
      </c>
      <c r="I1072" t="s">
        <v>52</v>
      </c>
      <c r="J1072" t="s">
        <v>81</v>
      </c>
      <c r="K1072" t="s">
        <v>54</v>
      </c>
      <c r="L1072" t="s">
        <v>55</v>
      </c>
      <c r="O1072" t="s">
        <v>82</v>
      </c>
      <c r="P1072" t="s">
        <v>83</v>
      </c>
      <c r="Q1072" s="6">
        <v>22474.560000000001</v>
      </c>
    </row>
    <row r="1073" spans="1:17">
      <c r="A1073" t="s">
        <v>2264</v>
      </c>
      <c r="B1073" s="5">
        <v>46227</v>
      </c>
      <c r="C1073" t="s">
        <v>2265</v>
      </c>
      <c r="D1073" t="s">
        <v>17</v>
      </c>
      <c r="E1073" t="s">
        <v>2</v>
      </c>
      <c r="F1073" t="s">
        <v>50</v>
      </c>
      <c r="G1073" t="s">
        <v>51</v>
      </c>
      <c r="H1073" s="6">
        <v>141.04</v>
      </c>
      <c r="I1073" t="s">
        <v>52</v>
      </c>
      <c r="J1073" t="s">
        <v>65</v>
      </c>
      <c r="K1073" t="s">
        <v>54</v>
      </c>
      <c r="L1073" t="s">
        <v>55</v>
      </c>
      <c r="O1073" t="s">
        <v>66</v>
      </c>
      <c r="P1073" t="s">
        <v>67</v>
      </c>
      <c r="Q1073" s="6">
        <v>22616.19</v>
      </c>
    </row>
    <row r="1074" spans="1:17">
      <c r="A1074" t="s">
        <v>2266</v>
      </c>
      <c r="B1074" s="5">
        <v>46228</v>
      </c>
      <c r="C1074" t="s">
        <v>2267</v>
      </c>
      <c r="D1074" t="s">
        <v>17</v>
      </c>
      <c r="E1074" t="s">
        <v>2</v>
      </c>
      <c r="F1074" t="s">
        <v>50</v>
      </c>
      <c r="G1074" t="s">
        <v>100</v>
      </c>
      <c r="H1074" s="6">
        <v>15.69</v>
      </c>
      <c r="I1074" t="s">
        <v>52</v>
      </c>
      <c r="J1074" t="s">
        <v>114</v>
      </c>
      <c r="K1074" t="s">
        <v>54</v>
      </c>
      <c r="L1074" t="s">
        <v>102</v>
      </c>
      <c r="O1074" t="s">
        <v>103</v>
      </c>
      <c r="P1074" t="s">
        <v>104</v>
      </c>
      <c r="Q1074" s="6">
        <v>22353.759999999998</v>
      </c>
    </row>
    <row r="1075" spans="1:17">
      <c r="A1075" t="s">
        <v>2268</v>
      </c>
      <c r="B1075" s="5">
        <v>46228</v>
      </c>
      <c r="C1075" t="s">
        <v>2269</v>
      </c>
      <c r="D1075" t="s">
        <v>17</v>
      </c>
      <c r="E1075" t="s">
        <v>2</v>
      </c>
      <c r="F1075" t="s">
        <v>50</v>
      </c>
      <c r="G1075" t="s">
        <v>100</v>
      </c>
      <c r="H1075" s="6">
        <v>20.46</v>
      </c>
      <c r="I1075" t="s">
        <v>52</v>
      </c>
      <c r="J1075" t="s">
        <v>114</v>
      </c>
      <c r="K1075" t="s">
        <v>54</v>
      </c>
      <c r="L1075" t="s">
        <v>102</v>
      </c>
      <c r="O1075" t="s">
        <v>103</v>
      </c>
      <c r="P1075" t="s">
        <v>104</v>
      </c>
      <c r="Q1075" s="6">
        <v>22412.54</v>
      </c>
    </row>
    <row r="1076" spans="1:17">
      <c r="A1076" t="s">
        <v>2270</v>
      </c>
      <c r="B1076" s="5">
        <v>46228</v>
      </c>
      <c r="C1076" t="s">
        <v>2271</v>
      </c>
      <c r="D1076" t="s">
        <v>17</v>
      </c>
      <c r="E1076" t="s">
        <v>2</v>
      </c>
      <c r="F1076" t="s">
        <v>50</v>
      </c>
      <c r="G1076" t="s">
        <v>51</v>
      </c>
      <c r="H1076" s="6">
        <v>48.35</v>
      </c>
      <c r="I1076" t="s">
        <v>52</v>
      </c>
      <c r="J1076" t="s">
        <v>81</v>
      </c>
      <c r="K1076" t="s">
        <v>54</v>
      </c>
      <c r="L1076" t="s">
        <v>55</v>
      </c>
      <c r="O1076" t="s">
        <v>82</v>
      </c>
      <c r="P1076" t="s">
        <v>83</v>
      </c>
      <c r="Q1076" s="6">
        <v>22305.41</v>
      </c>
    </row>
    <row r="1077" spans="1:17">
      <c r="A1077" t="s">
        <v>2272</v>
      </c>
      <c r="B1077" s="5">
        <v>46228</v>
      </c>
      <c r="C1077" t="s">
        <v>2273</v>
      </c>
      <c r="D1077" t="s">
        <v>17</v>
      </c>
      <c r="E1077" t="s">
        <v>2</v>
      </c>
      <c r="F1077" t="s">
        <v>50</v>
      </c>
      <c r="G1077" t="s">
        <v>51</v>
      </c>
      <c r="H1077" s="6">
        <v>15.47</v>
      </c>
      <c r="I1077" t="s">
        <v>52</v>
      </c>
      <c r="J1077" t="s">
        <v>53</v>
      </c>
      <c r="K1077" t="s">
        <v>54</v>
      </c>
      <c r="L1077" t="s">
        <v>55</v>
      </c>
      <c r="O1077" t="s">
        <v>56</v>
      </c>
      <c r="P1077" t="s">
        <v>57</v>
      </c>
      <c r="Q1077" s="6">
        <v>22369.45</v>
      </c>
    </row>
    <row r="1078" spans="1:17">
      <c r="A1078" t="s">
        <v>2274</v>
      </c>
      <c r="B1078" s="5">
        <v>46228</v>
      </c>
      <c r="C1078" t="s">
        <v>2275</v>
      </c>
      <c r="D1078" t="s">
        <v>17</v>
      </c>
      <c r="E1078" t="s">
        <v>2</v>
      </c>
      <c r="F1078" t="s">
        <v>50</v>
      </c>
      <c r="G1078" t="s">
        <v>51</v>
      </c>
      <c r="H1078" s="6">
        <v>54.91</v>
      </c>
      <c r="I1078" t="s">
        <v>52</v>
      </c>
      <c r="J1078" t="s">
        <v>60</v>
      </c>
      <c r="K1078" t="s">
        <v>54</v>
      </c>
      <c r="L1078" t="s">
        <v>55</v>
      </c>
      <c r="O1078" t="s">
        <v>61</v>
      </c>
      <c r="P1078" t="s">
        <v>62</v>
      </c>
      <c r="Q1078" s="6">
        <v>22250.5</v>
      </c>
    </row>
    <row r="1079" spans="1:17">
      <c r="A1079" t="s">
        <v>2276</v>
      </c>
      <c r="B1079" s="5">
        <v>46228</v>
      </c>
      <c r="C1079" t="s">
        <v>2277</v>
      </c>
      <c r="D1079" t="s">
        <v>17</v>
      </c>
      <c r="E1079" t="s">
        <v>2</v>
      </c>
      <c r="F1079" t="s">
        <v>50</v>
      </c>
      <c r="G1079" t="s">
        <v>100</v>
      </c>
      <c r="H1079" s="6">
        <v>15.21</v>
      </c>
      <c r="I1079" t="s">
        <v>52</v>
      </c>
      <c r="J1079" t="s">
        <v>114</v>
      </c>
      <c r="K1079" t="s">
        <v>54</v>
      </c>
      <c r="L1079" t="s">
        <v>102</v>
      </c>
      <c r="O1079" t="s">
        <v>103</v>
      </c>
      <c r="P1079" t="s">
        <v>104</v>
      </c>
      <c r="Q1079" s="6">
        <v>22397.33</v>
      </c>
    </row>
    <row r="1080" spans="1:17">
      <c r="A1080" t="s">
        <v>2278</v>
      </c>
      <c r="B1080" s="5">
        <v>46228</v>
      </c>
      <c r="C1080" t="s">
        <v>2279</v>
      </c>
      <c r="D1080" t="s">
        <v>17</v>
      </c>
      <c r="E1080" t="s">
        <v>2</v>
      </c>
      <c r="F1080" t="s">
        <v>50</v>
      </c>
      <c r="G1080" t="s">
        <v>100</v>
      </c>
      <c r="H1080" s="6">
        <v>12.41</v>
      </c>
      <c r="I1080" t="s">
        <v>52</v>
      </c>
      <c r="J1080" t="s">
        <v>114</v>
      </c>
      <c r="K1080" t="s">
        <v>54</v>
      </c>
      <c r="L1080" t="s">
        <v>102</v>
      </c>
      <c r="O1080" t="s">
        <v>103</v>
      </c>
      <c r="P1080" t="s">
        <v>104</v>
      </c>
      <c r="Q1080" s="6">
        <v>22384.92</v>
      </c>
    </row>
    <row r="1081" spans="1:17">
      <c r="A1081" t="s">
        <v>2280</v>
      </c>
      <c r="B1081" s="5">
        <v>46229</v>
      </c>
      <c r="C1081" t="s">
        <v>2281</v>
      </c>
      <c r="D1081" t="s">
        <v>17</v>
      </c>
      <c r="E1081" t="s">
        <v>2</v>
      </c>
      <c r="F1081" t="s">
        <v>50</v>
      </c>
      <c r="G1081" t="s">
        <v>100</v>
      </c>
      <c r="H1081" s="6">
        <v>19.88</v>
      </c>
      <c r="I1081" t="s">
        <v>52</v>
      </c>
      <c r="J1081" t="s">
        <v>114</v>
      </c>
      <c r="K1081" t="s">
        <v>54</v>
      </c>
      <c r="L1081" t="s">
        <v>102</v>
      </c>
      <c r="O1081" t="s">
        <v>103</v>
      </c>
      <c r="P1081" t="s">
        <v>104</v>
      </c>
      <c r="Q1081" s="6">
        <v>22222.1</v>
      </c>
    </row>
    <row r="1082" spans="1:17">
      <c r="A1082" t="s">
        <v>2282</v>
      </c>
      <c r="B1082" s="5">
        <v>46229</v>
      </c>
      <c r="C1082" t="s">
        <v>2283</v>
      </c>
      <c r="D1082" t="s">
        <v>17</v>
      </c>
      <c r="E1082" t="s">
        <v>2</v>
      </c>
      <c r="F1082" t="s">
        <v>50</v>
      </c>
      <c r="G1082" t="s">
        <v>51</v>
      </c>
      <c r="H1082" s="6">
        <v>119.86</v>
      </c>
      <c r="I1082" t="s">
        <v>52</v>
      </c>
      <c r="J1082" t="s">
        <v>196</v>
      </c>
      <c r="K1082" t="s">
        <v>54</v>
      </c>
      <c r="L1082" t="s">
        <v>55</v>
      </c>
      <c r="O1082" t="s">
        <v>197</v>
      </c>
      <c r="P1082" t="s">
        <v>198</v>
      </c>
      <c r="Q1082" s="6">
        <v>22010.36</v>
      </c>
    </row>
    <row r="1083" spans="1:17">
      <c r="A1083" t="s">
        <v>2284</v>
      </c>
      <c r="B1083" s="5">
        <v>46229</v>
      </c>
      <c r="C1083" t="s">
        <v>2285</v>
      </c>
      <c r="D1083" t="s">
        <v>17</v>
      </c>
      <c r="E1083" t="s">
        <v>2</v>
      </c>
      <c r="F1083" t="s">
        <v>50</v>
      </c>
      <c r="G1083" t="s">
        <v>51</v>
      </c>
      <c r="H1083" s="6">
        <v>42.94</v>
      </c>
      <c r="I1083" t="s">
        <v>52</v>
      </c>
      <c r="J1083" t="s">
        <v>126</v>
      </c>
      <c r="K1083" t="s">
        <v>54</v>
      </c>
      <c r="L1083" t="s">
        <v>55</v>
      </c>
      <c r="O1083" t="s">
        <v>56</v>
      </c>
      <c r="P1083" t="s">
        <v>57</v>
      </c>
      <c r="Q1083" s="6">
        <v>22179.16</v>
      </c>
    </row>
    <row r="1084" spans="1:17">
      <c r="A1084" t="s">
        <v>2286</v>
      </c>
      <c r="B1084" s="5">
        <v>46229</v>
      </c>
      <c r="C1084" t="s">
        <v>2287</v>
      </c>
      <c r="D1084" t="s">
        <v>17</v>
      </c>
      <c r="E1084" t="s">
        <v>2</v>
      </c>
      <c r="F1084" t="s">
        <v>50</v>
      </c>
      <c r="G1084" t="s">
        <v>100</v>
      </c>
      <c r="H1084" s="6">
        <v>19.36</v>
      </c>
      <c r="I1084" t="s">
        <v>52</v>
      </c>
      <c r="J1084" t="s">
        <v>114</v>
      </c>
      <c r="K1084" t="s">
        <v>54</v>
      </c>
      <c r="L1084" t="s">
        <v>102</v>
      </c>
      <c r="O1084" t="s">
        <v>103</v>
      </c>
      <c r="P1084" t="s">
        <v>104</v>
      </c>
      <c r="Q1084" s="6">
        <v>22130.22</v>
      </c>
    </row>
    <row r="1085" spans="1:17">
      <c r="A1085" t="s">
        <v>2288</v>
      </c>
      <c r="B1085" s="5">
        <v>46229</v>
      </c>
      <c r="C1085" t="s">
        <v>2289</v>
      </c>
      <c r="D1085" t="s">
        <v>17</v>
      </c>
      <c r="E1085" t="s">
        <v>2</v>
      </c>
      <c r="F1085" t="s">
        <v>50</v>
      </c>
      <c r="G1085" t="s">
        <v>51</v>
      </c>
      <c r="H1085" s="6">
        <v>8.52</v>
      </c>
      <c r="I1085" t="s">
        <v>52</v>
      </c>
      <c r="J1085" t="s">
        <v>53</v>
      </c>
      <c r="K1085" t="s">
        <v>54</v>
      </c>
      <c r="L1085" t="s">
        <v>55</v>
      </c>
      <c r="O1085" t="s">
        <v>56</v>
      </c>
      <c r="P1085" t="s">
        <v>57</v>
      </c>
      <c r="Q1085" s="6">
        <v>22241.98</v>
      </c>
    </row>
    <row r="1086" spans="1:17">
      <c r="A1086" t="s">
        <v>2290</v>
      </c>
      <c r="B1086" s="5">
        <v>46229</v>
      </c>
      <c r="C1086" t="s">
        <v>2291</v>
      </c>
      <c r="D1086" t="s">
        <v>17</v>
      </c>
      <c r="E1086" t="s">
        <v>2</v>
      </c>
      <c r="F1086" t="s">
        <v>50</v>
      </c>
      <c r="G1086" t="s">
        <v>51</v>
      </c>
      <c r="H1086" s="6">
        <v>29.58</v>
      </c>
      <c r="I1086" t="s">
        <v>52</v>
      </c>
      <c r="J1086" t="s">
        <v>196</v>
      </c>
      <c r="K1086" t="s">
        <v>54</v>
      </c>
      <c r="L1086" t="s">
        <v>55</v>
      </c>
      <c r="O1086" t="s">
        <v>197</v>
      </c>
      <c r="P1086" t="s">
        <v>198</v>
      </c>
      <c r="Q1086" s="6">
        <v>22149.58</v>
      </c>
    </row>
    <row r="1087" spans="1:17">
      <c r="A1087" t="s">
        <v>2292</v>
      </c>
      <c r="B1087" s="5">
        <v>46230</v>
      </c>
      <c r="C1087" t="s">
        <v>2293</v>
      </c>
      <c r="D1087" t="s">
        <v>17</v>
      </c>
      <c r="E1087" t="s">
        <v>2</v>
      </c>
      <c r="F1087" t="s">
        <v>50</v>
      </c>
      <c r="G1087" t="s">
        <v>100</v>
      </c>
      <c r="H1087" s="6">
        <v>15</v>
      </c>
      <c r="I1087" t="s">
        <v>52</v>
      </c>
      <c r="J1087" t="s">
        <v>101</v>
      </c>
      <c r="K1087" t="s">
        <v>54</v>
      </c>
      <c r="L1087" t="s">
        <v>102</v>
      </c>
      <c r="O1087" t="s">
        <v>103</v>
      </c>
      <c r="P1087" t="s">
        <v>104</v>
      </c>
      <c r="Q1087" s="6">
        <v>21995.360000000001</v>
      </c>
    </row>
    <row r="1088" spans="1:17">
      <c r="A1088" t="s">
        <v>2294</v>
      </c>
      <c r="B1088" s="5">
        <v>46230</v>
      </c>
      <c r="C1088" t="s">
        <v>2295</v>
      </c>
      <c r="D1088" t="s">
        <v>17</v>
      </c>
      <c r="E1088" t="s">
        <v>2</v>
      </c>
      <c r="F1088" t="s">
        <v>50</v>
      </c>
      <c r="G1088" t="s">
        <v>51</v>
      </c>
      <c r="H1088" s="6">
        <v>18.62</v>
      </c>
      <c r="I1088" t="s">
        <v>52</v>
      </c>
      <c r="J1088" t="s">
        <v>121</v>
      </c>
      <c r="K1088" t="s">
        <v>54</v>
      </c>
      <c r="L1088" t="s">
        <v>55</v>
      </c>
      <c r="O1088" t="s">
        <v>122</v>
      </c>
      <c r="P1088" t="s">
        <v>123</v>
      </c>
      <c r="Q1088" s="6">
        <v>21976.74</v>
      </c>
    </row>
    <row r="1089" spans="1:17">
      <c r="A1089" t="s">
        <v>2296</v>
      </c>
      <c r="B1089" s="5">
        <v>46230</v>
      </c>
      <c r="C1089" t="s">
        <v>2297</v>
      </c>
      <c r="D1089" t="s">
        <v>17</v>
      </c>
      <c r="E1089" t="s">
        <v>2</v>
      </c>
      <c r="F1089" t="s">
        <v>50</v>
      </c>
      <c r="G1089" t="s">
        <v>51</v>
      </c>
      <c r="H1089" s="6">
        <v>11.41</v>
      </c>
      <c r="I1089" t="s">
        <v>52</v>
      </c>
      <c r="J1089" t="s">
        <v>53</v>
      </c>
      <c r="K1089" t="s">
        <v>54</v>
      </c>
      <c r="L1089" t="s">
        <v>55</v>
      </c>
      <c r="O1089" t="s">
        <v>56</v>
      </c>
      <c r="P1089" t="s">
        <v>57</v>
      </c>
      <c r="Q1089" s="6">
        <v>21965.33</v>
      </c>
    </row>
    <row r="1090" spans="1:17">
      <c r="A1090" t="s">
        <v>2298</v>
      </c>
      <c r="B1090" s="5">
        <v>46230</v>
      </c>
      <c r="C1090" t="s">
        <v>2299</v>
      </c>
      <c r="D1090" t="s">
        <v>17</v>
      </c>
      <c r="E1090" t="s">
        <v>2</v>
      </c>
      <c r="F1090" t="s">
        <v>50</v>
      </c>
      <c r="G1090" t="s">
        <v>51</v>
      </c>
      <c r="H1090" s="6">
        <v>106.64</v>
      </c>
      <c r="I1090" t="s">
        <v>52</v>
      </c>
      <c r="J1090" t="s">
        <v>196</v>
      </c>
      <c r="K1090" t="s">
        <v>54</v>
      </c>
      <c r="L1090" t="s">
        <v>55</v>
      </c>
      <c r="O1090" t="s">
        <v>197</v>
      </c>
      <c r="P1090" t="s">
        <v>198</v>
      </c>
      <c r="Q1090" s="6">
        <v>21789.46</v>
      </c>
    </row>
    <row r="1091" spans="1:17">
      <c r="A1091" t="s">
        <v>2300</v>
      </c>
      <c r="B1091" s="5">
        <v>46230</v>
      </c>
      <c r="C1091" t="s">
        <v>2301</v>
      </c>
      <c r="D1091" t="s">
        <v>17</v>
      </c>
      <c r="E1091" t="s">
        <v>2</v>
      </c>
      <c r="F1091" t="s">
        <v>50</v>
      </c>
      <c r="G1091" t="s">
        <v>51</v>
      </c>
      <c r="H1091" s="6">
        <v>69.23</v>
      </c>
      <c r="I1091" t="s">
        <v>52</v>
      </c>
      <c r="J1091" t="s">
        <v>60</v>
      </c>
      <c r="K1091" t="s">
        <v>54</v>
      </c>
      <c r="L1091" t="s">
        <v>55</v>
      </c>
      <c r="O1091" t="s">
        <v>61</v>
      </c>
      <c r="P1091" t="s">
        <v>62</v>
      </c>
      <c r="Q1091" s="6">
        <v>21896.1</v>
      </c>
    </row>
    <row r="1092" spans="1:17">
      <c r="A1092" t="s">
        <v>2302</v>
      </c>
      <c r="B1092" s="5">
        <v>46231</v>
      </c>
      <c r="C1092" t="s">
        <v>2303</v>
      </c>
      <c r="D1092" t="s">
        <v>17</v>
      </c>
      <c r="E1092" t="s">
        <v>2</v>
      </c>
      <c r="F1092" t="s">
        <v>149</v>
      </c>
      <c r="G1092" t="s">
        <v>72</v>
      </c>
      <c r="H1092" s="6">
        <v>54.23</v>
      </c>
      <c r="I1092" t="s">
        <v>52</v>
      </c>
      <c r="J1092" t="s">
        <v>638</v>
      </c>
      <c r="K1092" t="s">
        <v>54</v>
      </c>
      <c r="L1092" t="s">
        <v>74</v>
      </c>
      <c r="O1092" t="s">
        <v>75</v>
      </c>
      <c r="P1092" t="s">
        <v>76</v>
      </c>
      <c r="Q1092" s="6">
        <v>21656.2</v>
      </c>
    </row>
    <row r="1093" spans="1:17">
      <c r="A1093" t="s">
        <v>2304</v>
      </c>
      <c r="B1093" s="5">
        <v>46231</v>
      </c>
      <c r="C1093" t="s">
        <v>2305</v>
      </c>
      <c r="D1093" t="s">
        <v>17</v>
      </c>
      <c r="E1093" t="s">
        <v>2</v>
      </c>
      <c r="F1093" t="s">
        <v>50</v>
      </c>
      <c r="G1093" t="s">
        <v>51</v>
      </c>
      <c r="H1093" s="6">
        <v>36.6</v>
      </c>
      <c r="I1093" t="s">
        <v>52</v>
      </c>
      <c r="J1093" t="s">
        <v>81</v>
      </c>
      <c r="K1093" t="s">
        <v>54</v>
      </c>
      <c r="L1093" t="s">
        <v>55</v>
      </c>
      <c r="O1093" t="s">
        <v>82</v>
      </c>
      <c r="P1093" t="s">
        <v>83</v>
      </c>
      <c r="Q1093" s="6">
        <v>21619.49</v>
      </c>
    </row>
    <row r="1094" spans="1:17">
      <c r="A1094" t="s">
        <v>2306</v>
      </c>
      <c r="B1094" s="5">
        <v>46231</v>
      </c>
      <c r="C1094" t="s">
        <v>2307</v>
      </c>
      <c r="D1094" t="s">
        <v>17</v>
      </c>
      <c r="E1094" t="s">
        <v>2</v>
      </c>
      <c r="F1094" t="s">
        <v>50</v>
      </c>
      <c r="G1094" t="s">
        <v>51</v>
      </c>
      <c r="H1094" s="6">
        <v>39.700000000000003</v>
      </c>
      <c r="I1094" t="s">
        <v>52</v>
      </c>
      <c r="J1094" t="s">
        <v>126</v>
      </c>
      <c r="K1094" t="s">
        <v>54</v>
      </c>
      <c r="L1094" t="s">
        <v>55</v>
      </c>
      <c r="O1094" t="s">
        <v>56</v>
      </c>
      <c r="P1094" t="s">
        <v>57</v>
      </c>
      <c r="Q1094" s="6">
        <v>21685.45</v>
      </c>
    </row>
    <row r="1095" spans="1:17">
      <c r="A1095" t="s">
        <v>2308</v>
      </c>
      <c r="B1095" s="5">
        <v>46231</v>
      </c>
      <c r="C1095" t="s">
        <v>2309</v>
      </c>
      <c r="D1095" t="s">
        <v>17</v>
      </c>
      <c r="E1095" t="s">
        <v>2</v>
      </c>
      <c r="F1095" t="s">
        <v>149</v>
      </c>
      <c r="G1095" t="s">
        <v>321</v>
      </c>
      <c r="H1095" s="6">
        <v>3060.87</v>
      </c>
      <c r="I1095" t="s">
        <v>52</v>
      </c>
      <c r="J1095" t="s">
        <v>9</v>
      </c>
      <c r="K1095" t="s">
        <v>54</v>
      </c>
      <c r="L1095" t="s">
        <v>102</v>
      </c>
      <c r="O1095" t="s">
        <v>322</v>
      </c>
      <c r="P1095" t="s">
        <v>323</v>
      </c>
      <c r="Q1095" s="6">
        <v>44688.95</v>
      </c>
    </row>
    <row r="1096" spans="1:17">
      <c r="A1096" t="s">
        <v>2310</v>
      </c>
      <c r="B1096" s="5">
        <v>46231</v>
      </c>
      <c r="C1096" t="s">
        <v>2311</v>
      </c>
      <c r="D1096" t="s">
        <v>17</v>
      </c>
      <c r="E1096" t="s">
        <v>2</v>
      </c>
      <c r="F1096" t="s">
        <v>50</v>
      </c>
      <c r="G1096" t="s">
        <v>100</v>
      </c>
      <c r="H1096" s="6">
        <v>21.24</v>
      </c>
      <c r="I1096" t="s">
        <v>52</v>
      </c>
      <c r="J1096" t="s">
        <v>114</v>
      </c>
      <c r="K1096" t="s">
        <v>54</v>
      </c>
      <c r="L1096" t="s">
        <v>102</v>
      </c>
      <c r="O1096" t="s">
        <v>103</v>
      </c>
      <c r="P1096" t="s">
        <v>104</v>
      </c>
      <c r="Q1096" s="6">
        <v>21768.22</v>
      </c>
    </row>
    <row r="1097" spans="1:17">
      <c r="A1097" t="s">
        <v>2312</v>
      </c>
      <c r="B1097" s="5">
        <v>46231</v>
      </c>
      <c r="C1097" t="s">
        <v>1460</v>
      </c>
      <c r="D1097" t="s">
        <v>17</v>
      </c>
      <c r="E1097" t="s">
        <v>2</v>
      </c>
      <c r="F1097" t="s">
        <v>50</v>
      </c>
      <c r="G1097" t="s">
        <v>51</v>
      </c>
      <c r="H1097" s="6">
        <v>17.52</v>
      </c>
      <c r="I1097" t="s">
        <v>52</v>
      </c>
      <c r="J1097" t="s">
        <v>121</v>
      </c>
      <c r="K1097" t="s">
        <v>54</v>
      </c>
      <c r="L1097" t="s">
        <v>55</v>
      </c>
      <c r="O1097" t="s">
        <v>122</v>
      </c>
      <c r="P1097" t="s">
        <v>123</v>
      </c>
      <c r="Q1097" s="6">
        <v>21601.97</v>
      </c>
    </row>
    <row r="1098" spans="1:17">
      <c r="A1098" t="s">
        <v>2313</v>
      </c>
      <c r="B1098" s="5">
        <v>46231</v>
      </c>
      <c r="C1098" t="s">
        <v>2314</v>
      </c>
      <c r="D1098" t="s">
        <v>17</v>
      </c>
      <c r="E1098" t="s">
        <v>2</v>
      </c>
      <c r="F1098" t="s">
        <v>50</v>
      </c>
      <c r="G1098" t="s">
        <v>51</v>
      </c>
      <c r="H1098" s="6">
        <v>43.07</v>
      </c>
      <c r="I1098" t="s">
        <v>52</v>
      </c>
      <c r="J1098" t="s">
        <v>81</v>
      </c>
      <c r="K1098" t="s">
        <v>54</v>
      </c>
      <c r="L1098" t="s">
        <v>55</v>
      </c>
      <c r="O1098" t="s">
        <v>82</v>
      </c>
      <c r="P1098" t="s">
        <v>83</v>
      </c>
      <c r="Q1098" s="6">
        <v>21725.15</v>
      </c>
    </row>
    <row r="1099" spans="1:17">
      <c r="A1099" t="s">
        <v>2315</v>
      </c>
      <c r="B1099" s="5">
        <v>46231</v>
      </c>
      <c r="C1099" t="s">
        <v>2316</v>
      </c>
      <c r="D1099" t="s">
        <v>17</v>
      </c>
      <c r="E1099" t="s">
        <v>2</v>
      </c>
      <c r="F1099" t="s">
        <v>50</v>
      </c>
      <c r="G1099" t="s">
        <v>51</v>
      </c>
      <c r="H1099" s="6">
        <v>29.36</v>
      </c>
      <c r="I1099" t="s">
        <v>52</v>
      </c>
      <c r="J1099" t="s">
        <v>126</v>
      </c>
      <c r="K1099" t="s">
        <v>54</v>
      </c>
      <c r="L1099" t="s">
        <v>55</v>
      </c>
      <c r="O1099" t="s">
        <v>56</v>
      </c>
      <c r="P1099" t="s">
        <v>57</v>
      </c>
      <c r="Q1099" s="6">
        <v>21656.09</v>
      </c>
    </row>
    <row r="1100" spans="1:17">
      <c r="A1100" t="s">
        <v>2317</v>
      </c>
      <c r="B1100" s="5">
        <v>46232</v>
      </c>
      <c r="C1100" t="s">
        <v>2318</v>
      </c>
      <c r="D1100" t="s">
        <v>17</v>
      </c>
      <c r="E1100" t="s">
        <v>2</v>
      </c>
      <c r="F1100" t="s">
        <v>149</v>
      </c>
      <c r="G1100" t="s">
        <v>72</v>
      </c>
      <c r="H1100" s="6">
        <v>132.46</v>
      </c>
      <c r="I1100" t="s">
        <v>52</v>
      </c>
      <c r="J1100" t="s">
        <v>316</v>
      </c>
      <c r="K1100" t="s">
        <v>54</v>
      </c>
      <c r="L1100" t="s">
        <v>74</v>
      </c>
      <c r="O1100" t="s">
        <v>75</v>
      </c>
      <c r="P1100" t="s">
        <v>76</v>
      </c>
      <c r="Q1100" s="6">
        <v>21420.92</v>
      </c>
    </row>
    <row r="1101" spans="1:17">
      <c r="A1101" t="s">
        <v>2319</v>
      </c>
      <c r="B1101" s="5">
        <v>46232</v>
      </c>
      <c r="C1101" t="s">
        <v>2320</v>
      </c>
      <c r="D1101" t="s">
        <v>17</v>
      </c>
      <c r="E1101" t="s">
        <v>2</v>
      </c>
      <c r="F1101" t="s">
        <v>50</v>
      </c>
      <c r="G1101" t="s">
        <v>51</v>
      </c>
      <c r="H1101" s="6">
        <v>18.600000000000001</v>
      </c>
      <c r="I1101" t="s">
        <v>52</v>
      </c>
      <c r="J1101" t="s">
        <v>126</v>
      </c>
      <c r="K1101" t="s">
        <v>54</v>
      </c>
      <c r="L1101" t="s">
        <v>55</v>
      </c>
      <c r="O1101" t="s">
        <v>56</v>
      </c>
      <c r="P1101" t="s">
        <v>57</v>
      </c>
      <c r="Q1101" s="6">
        <v>21436.45</v>
      </c>
    </row>
    <row r="1102" spans="1:17">
      <c r="A1102" t="s">
        <v>2321</v>
      </c>
      <c r="B1102" s="5">
        <v>46232</v>
      </c>
      <c r="C1102" t="s">
        <v>2322</v>
      </c>
      <c r="D1102" t="s">
        <v>17</v>
      </c>
      <c r="E1102" t="s">
        <v>2</v>
      </c>
      <c r="F1102" t="s">
        <v>50</v>
      </c>
      <c r="G1102" t="s">
        <v>100</v>
      </c>
      <c r="H1102" s="6">
        <v>12.03</v>
      </c>
      <c r="I1102" t="s">
        <v>52</v>
      </c>
      <c r="J1102" t="s">
        <v>114</v>
      </c>
      <c r="K1102" t="s">
        <v>54</v>
      </c>
      <c r="L1102" t="s">
        <v>102</v>
      </c>
      <c r="O1102" t="s">
        <v>103</v>
      </c>
      <c r="P1102" t="s">
        <v>104</v>
      </c>
      <c r="Q1102" s="6">
        <v>21533.93</v>
      </c>
    </row>
    <row r="1103" spans="1:17">
      <c r="A1103" t="s">
        <v>2323</v>
      </c>
      <c r="B1103" s="5">
        <v>46232</v>
      </c>
      <c r="C1103" t="s">
        <v>2324</v>
      </c>
      <c r="D1103" t="s">
        <v>17</v>
      </c>
      <c r="E1103" t="s">
        <v>2</v>
      </c>
      <c r="F1103" t="s">
        <v>50</v>
      </c>
      <c r="G1103" t="s">
        <v>51</v>
      </c>
      <c r="H1103" s="6">
        <v>110.24</v>
      </c>
      <c r="I1103" t="s">
        <v>52</v>
      </c>
      <c r="J1103" t="s">
        <v>65</v>
      </c>
      <c r="K1103" t="s">
        <v>54</v>
      </c>
      <c r="L1103" t="s">
        <v>55</v>
      </c>
      <c r="O1103" t="s">
        <v>66</v>
      </c>
      <c r="P1103" t="s">
        <v>67</v>
      </c>
      <c r="Q1103" s="6">
        <v>21545.96</v>
      </c>
    </row>
    <row r="1104" spans="1:17">
      <c r="A1104" t="s">
        <v>2325</v>
      </c>
      <c r="B1104" s="5">
        <v>46232</v>
      </c>
      <c r="C1104" t="s">
        <v>2326</v>
      </c>
      <c r="D1104" t="s">
        <v>17</v>
      </c>
      <c r="E1104" t="s">
        <v>2</v>
      </c>
      <c r="F1104" t="s">
        <v>50</v>
      </c>
      <c r="G1104" t="s">
        <v>51</v>
      </c>
      <c r="H1104" s="6">
        <v>50.24</v>
      </c>
      <c r="I1104" t="s">
        <v>52</v>
      </c>
      <c r="J1104" t="s">
        <v>196</v>
      </c>
      <c r="K1104" t="s">
        <v>54</v>
      </c>
      <c r="L1104" t="s">
        <v>55</v>
      </c>
      <c r="O1104" t="s">
        <v>197</v>
      </c>
      <c r="P1104" t="s">
        <v>198</v>
      </c>
      <c r="Q1104" s="6">
        <v>21483.69</v>
      </c>
    </row>
    <row r="1105" spans="1:17">
      <c r="A1105" t="s">
        <v>2327</v>
      </c>
      <c r="B1105" s="5">
        <v>46232</v>
      </c>
      <c r="C1105" t="s">
        <v>2328</v>
      </c>
      <c r="D1105" t="s">
        <v>17</v>
      </c>
      <c r="E1105" t="s">
        <v>2</v>
      </c>
      <c r="F1105" t="s">
        <v>50</v>
      </c>
      <c r="G1105" t="s">
        <v>51</v>
      </c>
      <c r="H1105" s="6">
        <v>142.69999999999999</v>
      </c>
      <c r="I1105" t="s">
        <v>52</v>
      </c>
      <c r="J1105" t="s">
        <v>196</v>
      </c>
      <c r="K1105" t="s">
        <v>54</v>
      </c>
      <c r="L1105" t="s">
        <v>55</v>
      </c>
      <c r="O1105" t="s">
        <v>197</v>
      </c>
      <c r="P1105" t="s">
        <v>198</v>
      </c>
      <c r="Q1105" s="6">
        <v>21288.46</v>
      </c>
    </row>
    <row r="1106" spans="1:17">
      <c r="A1106" t="s">
        <v>2329</v>
      </c>
      <c r="B1106" s="5">
        <v>46232</v>
      </c>
      <c r="C1106" t="s">
        <v>2330</v>
      </c>
      <c r="D1106" t="s">
        <v>17</v>
      </c>
      <c r="E1106" t="s">
        <v>2</v>
      </c>
      <c r="F1106" t="s">
        <v>50</v>
      </c>
      <c r="G1106" t="s">
        <v>51</v>
      </c>
      <c r="H1106" s="6">
        <v>5.29</v>
      </c>
      <c r="I1106" t="s">
        <v>52</v>
      </c>
      <c r="J1106" t="s">
        <v>53</v>
      </c>
      <c r="K1106" t="s">
        <v>54</v>
      </c>
      <c r="L1106" t="s">
        <v>55</v>
      </c>
      <c r="O1106" t="s">
        <v>56</v>
      </c>
      <c r="P1106" t="s">
        <v>57</v>
      </c>
      <c r="Q1106" s="6">
        <v>21431.16</v>
      </c>
    </row>
    <row r="1107" spans="1:17">
      <c r="A1107" t="s">
        <v>2331</v>
      </c>
      <c r="B1107" s="5">
        <v>46232</v>
      </c>
      <c r="C1107" t="s">
        <v>2332</v>
      </c>
      <c r="D1107" t="s">
        <v>17</v>
      </c>
      <c r="E1107" t="s">
        <v>2</v>
      </c>
      <c r="F1107" t="s">
        <v>50</v>
      </c>
      <c r="G1107" t="s">
        <v>51</v>
      </c>
      <c r="H1107" s="6">
        <v>11.77</v>
      </c>
      <c r="I1107" t="s">
        <v>52</v>
      </c>
      <c r="J1107" t="s">
        <v>126</v>
      </c>
      <c r="K1107" t="s">
        <v>54</v>
      </c>
      <c r="L1107" t="s">
        <v>55</v>
      </c>
      <c r="O1107" t="s">
        <v>56</v>
      </c>
      <c r="P1107" t="s">
        <v>57</v>
      </c>
      <c r="Q1107" s="6">
        <v>21455.05</v>
      </c>
    </row>
    <row r="1108" spans="1:17">
      <c r="A1108" t="s">
        <v>2333</v>
      </c>
      <c r="B1108" s="5">
        <v>46232</v>
      </c>
      <c r="C1108" t="s">
        <v>2334</v>
      </c>
      <c r="D1108" t="s">
        <v>17</v>
      </c>
      <c r="E1108" t="s">
        <v>2</v>
      </c>
      <c r="F1108" t="s">
        <v>50</v>
      </c>
      <c r="G1108" t="s">
        <v>51</v>
      </c>
      <c r="H1108" s="6">
        <v>16.87</v>
      </c>
      <c r="I1108" t="s">
        <v>52</v>
      </c>
      <c r="J1108" t="s">
        <v>53</v>
      </c>
      <c r="K1108" t="s">
        <v>54</v>
      </c>
      <c r="L1108" t="s">
        <v>55</v>
      </c>
      <c r="O1108" t="s">
        <v>56</v>
      </c>
      <c r="P1108" t="s">
        <v>57</v>
      </c>
      <c r="Q1108" s="6">
        <v>21466.82</v>
      </c>
    </row>
    <row r="1109" spans="1:17">
      <c r="A1109" t="s">
        <v>2335</v>
      </c>
      <c r="B1109" s="5">
        <v>46233</v>
      </c>
      <c r="C1109" t="s">
        <v>2336</v>
      </c>
      <c r="D1109" t="s">
        <v>17</v>
      </c>
      <c r="E1109" t="s">
        <v>2</v>
      </c>
      <c r="F1109" t="s">
        <v>50</v>
      </c>
      <c r="G1109" t="s">
        <v>51</v>
      </c>
      <c r="H1109" s="6">
        <v>145.09</v>
      </c>
      <c r="I1109" t="s">
        <v>52</v>
      </c>
      <c r="J1109" t="s">
        <v>196</v>
      </c>
      <c r="K1109" t="s">
        <v>54</v>
      </c>
      <c r="L1109" t="s">
        <v>55</v>
      </c>
      <c r="O1109" t="s">
        <v>197</v>
      </c>
      <c r="P1109" t="s">
        <v>198</v>
      </c>
      <c r="Q1109" s="6">
        <v>21203.91</v>
      </c>
    </row>
    <row r="1110" spans="1:17">
      <c r="A1110" t="s">
        <v>2337</v>
      </c>
      <c r="B1110" s="5">
        <v>46233</v>
      </c>
      <c r="C1110" t="s">
        <v>2338</v>
      </c>
      <c r="D1110" t="s">
        <v>17</v>
      </c>
      <c r="E1110" t="s">
        <v>2</v>
      </c>
      <c r="F1110" t="s">
        <v>50</v>
      </c>
      <c r="G1110" t="s">
        <v>51</v>
      </c>
      <c r="H1110" s="6">
        <v>10.91</v>
      </c>
      <c r="I1110" t="s">
        <v>52</v>
      </c>
      <c r="J1110" t="s">
        <v>121</v>
      </c>
      <c r="K1110" t="s">
        <v>54</v>
      </c>
      <c r="L1110" t="s">
        <v>55</v>
      </c>
      <c r="O1110" t="s">
        <v>122</v>
      </c>
      <c r="P1110" t="s">
        <v>123</v>
      </c>
      <c r="Q1110" s="6">
        <v>21349</v>
      </c>
    </row>
    <row r="1111" spans="1:17">
      <c r="A1111" t="s">
        <v>2339</v>
      </c>
      <c r="B1111" s="5">
        <v>46233</v>
      </c>
      <c r="C1111" t="s">
        <v>2340</v>
      </c>
      <c r="D1111" t="s">
        <v>17</v>
      </c>
      <c r="E1111" t="s">
        <v>2</v>
      </c>
      <c r="F1111" t="s">
        <v>50</v>
      </c>
      <c r="G1111" t="s">
        <v>88</v>
      </c>
      <c r="H1111" s="6">
        <v>100</v>
      </c>
      <c r="I1111" t="s">
        <v>52</v>
      </c>
      <c r="J1111" t="s">
        <v>89</v>
      </c>
      <c r="K1111" t="s">
        <v>54</v>
      </c>
      <c r="L1111" t="s">
        <v>90</v>
      </c>
      <c r="M1111" t="s">
        <v>91</v>
      </c>
      <c r="N1111" t="s">
        <v>12</v>
      </c>
      <c r="O1111" t="s">
        <v>92</v>
      </c>
      <c r="P1111" t="s">
        <v>93</v>
      </c>
      <c r="Q1111" s="6">
        <v>21024.98</v>
      </c>
    </row>
    <row r="1112" spans="1:17">
      <c r="A1112" t="s">
        <v>2341</v>
      </c>
      <c r="B1112" s="5">
        <v>46233</v>
      </c>
      <c r="C1112" t="s">
        <v>2342</v>
      </c>
      <c r="D1112" t="s">
        <v>17</v>
      </c>
      <c r="E1112" t="s">
        <v>2</v>
      </c>
      <c r="F1112" t="s">
        <v>50</v>
      </c>
      <c r="G1112" t="s">
        <v>51</v>
      </c>
      <c r="H1112" s="6">
        <v>5.81</v>
      </c>
      <c r="I1112" t="s">
        <v>52</v>
      </c>
      <c r="J1112" t="s">
        <v>121</v>
      </c>
      <c r="K1112" t="s">
        <v>54</v>
      </c>
      <c r="L1112" t="s">
        <v>55</v>
      </c>
      <c r="O1112" t="s">
        <v>122</v>
      </c>
      <c r="P1112" t="s">
        <v>123</v>
      </c>
      <c r="Q1112" s="6">
        <v>21124.98</v>
      </c>
    </row>
    <row r="1113" spans="1:17">
      <c r="A1113" t="s">
        <v>2343</v>
      </c>
      <c r="B1113" s="5">
        <v>46233</v>
      </c>
      <c r="C1113" t="s">
        <v>2344</v>
      </c>
      <c r="D1113" t="s">
        <v>17</v>
      </c>
      <c r="E1113" t="s">
        <v>2</v>
      </c>
      <c r="F1113" t="s">
        <v>50</v>
      </c>
      <c r="G1113" t="s">
        <v>51</v>
      </c>
      <c r="H1113" s="6">
        <v>61.01</v>
      </c>
      <c r="I1113" t="s">
        <v>52</v>
      </c>
      <c r="J1113" t="s">
        <v>60</v>
      </c>
      <c r="K1113" t="s">
        <v>54</v>
      </c>
      <c r="L1113" t="s">
        <v>55</v>
      </c>
      <c r="O1113" t="s">
        <v>61</v>
      </c>
      <c r="P1113" t="s">
        <v>62</v>
      </c>
      <c r="Q1113" s="6">
        <v>21359.91</v>
      </c>
    </row>
    <row r="1114" spans="1:17">
      <c r="A1114" t="s">
        <v>2345</v>
      </c>
      <c r="B1114" s="5">
        <v>46233</v>
      </c>
      <c r="C1114" t="s">
        <v>2346</v>
      </c>
      <c r="D1114" t="s">
        <v>17</v>
      </c>
      <c r="E1114" t="s">
        <v>2</v>
      </c>
      <c r="F1114" t="s">
        <v>50</v>
      </c>
      <c r="G1114" t="s">
        <v>100</v>
      </c>
      <c r="H1114" s="6">
        <v>18.47</v>
      </c>
      <c r="I1114" t="s">
        <v>52</v>
      </c>
      <c r="J1114" t="s">
        <v>114</v>
      </c>
      <c r="K1114" t="s">
        <v>54</v>
      </c>
      <c r="L1114" t="s">
        <v>102</v>
      </c>
      <c r="O1114" t="s">
        <v>103</v>
      </c>
      <c r="P1114" t="s">
        <v>104</v>
      </c>
      <c r="Q1114" s="6">
        <v>21181.41</v>
      </c>
    </row>
    <row r="1115" spans="1:17">
      <c r="A1115" t="s">
        <v>2347</v>
      </c>
      <c r="B1115" s="5">
        <v>46233</v>
      </c>
      <c r="C1115" t="s">
        <v>2348</v>
      </c>
      <c r="D1115" t="s">
        <v>17</v>
      </c>
      <c r="E1115" t="s">
        <v>2</v>
      </c>
      <c r="F1115" t="s">
        <v>50</v>
      </c>
      <c r="G1115" t="s">
        <v>51</v>
      </c>
      <c r="H1115" s="6">
        <v>39.270000000000003</v>
      </c>
      <c r="I1115" t="s">
        <v>52</v>
      </c>
      <c r="J1115" t="s">
        <v>196</v>
      </c>
      <c r="K1115" t="s">
        <v>54</v>
      </c>
      <c r="L1115" t="s">
        <v>55</v>
      </c>
      <c r="O1115" t="s">
        <v>197</v>
      </c>
      <c r="P1115" t="s">
        <v>198</v>
      </c>
      <c r="Q1115" s="6">
        <v>21142.14</v>
      </c>
    </row>
    <row r="1116" spans="1:17">
      <c r="A1116" t="s">
        <v>2349</v>
      </c>
      <c r="B1116" s="5">
        <v>46233</v>
      </c>
      <c r="C1116" t="s">
        <v>2350</v>
      </c>
      <c r="D1116" t="s">
        <v>17</v>
      </c>
      <c r="E1116" t="s">
        <v>2</v>
      </c>
      <c r="F1116" t="s">
        <v>50</v>
      </c>
      <c r="G1116" t="s">
        <v>100</v>
      </c>
      <c r="H1116" s="6">
        <v>11.35</v>
      </c>
      <c r="I1116" t="s">
        <v>52</v>
      </c>
      <c r="J1116" t="s">
        <v>114</v>
      </c>
      <c r="K1116" t="s">
        <v>54</v>
      </c>
      <c r="L1116" t="s">
        <v>102</v>
      </c>
      <c r="O1116" t="s">
        <v>103</v>
      </c>
      <c r="P1116" t="s">
        <v>104</v>
      </c>
      <c r="Q1116" s="6">
        <v>21130.79</v>
      </c>
    </row>
    <row r="1117" spans="1:17">
      <c r="A1117" t="s">
        <v>2351</v>
      </c>
      <c r="B1117" s="5">
        <v>46233</v>
      </c>
      <c r="C1117" t="s">
        <v>2352</v>
      </c>
      <c r="D1117" t="s">
        <v>17</v>
      </c>
      <c r="E1117" t="s">
        <v>2</v>
      </c>
      <c r="F1117" t="s">
        <v>50</v>
      </c>
      <c r="G1117" t="s">
        <v>51</v>
      </c>
      <c r="H1117" s="6">
        <v>4.03</v>
      </c>
      <c r="I1117" t="s">
        <v>52</v>
      </c>
      <c r="J1117" t="s">
        <v>121</v>
      </c>
      <c r="K1117" t="s">
        <v>54</v>
      </c>
      <c r="L1117" t="s">
        <v>55</v>
      </c>
      <c r="O1117" t="s">
        <v>122</v>
      </c>
      <c r="P1117" t="s">
        <v>123</v>
      </c>
      <c r="Q1117" s="6">
        <v>21199.88</v>
      </c>
    </row>
    <row r="1118" spans="1:17">
      <c r="A1118" t="s">
        <v>2353</v>
      </c>
      <c r="B1118" s="5">
        <v>46234</v>
      </c>
      <c r="C1118" t="s">
        <v>2354</v>
      </c>
      <c r="D1118" t="s">
        <v>17</v>
      </c>
      <c r="E1118" t="s">
        <v>2</v>
      </c>
      <c r="F1118" t="s">
        <v>50</v>
      </c>
      <c r="G1118" t="s">
        <v>51</v>
      </c>
      <c r="H1118" s="6">
        <v>38.880000000000003</v>
      </c>
      <c r="I1118" t="s">
        <v>52</v>
      </c>
      <c r="J1118" t="s">
        <v>81</v>
      </c>
      <c r="K1118" t="s">
        <v>54</v>
      </c>
      <c r="L1118" t="s">
        <v>55</v>
      </c>
      <c r="O1118" t="s">
        <v>82</v>
      </c>
      <c r="P1118" t="s">
        <v>83</v>
      </c>
      <c r="Q1118" s="6">
        <v>20898.740000000002</v>
      </c>
    </row>
    <row r="1119" spans="1:17">
      <c r="A1119" t="s">
        <v>2355</v>
      </c>
      <c r="B1119" s="5">
        <v>46234</v>
      </c>
      <c r="C1119" t="s">
        <v>2356</v>
      </c>
      <c r="D1119" t="s">
        <v>17</v>
      </c>
      <c r="E1119" t="s">
        <v>2</v>
      </c>
      <c r="F1119" t="s">
        <v>149</v>
      </c>
      <c r="G1119" t="s">
        <v>72</v>
      </c>
      <c r="H1119" s="6">
        <v>33.729999999999997</v>
      </c>
      <c r="I1119" t="s">
        <v>52</v>
      </c>
      <c r="J1119" t="s">
        <v>316</v>
      </c>
      <c r="K1119" t="s">
        <v>54</v>
      </c>
      <c r="L1119" t="s">
        <v>74</v>
      </c>
      <c r="O1119" t="s">
        <v>75</v>
      </c>
      <c r="P1119" t="s">
        <v>76</v>
      </c>
      <c r="Q1119" s="6">
        <v>20869.96</v>
      </c>
    </row>
    <row r="1120" spans="1:17">
      <c r="A1120" t="s">
        <v>2357</v>
      </c>
      <c r="B1120" s="5">
        <v>46234</v>
      </c>
      <c r="C1120" t="s">
        <v>2358</v>
      </c>
      <c r="D1120" t="s">
        <v>17</v>
      </c>
      <c r="E1120" t="s">
        <v>2</v>
      </c>
      <c r="F1120" t="s">
        <v>50</v>
      </c>
      <c r="G1120" t="s">
        <v>51</v>
      </c>
      <c r="H1120" s="6">
        <v>9.14</v>
      </c>
      <c r="I1120" t="s">
        <v>52</v>
      </c>
      <c r="J1120" t="s">
        <v>121</v>
      </c>
      <c r="K1120" t="s">
        <v>54</v>
      </c>
      <c r="L1120" t="s">
        <v>55</v>
      </c>
      <c r="O1120" t="s">
        <v>122</v>
      </c>
      <c r="P1120" t="s">
        <v>123</v>
      </c>
      <c r="Q1120" s="6">
        <v>20948.669999999998</v>
      </c>
    </row>
    <row r="1121" spans="1:17">
      <c r="A1121" t="s">
        <v>2359</v>
      </c>
      <c r="B1121" s="5">
        <v>46234</v>
      </c>
      <c r="C1121" t="s">
        <v>2067</v>
      </c>
      <c r="D1121" t="s">
        <v>17</v>
      </c>
      <c r="E1121" t="s">
        <v>2</v>
      </c>
      <c r="F1121" t="s">
        <v>50</v>
      </c>
      <c r="G1121" t="s">
        <v>100</v>
      </c>
      <c r="H1121" s="6">
        <v>13.69</v>
      </c>
      <c r="I1121" t="s">
        <v>52</v>
      </c>
      <c r="J1121" t="s">
        <v>114</v>
      </c>
      <c r="K1121" t="s">
        <v>54</v>
      </c>
      <c r="L1121" t="s">
        <v>102</v>
      </c>
      <c r="O1121" t="s">
        <v>103</v>
      </c>
      <c r="P1121" t="s">
        <v>104</v>
      </c>
      <c r="Q1121" s="6">
        <v>20957.810000000001</v>
      </c>
    </row>
    <row r="1122" spans="1:17">
      <c r="A1122" t="s">
        <v>2360</v>
      </c>
      <c r="B1122" s="5">
        <v>46234</v>
      </c>
      <c r="C1122" t="s">
        <v>2361</v>
      </c>
      <c r="D1122" t="s">
        <v>17</v>
      </c>
      <c r="E1122" t="s">
        <v>2</v>
      </c>
      <c r="F1122" t="s">
        <v>50</v>
      </c>
      <c r="G1122" t="s">
        <v>100</v>
      </c>
      <c r="H1122" s="6">
        <v>15</v>
      </c>
      <c r="I1122" t="s">
        <v>52</v>
      </c>
      <c r="J1122" t="s">
        <v>101</v>
      </c>
      <c r="K1122" t="s">
        <v>54</v>
      </c>
      <c r="L1122" t="s">
        <v>102</v>
      </c>
      <c r="O1122" t="s">
        <v>103</v>
      </c>
      <c r="P1122" t="s">
        <v>104</v>
      </c>
      <c r="Q1122" s="6">
        <v>20971.5</v>
      </c>
    </row>
    <row r="1123" spans="1:17">
      <c r="A1123" t="s">
        <v>2362</v>
      </c>
      <c r="B1123" s="5">
        <v>46234</v>
      </c>
      <c r="C1123" t="s">
        <v>2363</v>
      </c>
      <c r="D1123" t="s">
        <v>17</v>
      </c>
      <c r="E1123" t="s">
        <v>2</v>
      </c>
      <c r="F1123" t="s">
        <v>50</v>
      </c>
      <c r="G1123" t="s">
        <v>100</v>
      </c>
      <c r="H1123" s="6">
        <v>15</v>
      </c>
      <c r="I1123" t="s">
        <v>52</v>
      </c>
      <c r="J1123" t="s">
        <v>101</v>
      </c>
      <c r="K1123" t="s">
        <v>54</v>
      </c>
      <c r="L1123" t="s">
        <v>102</v>
      </c>
      <c r="O1123" t="s">
        <v>103</v>
      </c>
      <c r="P1123" t="s">
        <v>104</v>
      </c>
      <c r="Q1123" s="6">
        <v>20836.23</v>
      </c>
    </row>
    <row r="1124" spans="1:17">
      <c r="A1124" t="s">
        <v>2364</v>
      </c>
      <c r="B1124" s="5">
        <v>46234</v>
      </c>
      <c r="C1124" t="s">
        <v>2365</v>
      </c>
      <c r="D1124" t="s">
        <v>17</v>
      </c>
      <c r="E1124" t="s">
        <v>2</v>
      </c>
      <c r="F1124" t="s">
        <v>50</v>
      </c>
      <c r="G1124" t="s">
        <v>51</v>
      </c>
      <c r="H1124" s="6">
        <v>11.05</v>
      </c>
      <c r="I1124" t="s">
        <v>52</v>
      </c>
      <c r="J1124" t="s">
        <v>121</v>
      </c>
      <c r="K1124" t="s">
        <v>54</v>
      </c>
      <c r="L1124" t="s">
        <v>55</v>
      </c>
      <c r="O1124" t="s">
        <v>122</v>
      </c>
      <c r="P1124" t="s">
        <v>123</v>
      </c>
      <c r="Q1124" s="6">
        <v>20937.62</v>
      </c>
    </row>
    <row r="1125" spans="1:17">
      <c r="A1125" t="s">
        <v>2366</v>
      </c>
      <c r="B1125" s="5">
        <v>46234</v>
      </c>
      <c r="C1125" t="s">
        <v>2367</v>
      </c>
      <c r="D1125" t="s">
        <v>17</v>
      </c>
      <c r="E1125" t="s">
        <v>2</v>
      </c>
      <c r="F1125" t="s">
        <v>50</v>
      </c>
      <c r="G1125" t="s">
        <v>51</v>
      </c>
      <c r="H1125" s="6">
        <v>47.51</v>
      </c>
      <c r="I1125" t="s">
        <v>52</v>
      </c>
      <c r="J1125" t="s">
        <v>126</v>
      </c>
      <c r="K1125" t="s">
        <v>54</v>
      </c>
      <c r="L1125" t="s">
        <v>55</v>
      </c>
      <c r="O1125" t="s">
        <v>56</v>
      </c>
      <c r="P1125" t="s">
        <v>57</v>
      </c>
      <c r="Q1125" s="6">
        <v>20851.23</v>
      </c>
    </row>
    <row r="1126" spans="1:17">
      <c r="A1126" t="s">
        <v>2368</v>
      </c>
      <c r="B1126" s="5">
        <v>46234</v>
      </c>
      <c r="C1126" t="s">
        <v>2369</v>
      </c>
      <c r="D1126" t="s">
        <v>17</v>
      </c>
      <c r="E1126" t="s">
        <v>2</v>
      </c>
      <c r="F1126" t="s">
        <v>50</v>
      </c>
      <c r="G1126" t="s">
        <v>51</v>
      </c>
      <c r="H1126" s="6">
        <v>38.479999999999997</v>
      </c>
      <c r="I1126" t="s">
        <v>52</v>
      </c>
      <c r="J1126" t="s">
        <v>126</v>
      </c>
      <c r="K1126" t="s">
        <v>54</v>
      </c>
      <c r="L1126" t="s">
        <v>55</v>
      </c>
      <c r="O1126" t="s">
        <v>56</v>
      </c>
      <c r="P1126" t="s">
        <v>57</v>
      </c>
      <c r="Q1126" s="6">
        <v>20986.5</v>
      </c>
    </row>
    <row r="1127" spans="1:17">
      <c r="A1127" t="s">
        <v>2370</v>
      </c>
      <c r="B1127" s="5">
        <v>46235</v>
      </c>
      <c r="C1127" t="s">
        <v>2371</v>
      </c>
      <c r="D1127" t="s">
        <v>17</v>
      </c>
      <c r="E1127" t="s">
        <v>2</v>
      </c>
      <c r="F1127" t="s">
        <v>50</v>
      </c>
      <c r="G1127" t="s">
        <v>51</v>
      </c>
      <c r="H1127" s="6">
        <v>4.74</v>
      </c>
      <c r="I1127" t="s">
        <v>52</v>
      </c>
      <c r="J1127" t="s">
        <v>53</v>
      </c>
      <c r="K1127" t="s">
        <v>54</v>
      </c>
      <c r="L1127" t="s">
        <v>55</v>
      </c>
      <c r="O1127" t="s">
        <v>56</v>
      </c>
      <c r="P1127" t="s">
        <v>57</v>
      </c>
      <c r="Q1127" s="6">
        <v>20646.86</v>
      </c>
    </row>
    <row r="1128" spans="1:17">
      <c r="A1128" t="s">
        <v>2372</v>
      </c>
      <c r="B1128" s="5">
        <v>46235</v>
      </c>
      <c r="C1128" t="s">
        <v>2373</v>
      </c>
      <c r="D1128" t="s">
        <v>17</v>
      </c>
      <c r="E1128" t="s">
        <v>2</v>
      </c>
      <c r="F1128" t="s">
        <v>50</v>
      </c>
      <c r="G1128" t="s">
        <v>51</v>
      </c>
      <c r="H1128" s="6">
        <v>61.6</v>
      </c>
      <c r="I1128" t="s">
        <v>52</v>
      </c>
      <c r="J1128" t="s">
        <v>65</v>
      </c>
      <c r="K1128" t="s">
        <v>54</v>
      </c>
      <c r="L1128" t="s">
        <v>55</v>
      </c>
      <c r="O1128" t="s">
        <v>66</v>
      </c>
      <c r="P1128" t="s">
        <v>67</v>
      </c>
      <c r="Q1128" s="6">
        <v>20808.36</v>
      </c>
    </row>
    <row r="1129" spans="1:17">
      <c r="A1129" t="s">
        <v>2374</v>
      </c>
      <c r="B1129" s="5">
        <v>46235</v>
      </c>
      <c r="C1129" t="s">
        <v>2375</v>
      </c>
      <c r="D1129" t="s">
        <v>17</v>
      </c>
      <c r="E1129" t="s">
        <v>2</v>
      </c>
      <c r="F1129" t="s">
        <v>50</v>
      </c>
      <c r="G1129" t="s">
        <v>100</v>
      </c>
      <c r="H1129" s="6">
        <v>17.25</v>
      </c>
      <c r="I1129" t="s">
        <v>52</v>
      </c>
      <c r="J1129" t="s">
        <v>114</v>
      </c>
      <c r="K1129" t="s">
        <v>54</v>
      </c>
      <c r="L1129" t="s">
        <v>102</v>
      </c>
      <c r="O1129" t="s">
        <v>103</v>
      </c>
      <c r="P1129" t="s">
        <v>104</v>
      </c>
      <c r="Q1129" s="6">
        <v>20727.830000000002</v>
      </c>
    </row>
    <row r="1130" spans="1:17">
      <c r="A1130" t="s">
        <v>2376</v>
      </c>
      <c r="B1130" s="5">
        <v>46235</v>
      </c>
      <c r="C1130" t="s">
        <v>2377</v>
      </c>
      <c r="D1130" t="s">
        <v>17</v>
      </c>
      <c r="E1130" t="s">
        <v>2</v>
      </c>
      <c r="F1130" t="s">
        <v>50</v>
      </c>
      <c r="G1130" t="s">
        <v>100</v>
      </c>
      <c r="H1130" s="6">
        <v>15</v>
      </c>
      <c r="I1130" t="s">
        <v>52</v>
      </c>
      <c r="J1130" t="s">
        <v>101</v>
      </c>
      <c r="K1130" t="s">
        <v>54</v>
      </c>
      <c r="L1130" t="s">
        <v>102</v>
      </c>
      <c r="O1130" t="s">
        <v>103</v>
      </c>
      <c r="P1130" t="s">
        <v>104</v>
      </c>
      <c r="Q1130" s="6">
        <v>20793.36</v>
      </c>
    </row>
    <row r="1131" spans="1:17">
      <c r="A1131" t="s">
        <v>2378</v>
      </c>
      <c r="B1131" s="5">
        <v>46235</v>
      </c>
      <c r="C1131" t="s">
        <v>2379</v>
      </c>
      <c r="D1131" t="s">
        <v>17</v>
      </c>
      <c r="E1131" t="s">
        <v>2</v>
      </c>
      <c r="F1131" t="s">
        <v>50</v>
      </c>
      <c r="G1131" t="s">
        <v>51</v>
      </c>
      <c r="H1131" s="6">
        <v>10.4</v>
      </c>
      <c r="I1131" t="s">
        <v>52</v>
      </c>
      <c r="J1131" t="s">
        <v>126</v>
      </c>
      <c r="K1131" t="s">
        <v>54</v>
      </c>
      <c r="L1131" t="s">
        <v>55</v>
      </c>
      <c r="O1131" t="s">
        <v>56</v>
      </c>
      <c r="P1131" t="s">
        <v>57</v>
      </c>
      <c r="Q1131" s="6">
        <v>20651.599999999999</v>
      </c>
    </row>
    <row r="1132" spans="1:17">
      <c r="A1132" t="s">
        <v>2380</v>
      </c>
      <c r="B1132" s="5">
        <v>46235</v>
      </c>
      <c r="C1132" t="s">
        <v>2381</v>
      </c>
      <c r="D1132" t="s">
        <v>17</v>
      </c>
      <c r="E1132" t="s">
        <v>2</v>
      </c>
      <c r="F1132" t="s">
        <v>50</v>
      </c>
      <c r="G1132" t="s">
        <v>51</v>
      </c>
      <c r="H1132" s="6">
        <v>65.83</v>
      </c>
      <c r="I1132" t="s">
        <v>52</v>
      </c>
      <c r="J1132" t="s">
        <v>65</v>
      </c>
      <c r="K1132" t="s">
        <v>54</v>
      </c>
      <c r="L1132" t="s">
        <v>55</v>
      </c>
      <c r="O1132" t="s">
        <v>66</v>
      </c>
      <c r="P1132" t="s">
        <v>67</v>
      </c>
      <c r="Q1132" s="6">
        <v>20662</v>
      </c>
    </row>
    <row r="1133" spans="1:17">
      <c r="A1133" t="s">
        <v>2382</v>
      </c>
      <c r="B1133" s="5">
        <v>46235</v>
      </c>
      <c r="C1133" t="s">
        <v>2383</v>
      </c>
      <c r="D1133" t="s">
        <v>17</v>
      </c>
      <c r="E1133" t="s">
        <v>2</v>
      </c>
      <c r="F1133" t="s">
        <v>50</v>
      </c>
      <c r="G1133" t="s">
        <v>51</v>
      </c>
      <c r="H1133" s="6">
        <v>48.28</v>
      </c>
      <c r="I1133" t="s">
        <v>52</v>
      </c>
      <c r="J1133" t="s">
        <v>196</v>
      </c>
      <c r="K1133" t="s">
        <v>54</v>
      </c>
      <c r="L1133" t="s">
        <v>55</v>
      </c>
      <c r="O1133" t="s">
        <v>197</v>
      </c>
      <c r="P1133" t="s">
        <v>198</v>
      </c>
      <c r="Q1133" s="6">
        <v>20745.080000000002</v>
      </c>
    </row>
    <row r="1134" spans="1:17">
      <c r="A1134" t="s">
        <v>2384</v>
      </c>
      <c r="B1134" s="5">
        <v>46236</v>
      </c>
      <c r="C1134" t="s">
        <v>2385</v>
      </c>
      <c r="D1134" t="s">
        <v>17</v>
      </c>
      <c r="E1134" t="s">
        <v>2</v>
      </c>
      <c r="F1134" t="s">
        <v>50</v>
      </c>
      <c r="G1134" t="s">
        <v>100</v>
      </c>
      <c r="H1134" s="6">
        <v>24.5</v>
      </c>
      <c r="I1134" t="s">
        <v>52</v>
      </c>
      <c r="J1134" t="s">
        <v>114</v>
      </c>
      <c r="K1134" t="s">
        <v>54</v>
      </c>
      <c r="L1134" t="s">
        <v>102</v>
      </c>
      <c r="O1134" t="s">
        <v>103</v>
      </c>
      <c r="P1134" t="s">
        <v>104</v>
      </c>
      <c r="Q1134" s="6">
        <v>20559.759999999998</v>
      </c>
    </row>
    <row r="1135" spans="1:17">
      <c r="A1135" t="s">
        <v>2386</v>
      </c>
      <c r="B1135" s="5">
        <v>46236</v>
      </c>
      <c r="C1135" t="s">
        <v>2387</v>
      </c>
      <c r="D1135" t="s">
        <v>17</v>
      </c>
      <c r="E1135" t="s">
        <v>2</v>
      </c>
      <c r="F1135" t="s">
        <v>149</v>
      </c>
      <c r="G1135" t="s">
        <v>72</v>
      </c>
      <c r="H1135" s="6">
        <v>162.46</v>
      </c>
      <c r="I1135" t="s">
        <v>52</v>
      </c>
      <c r="J1135" t="s">
        <v>233</v>
      </c>
      <c r="K1135" t="s">
        <v>54</v>
      </c>
      <c r="L1135" t="s">
        <v>74</v>
      </c>
      <c r="O1135" t="s">
        <v>75</v>
      </c>
      <c r="P1135" t="s">
        <v>76</v>
      </c>
      <c r="Q1135" s="6">
        <v>20691.61</v>
      </c>
    </row>
    <row r="1136" spans="1:17">
      <c r="A1136" t="s">
        <v>2388</v>
      </c>
      <c r="B1136" s="5">
        <v>46236</v>
      </c>
      <c r="C1136" t="s">
        <v>2389</v>
      </c>
      <c r="D1136" t="s">
        <v>17</v>
      </c>
      <c r="E1136" t="s">
        <v>2</v>
      </c>
      <c r="F1136" t="s">
        <v>50</v>
      </c>
      <c r="G1136" t="s">
        <v>100</v>
      </c>
      <c r="H1136" s="6">
        <v>15</v>
      </c>
      <c r="I1136" t="s">
        <v>52</v>
      </c>
      <c r="J1136" t="s">
        <v>101</v>
      </c>
      <c r="K1136" t="s">
        <v>54</v>
      </c>
      <c r="L1136" t="s">
        <v>102</v>
      </c>
      <c r="O1136" t="s">
        <v>103</v>
      </c>
      <c r="P1136" t="s">
        <v>104</v>
      </c>
      <c r="Q1136" s="6">
        <v>20584.259999999998</v>
      </c>
    </row>
    <row r="1137" spans="1:17">
      <c r="A1137" t="s">
        <v>2390</v>
      </c>
      <c r="B1137" s="5">
        <v>46236</v>
      </c>
      <c r="C1137" t="s">
        <v>2391</v>
      </c>
      <c r="D1137" t="s">
        <v>17</v>
      </c>
      <c r="E1137" t="s">
        <v>2</v>
      </c>
      <c r="F1137" t="s">
        <v>50</v>
      </c>
      <c r="G1137" t="s">
        <v>100</v>
      </c>
      <c r="H1137" s="6">
        <v>24.65</v>
      </c>
      <c r="I1137" t="s">
        <v>52</v>
      </c>
      <c r="J1137" t="s">
        <v>114</v>
      </c>
      <c r="K1137" t="s">
        <v>54</v>
      </c>
      <c r="L1137" t="s">
        <v>102</v>
      </c>
      <c r="O1137" t="s">
        <v>103</v>
      </c>
      <c r="P1137" t="s">
        <v>104</v>
      </c>
      <c r="Q1137" s="6">
        <v>20599.259999999998</v>
      </c>
    </row>
    <row r="1138" spans="1:17">
      <c r="A1138" t="s">
        <v>2392</v>
      </c>
      <c r="B1138" s="5">
        <v>46236</v>
      </c>
      <c r="C1138" t="s">
        <v>2393</v>
      </c>
      <c r="D1138" t="s">
        <v>17</v>
      </c>
      <c r="E1138" t="s">
        <v>2</v>
      </c>
      <c r="F1138" t="s">
        <v>50</v>
      </c>
      <c r="G1138" t="s">
        <v>51</v>
      </c>
      <c r="H1138" s="6">
        <v>8.73</v>
      </c>
      <c r="I1138" t="s">
        <v>52</v>
      </c>
      <c r="J1138" t="s">
        <v>126</v>
      </c>
      <c r="K1138" t="s">
        <v>54</v>
      </c>
      <c r="L1138" t="s">
        <v>55</v>
      </c>
      <c r="O1138" t="s">
        <v>56</v>
      </c>
      <c r="P1138" t="s">
        <v>57</v>
      </c>
      <c r="Q1138" s="6">
        <v>20536.46</v>
      </c>
    </row>
    <row r="1139" spans="1:17">
      <c r="A1139" t="s">
        <v>2394</v>
      </c>
      <c r="B1139" s="5">
        <v>46236</v>
      </c>
      <c r="C1139" t="s">
        <v>2395</v>
      </c>
      <c r="D1139" t="s">
        <v>17</v>
      </c>
      <c r="E1139" t="s">
        <v>2</v>
      </c>
      <c r="F1139" t="s">
        <v>50</v>
      </c>
      <c r="G1139" t="s">
        <v>100</v>
      </c>
      <c r="H1139" s="6">
        <v>1850</v>
      </c>
      <c r="I1139" t="s">
        <v>52</v>
      </c>
      <c r="J1139" t="s">
        <v>107</v>
      </c>
      <c r="K1139" t="s">
        <v>54</v>
      </c>
      <c r="L1139" t="s">
        <v>102</v>
      </c>
      <c r="O1139" t="s">
        <v>108</v>
      </c>
      <c r="P1139" t="s">
        <v>109</v>
      </c>
      <c r="Q1139" s="6">
        <v>38426.01</v>
      </c>
    </row>
    <row r="1140" spans="1:17">
      <c r="A1140" t="s">
        <v>2396</v>
      </c>
      <c r="B1140" s="5">
        <v>46236</v>
      </c>
      <c r="C1140" t="s">
        <v>2397</v>
      </c>
      <c r="D1140" t="s">
        <v>17</v>
      </c>
      <c r="E1140" t="s">
        <v>2</v>
      </c>
      <c r="F1140" t="s">
        <v>50</v>
      </c>
      <c r="G1140" t="s">
        <v>51</v>
      </c>
      <c r="H1140" s="6">
        <v>22.95</v>
      </c>
      <c r="I1140" t="s">
        <v>52</v>
      </c>
      <c r="J1140" t="s">
        <v>60</v>
      </c>
      <c r="K1140" t="s">
        <v>54</v>
      </c>
      <c r="L1140" t="s">
        <v>55</v>
      </c>
      <c r="O1140" t="s">
        <v>61</v>
      </c>
      <c r="P1140" t="s">
        <v>62</v>
      </c>
      <c r="Q1140" s="6">
        <v>20623.91</v>
      </c>
    </row>
    <row r="1141" spans="1:17">
      <c r="A1141" t="s">
        <v>2398</v>
      </c>
      <c r="B1141" s="5">
        <v>46236</v>
      </c>
      <c r="C1141" t="s">
        <v>2399</v>
      </c>
      <c r="D1141" t="s">
        <v>17</v>
      </c>
      <c r="E1141" t="s">
        <v>2</v>
      </c>
      <c r="F1141" t="s">
        <v>50</v>
      </c>
      <c r="G1141" t="s">
        <v>100</v>
      </c>
      <c r="H1141" s="6">
        <v>14.57</v>
      </c>
      <c r="I1141" t="s">
        <v>52</v>
      </c>
      <c r="J1141" t="s">
        <v>114</v>
      </c>
      <c r="K1141" t="s">
        <v>54</v>
      </c>
      <c r="L1141" t="s">
        <v>102</v>
      </c>
      <c r="O1141" t="s">
        <v>103</v>
      </c>
      <c r="P1141" t="s">
        <v>104</v>
      </c>
      <c r="Q1141" s="6">
        <v>20545.189999999999</v>
      </c>
    </row>
    <row r="1142" spans="1:17">
      <c r="A1142" t="s">
        <v>2400</v>
      </c>
      <c r="B1142" s="5">
        <v>46236</v>
      </c>
      <c r="C1142" t="s">
        <v>2401</v>
      </c>
      <c r="D1142" t="s">
        <v>17</v>
      </c>
      <c r="E1142" t="s">
        <v>2</v>
      </c>
      <c r="F1142" t="s">
        <v>50</v>
      </c>
      <c r="G1142" t="s">
        <v>51</v>
      </c>
      <c r="H1142" s="6">
        <v>7.31</v>
      </c>
      <c r="I1142" t="s">
        <v>52</v>
      </c>
      <c r="J1142" t="s">
        <v>53</v>
      </c>
      <c r="K1142" t="s">
        <v>54</v>
      </c>
      <c r="L1142" t="s">
        <v>55</v>
      </c>
      <c r="O1142" t="s">
        <v>56</v>
      </c>
      <c r="P1142" t="s">
        <v>57</v>
      </c>
      <c r="Q1142" s="6">
        <v>20529.150000000001</v>
      </c>
    </row>
    <row r="1143" spans="1:17">
      <c r="A1143" t="s">
        <v>2402</v>
      </c>
      <c r="B1143" s="5">
        <v>46237</v>
      </c>
      <c r="C1143" t="s">
        <v>2403</v>
      </c>
      <c r="D1143" t="s">
        <v>17</v>
      </c>
      <c r="E1143" t="s">
        <v>2</v>
      </c>
      <c r="F1143" t="s">
        <v>149</v>
      </c>
      <c r="G1143" t="s">
        <v>72</v>
      </c>
      <c r="H1143" s="6">
        <v>450</v>
      </c>
      <c r="I1143" t="s">
        <v>52</v>
      </c>
      <c r="J1143" t="s">
        <v>2404</v>
      </c>
      <c r="K1143" t="s">
        <v>54</v>
      </c>
      <c r="L1143" t="s">
        <v>74</v>
      </c>
      <c r="O1143" t="s">
        <v>75</v>
      </c>
      <c r="P1143" t="s">
        <v>2405</v>
      </c>
      <c r="Q1143" s="6">
        <v>82713.61</v>
      </c>
    </row>
    <row r="1144" spans="1:17">
      <c r="A1144" t="s">
        <v>2406</v>
      </c>
      <c r="B1144" s="5">
        <v>46237</v>
      </c>
      <c r="C1144" t="s">
        <v>2407</v>
      </c>
      <c r="D1144" t="s">
        <v>17</v>
      </c>
      <c r="E1144" t="s">
        <v>2</v>
      </c>
      <c r="F1144" t="s">
        <v>149</v>
      </c>
      <c r="G1144" t="s">
        <v>72</v>
      </c>
      <c r="H1144" s="6">
        <v>600</v>
      </c>
      <c r="I1144" t="s">
        <v>52</v>
      </c>
      <c r="J1144" t="s">
        <v>2408</v>
      </c>
      <c r="K1144" t="s">
        <v>54</v>
      </c>
      <c r="L1144" t="s">
        <v>74</v>
      </c>
      <c r="O1144" t="s">
        <v>75</v>
      </c>
      <c r="P1144" t="s">
        <v>2405</v>
      </c>
      <c r="Q1144" s="6">
        <v>88613.61</v>
      </c>
    </row>
    <row r="1145" spans="1:17">
      <c r="A1145" t="s">
        <v>2409</v>
      </c>
      <c r="B1145" s="5">
        <v>46237</v>
      </c>
      <c r="C1145" t="s">
        <v>2410</v>
      </c>
      <c r="D1145" t="s">
        <v>17</v>
      </c>
      <c r="E1145" t="s">
        <v>2</v>
      </c>
      <c r="F1145" t="s">
        <v>149</v>
      </c>
      <c r="G1145" t="s">
        <v>72</v>
      </c>
      <c r="H1145" s="6">
        <v>750</v>
      </c>
      <c r="I1145" t="s">
        <v>52</v>
      </c>
      <c r="J1145" t="s">
        <v>2411</v>
      </c>
      <c r="K1145" t="s">
        <v>54</v>
      </c>
      <c r="L1145" t="s">
        <v>74</v>
      </c>
      <c r="O1145" t="s">
        <v>75</v>
      </c>
      <c r="P1145" t="s">
        <v>2405</v>
      </c>
      <c r="Q1145" s="6">
        <v>78413.61</v>
      </c>
    </row>
    <row r="1146" spans="1:17">
      <c r="A1146" t="s">
        <v>2412</v>
      </c>
      <c r="B1146" s="5">
        <v>46237</v>
      </c>
      <c r="C1146" t="s">
        <v>2413</v>
      </c>
      <c r="D1146" t="s">
        <v>17</v>
      </c>
      <c r="E1146" t="s">
        <v>2</v>
      </c>
      <c r="F1146" t="s">
        <v>50</v>
      </c>
      <c r="G1146" t="s">
        <v>51</v>
      </c>
      <c r="H1146" s="6">
        <v>15.48</v>
      </c>
      <c r="I1146" t="s">
        <v>52</v>
      </c>
      <c r="J1146" t="s">
        <v>121</v>
      </c>
      <c r="K1146" t="s">
        <v>54</v>
      </c>
      <c r="L1146" t="s">
        <v>55</v>
      </c>
      <c r="O1146" t="s">
        <v>122</v>
      </c>
      <c r="P1146" t="s">
        <v>123</v>
      </c>
      <c r="Q1146" s="6">
        <v>20676.13</v>
      </c>
    </row>
    <row r="1147" spans="1:17">
      <c r="A1147" t="s">
        <v>2414</v>
      </c>
      <c r="B1147" s="5">
        <v>46237</v>
      </c>
      <c r="C1147" t="s">
        <v>2415</v>
      </c>
      <c r="D1147" t="s">
        <v>17</v>
      </c>
      <c r="E1147" t="s">
        <v>2</v>
      </c>
      <c r="F1147" t="s">
        <v>50</v>
      </c>
      <c r="G1147" t="s">
        <v>51</v>
      </c>
      <c r="H1147" s="6">
        <v>31.36</v>
      </c>
      <c r="I1147" t="s">
        <v>52</v>
      </c>
      <c r="J1147" t="s">
        <v>81</v>
      </c>
      <c r="K1147" t="s">
        <v>54</v>
      </c>
      <c r="L1147" t="s">
        <v>55</v>
      </c>
      <c r="O1147" t="s">
        <v>82</v>
      </c>
      <c r="P1147" t="s">
        <v>83</v>
      </c>
      <c r="Q1147" s="6">
        <v>20595.3</v>
      </c>
    </row>
    <row r="1148" spans="1:17">
      <c r="A1148" t="s">
        <v>2416</v>
      </c>
      <c r="B1148" s="5">
        <v>46237</v>
      </c>
      <c r="C1148" t="s">
        <v>2417</v>
      </c>
      <c r="D1148" t="s">
        <v>17</v>
      </c>
      <c r="E1148" t="s">
        <v>2</v>
      </c>
      <c r="F1148" t="s">
        <v>50</v>
      </c>
      <c r="G1148" t="s">
        <v>51</v>
      </c>
      <c r="H1148" s="6">
        <v>21.92</v>
      </c>
      <c r="I1148" t="s">
        <v>52</v>
      </c>
      <c r="J1148" t="s">
        <v>121</v>
      </c>
      <c r="K1148" t="s">
        <v>54</v>
      </c>
      <c r="L1148" t="s">
        <v>55</v>
      </c>
      <c r="O1148" t="s">
        <v>122</v>
      </c>
      <c r="P1148" t="s">
        <v>123</v>
      </c>
      <c r="Q1148" s="6">
        <v>20528.5</v>
      </c>
    </row>
    <row r="1149" spans="1:17">
      <c r="A1149" t="s">
        <v>2418</v>
      </c>
      <c r="B1149" s="5">
        <v>46237</v>
      </c>
      <c r="C1149" t="s">
        <v>2419</v>
      </c>
      <c r="D1149" t="s">
        <v>17</v>
      </c>
      <c r="E1149" t="s">
        <v>2</v>
      </c>
      <c r="F1149" t="s">
        <v>149</v>
      </c>
      <c r="G1149" t="s">
        <v>72</v>
      </c>
      <c r="H1149" s="6">
        <v>900</v>
      </c>
      <c r="I1149" t="s">
        <v>52</v>
      </c>
      <c r="J1149" t="s">
        <v>2420</v>
      </c>
      <c r="K1149" t="s">
        <v>54</v>
      </c>
      <c r="L1149" t="s">
        <v>74</v>
      </c>
      <c r="O1149" t="s">
        <v>75</v>
      </c>
      <c r="P1149" t="s">
        <v>2405</v>
      </c>
      <c r="Q1149" s="6">
        <v>72263.61</v>
      </c>
    </row>
    <row r="1150" spans="1:17">
      <c r="A1150" t="s">
        <v>2421</v>
      </c>
      <c r="B1150" s="5">
        <v>46237</v>
      </c>
      <c r="C1150" t="s">
        <v>2422</v>
      </c>
      <c r="D1150" t="s">
        <v>17</v>
      </c>
      <c r="E1150" t="s">
        <v>2</v>
      </c>
      <c r="F1150" t="s">
        <v>50</v>
      </c>
      <c r="G1150" t="s">
        <v>51</v>
      </c>
      <c r="H1150" s="6">
        <v>31.24</v>
      </c>
      <c r="I1150" t="s">
        <v>52</v>
      </c>
      <c r="J1150" t="s">
        <v>126</v>
      </c>
      <c r="K1150" t="s">
        <v>54</v>
      </c>
      <c r="L1150" t="s">
        <v>55</v>
      </c>
      <c r="O1150" t="s">
        <v>56</v>
      </c>
      <c r="P1150" t="s">
        <v>57</v>
      </c>
      <c r="Q1150" s="6">
        <v>20564.060000000001</v>
      </c>
    </row>
    <row r="1151" spans="1:17">
      <c r="A1151" t="s">
        <v>2423</v>
      </c>
      <c r="B1151" s="5">
        <v>46237</v>
      </c>
      <c r="C1151" t="s">
        <v>2424</v>
      </c>
      <c r="D1151" t="s">
        <v>17</v>
      </c>
      <c r="E1151" t="s">
        <v>2</v>
      </c>
      <c r="F1151" t="s">
        <v>50</v>
      </c>
      <c r="G1151" t="s">
        <v>100</v>
      </c>
      <c r="H1151" s="6">
        <v>24.41</v>
      </c>
      <c r="I1151" t="s">
        <v>52</v>
      </c>
      <c r="J1151" t="s">
        <v>114</v>
      </c>
      <c r="K1151" t="s">
        <v>54</v>
      </c>
      <c r="L1151" t="s">
        <v>102</v>
      </c>
      <c r="O1151" t="s">
        <v>103</v>
      </c>
      <c r="P1151" t="s">
        <v>104</v>
      </c>
      <c r="Q1151" s="6">
        <v>20651.72</v>
      </c>
    </row>
    <row r="1152" spans="1:17">
      <c r="A1152" t="s">
        <v>2425</v>
      </c>
      <c r="B1152" s="5">
        <v>46237</v>
      </c>
      <c r="C1152" t="s">
        <v>2426</v>
      </c>
      <c r="D1152" t="s">
        <v>17</v>
      </c>
      <c r="E1152" t="s">
        <v>2</v>
      </c>
      <c r="F1152" t="s">
        <v>50</v>
      </c>
      <c r="G1152" t="s">
        <v>51</v>
      </c>
      <c r="H1152" s="6">
        <v>25.06</v>
      </c>
      <c r="I1152" t="s">
        <v>52</v>
      </c>
      <c r="J1152" t="s">
        <v>126</v>
      </c>
      <c r="K1152" t="s">
        <v>54</v>
      </c>
      <c r="L1152" t="s">
        <v>55</v>
      </c>
      <c r="O1152" t="s">
        <v>56</v>
      </c>
      <c r="P1152" t="s">
        <v>57</v>
      </c>
      <c r="Q1152" s="6">
        <v>20626.66</v>
      </c>
    </row>
    <row r="1153" spans="1:17">
      <c r="A1153" t="s">
        <v>2427</v>
      </c>
      <c r="B1153" s="5">
        <v>46237</v>
      </c>
      <c r="C1153" t="s">
        <v>2428</v>
      </c>
      <c r="D1153" t="s">
        <v>17</v>
      </c>
      <c r="E1153" t="s">
        <v>2</v>
      </c>
      <c r="F1153" t="s">
        <v>50</v>
      </c>
      <c r="G1153" t="s">
        <v>51</v>
      </c>
      <c r="H1153" s="6">
        <v>13.64</v>
      </c>
      <c r="I1153" t="s">
        <v>52</v>
      </c>
      <c r="J1153" t="s">
        <v>53</v>
      </c>
      <c r="K1153" t="s">
        <v>54</v>
      </c>
      <c r="L1153" t="s">
        <v>55</v>
      </c>
      <c r="O1153" t="s">
        <v>56</v>
      </c>
      <c r="P1153" t="s">
        <v>57</v>
      </c>
      <c r="Q1153" s="6">
        <v>20550.419999999998</v>
      </c>
    </row>
    <row r="1154" spans="1:17">
      <c r="A1154" t="s">
        <v>2429</v>
      </c>
      <c r="B1154" s="5">
        <v>46238</v>
      </c>
      <c r="C1154" t="s">
        <v>2430</v>
      </c>
      <c r="D1154" t="s">
        <v>17</v>
      </c>
      <c r="E1154" t="s">
        <v>2</v>
      </c>
      <c r="F1154" t="s">
        <v>50</v>
      </c>
      <c r="G1154" t="s">
        <v>100</v>
      </c>
      <c r="H1154" s="6">
        <v>17.989999999999998</v>
      </c>
      <c r="I1154" t="s">
        <v>52</v>
      </c>
      <c r="J1154" t="s">
        <v>114</v>
      </c>
      <c r="K1154" t="s">
        <v>54</v>
      </c>
      <c r="L1154" t="s">
        <v>102</v>
      </c>
      <c r="O1154" t="s">
        <v>103</v>
      </c>
      <c r="P1154" t="s">
        <v>104</v>
      </c>
      <c r="Q1154" s="6">
        <v>20510.509999999998</v>
      </c>
    </row>
    <row r="1155" spans="1:17">
      <c r="A1155" t="s">
        <v>2431</v>
      </c>
      <c r="B1155" s="5">
        <v>46238</v>
      </c>
      <c r="C1155" t="s">
        <v>2432</v>
      </c>
      <c r="D1155" t="s">
        <v>17</v>
      </c>
      <c r="E1155" t="s">
        <v>2</v>
      </c>
      <c r="F1155" t="s">
        <v>50</v>
      </c>
      <c r="G1155" t="s">
        <v>51</v>
      </c>
      <c r="H1155" s="6">
        <v>31.01</v>
      </c>
      <c r="I1155" t="s">
        <v>52</v>
      </c>
      <c r="J1155" t="s">
        <v>196</v>
      </c>
      <c r="K1155" t="s">
        <v>54</v>
      </c>
      <c r="L1155" t="s">
        <v>55</v>
      </c>
      <c r="O1155" t="s">
        <v>197</v>
      </c>
      <c r="P1155" t="s">
        <v>198</v>
      </c>
      <c r="Q1155" s="6">
        <v>20433.66</v>
      </c>
    </row>
    <row r="1156" spans="1:17">
      <c r="A1156" t="s">
        <v>2433</v>
      </c>
      <c r="B1156" s="5">
        <v>46238</v>
      </c>
      <c r="C1156" t="s">
        <v>2434</v>
      </c>
      <c r="D1156" t="s">
        <v>17</v>
      </c>
      <c r="E1156" t="s">
        <v>2</v>
      </c>
      <c r="F1156" t="s">
        <v>149</v>
      </c>
      <c r="G1156" t="s">
        <v>72</v>
      </c>
      <c r="H1156" s="6">
        <v>1200</v>
      </c>
      <c r="I1156" t="s">
        <v>52</v>
      </c>
      <c r="J1156" t="s">
        <v>2435</v>
      </c>
      <c r="K1156" t="s">
        <v>54</v>
      </c>
      <c r="L1156" t="s">
        <v>74</v>
      </c>
      <c r="O1156" t="s">
        <v>75</v>
      </c>
      <c r="P1156" t="s">
        <v>2405</v>
      </c>
      <c r="Q1156" s="6">
        <v>73463.61</v>
      </c>
    </row>
    <row r="1157" spans="1:17">
      <c r="A1157" t="s">
        <v>2436</v>
      </c>
      <c r="B1157" s="5">
        <v>46238</v>
      </c>
      <c r="C1157" t="s">
        <v>2437</v>
      </c>
      <c r="D1157" t="s">
        <v>17</v>
      </c>
      <c r="E1157" t="s">
        <v>2</v>
      </c>
      <c r="F1157" t="s">
        <v>50</v>
      </c>
      <c r="G1157" t="s">
        <v>51</v>
      </c>
      <c r="H1157" s="6">
        <v>12.48</v>
      </c>
      <c r="I1157" t="s">
        <v>52</v>
      </c>
      <c r="J1157" t="s">
        <v>53</v>
      </c>
      <c r="K1157" t="s">
        <v>54</v>
      </c>
      <c r="L1157" t="s">
        <v>55</v>
      </c>
      <c r="O1157" t="s">
        <v>56</v>
      </c>
      <c r="P1157" t="s">
        <v>57</v>
      </c>
      <c r="Q1157" s="6">
        <v>20421.18</v>
      </c>
    </row>
    <row r="1158" spans="1:17">
      <c r="A1158" t="s">
        <v>2438</v>
      </c>
      <c r="B1158" s="5">
        <v>46238</v>
      </c>
      <c r="C1158" t="s">
        <v>2439</v>
      </c>
      <c r="D1158" t="s">
        <v>17</v>
      </c>
      <c r="E1158" t="s">
        <v>2</v>
      </c>
      <c r="F1158" t="s">
        <v>50</v>
      </c>
      <c r="G1158" t="s">
        <v>51</v>
      </c>
      <c r="H1158" s="6">
        <v>8.76</v>
      </c>
      <c r="I1158" t="s">
        <v>52</v>
      </c>
      <c r="J1158" t="s">
        <v>121</v>
      </c>
      <c r="K1158" t="s">
        <v>54</v>
      </c>
      <c r="L1158" t="s">
        <v>55</v>
      </c>
      <c r="O1158" t="s">
        <v>122</v>
      </c>
      <c r="P1158" t="s">
        <v>123</v>
      </c>
      <c r="Q1158" s="6">
        <v>20464.669999999998</v>
      </c>
    </row>
    <row r="1159" spans="1:17">
      <c r="A1159" t="s">
        <v>2440</v>
      </c>
      <c r="B1159" s="5">
        <v>46238</v>
      </c>
      <c r="C1159" t="s">
        <v>2441</v>
      </c>
      <c r="D1159" t="s">
        <v>17</v>
      </c>
      <c r="E1159" t="s">
        <v>2</v>
      </c>
      <c r="F1159" t="s">
        <v>149</v>
      </c>
      <c r="G1159" t="s">
        <v>72</v>
      </c>
      <c r="H1159" s="6">
        <v>500</v>
      </c>
      <c r="I1159" t="s">
        <v>52</v>
      </c>
      <c r="J1159" t="s">
        <v>2442</v>
      </c>
      <c r="K1159" t="s">
        <v>54</v>
      </c>
      <c r="L1159" t="s">
        <v>74</v>
      </c>
      <c r="O1159" t="s">
        <v>75</v>
      </c>
      <c r="P1159" t="s">
        <v>2405</v>
      </c>
      <c r="Q1159" s="6">
        <v>78913.61</v>
      </c>
    </row>
    <row r="1160" spans="1:17">
      <c r="A1160" t="s">
        <v>2443</v>
      </c>
      <c r="B1160" s="5">
        <v>46238</v>
      </c>
      <c r="C1160" t="s">
        <v>2444</v>
      </c>
      <c r="D1160" t="s">
        <v>17</v>
      </c>
      <c r="E1160" t="s">
        <v>2</v>
      </c>
      <c r="F1160" t="s">
        <v>50</v>
      </c>
      <c r="G1160" t="s">
        <v>51</v>
      </c>
      <c r="H1160" s="6">
        <v>37.08</v>
      </c>
      <c r="I1160" t="s">
        <v>52</v>
      </c>
      <c r="J1160" t="s">
        <v>126</v>
      </c>
      <c r="K1160" t="s">
        <v>54</v>
      </c>
      <c r="L1160" t="s">
        <v>55</v>
      </c>
      <c r="O1160" t="s">
        <v>56</v>
      </c>
      <c r="P1160" t="s">
        <v>57</v>
      </c>
      <c r="Q1160" s="6">
        <v>20473.43</v>
      </c>
    </row>
    <row r="1161" spans="1:17">
      <c r="A1161" t="s">
        <v>2445</v>
      </c>
      <c r="B1161" s="5">
        <v>46238</v>
      </c>
      <c r="C1161" t="s">
        <v>2446</v>
      </c>
      <c r="D1161" t="s">
        <v>17</v>
      </c>
      <c r="E1161" t="s">
        <v>2</v>
      </c>
      <c r="F1161" t="s">
        <v>50</v>
      </c>
      <c r="G1161" t="s">
        <v>72</v>
      </c>
      <c r="H1161" s="6">
        <v>130.1</v>
      </c>
      <c r="I1161" t="s">
        <v>52</v>
      </c>
      <c r="J1161" t="s">
        <v>150</v>
      </c>
      <c r="K1161" t="s">
        <v>54</v>
      </c>
      <c r="L1161" t="s">
        <v>74</v>
      </c>
      <c r="O1161" t="s">
        <v>75</v>
      </c>
      <c r="P1161" t="s">
        <v>76</v>
      </c>
      <c r="Q1161" s="6">
        <v>20291.080000000002</v>
      </c>
    </row>
    <row r="1162" spans="1:17">
      <c r="A1162" t="s">
        <v>2447</v>
      </c>
      <c r="B1162" s="5">
        <v>46238</v>
      </c>
      <c r="C1162" t="s">
        <v>2448</v>
      </c>
      <c r="D1162" t="s">
        <v>17</v>
      </c>
      <c r="E1162" t="s">
        <v>2</v>
      </c>
      <c r="F1162" t="s">
        <v>149</v>
      </c>
      <c r="G1162" t="s">
        <v>72</v>
      </c>
      <c r="H1162" s="6">
        <v>500</v>
      </c>
      <c r="I1162" t="s">
        <v>52</v>
      </c>
      <c r="J1162" t="s">
        <v>2449</v>
      </c>
      <c r="K1162" t="s">
        <v>54</v>
      </c>
      <c r="L1162" t="s">
        <v>74</v>
      </c>
      <c r="O1162" t="s">
        <v>75</v>
      </c>
      <c r="P1162" t="s">
        <v>2405</v>
      </c>
      <c r="Q1162" s="6">
        <v>83213.61</v>
      </c>
    </row>
    <row r="1163" spans="1:17">
      <c r="A1163" t="s">
        <v>2450</v>
      </c>
      <c r="B1163" s="5">
        <v>46239</v>
      </c>
      <c r="C1163" t="s">
        <v>2451</v>
      </c>
      <c r="D1163" t="s">
        <v>17</v>
      </c>
      <c r="E1163" t="s">
        <v>2</v>
      </c>
      <c r="F1163" t="s">
        <v>50</v>
      </c>
      <c r="G1163" t="s">
        <v>51</v>
      </c>
      <c r="H1163" s="6">
        <v>146.88</v>
      </c>
      <c r="I1163" t="s">
        <v>52</v>
      </c>
      <c r="J1163" t="s">
        <v>196</v>
      </c>
      <c r="K1163" t="s">
        <v>54</v>
      </c>
      <c r="L1163" t="s">
        <v>55</v>
      </c>
      <c r="O1163" t="s">
        <v>197</v>
      </c>
      <c r="P1163" t="s">
        <v>198</v>
      </c>
      <c r="Q1163" s="6">
        <v>19976.55</v>
      </c>
    </row>
    <row r="1164" spans="1:17">
      <c r="A1164" t="s">
        <v>2452</v>
      </c>
      <c r="B1164" s="5">
        <v>46239</v>
      </c>
      <c r="C1164" t="s">
        <v>2453</v>
      </c>
      <c r="D1164" t="s">
        <v>17</v>
      </c>
      <c r="E1164" t="s">
        <v>2</v>
      </c>
      <c r="F1164" t="s">
        <v>50</v>
      </c>
      <c r="G1164" t="s">
        <v>100</v>
      </c>
      <c r="H1164" s="6">
        <v>178.83</v>
      </c>
      <c r="I1164" t="s">
        <v>52</v>
      </c>
      <c r="J1164" t="s">
        <v>177</v>
      </c>
      <c r="K1164" t="s">
        <v>54</v>
      </c>
      <c r="L1164" t="s">
        <v>102</v>
      </c>
      <c r="O1164" t="s">
        <v>178</v>
      </c>
      <c r="P1164" t="s">
        <v>179</v>
      </c>
      <c r="Q1164" s="6">
        <v>38247.18</v>
      </c>
    </row>
    <row r="1165" spans="1:17">
      <c r="A1165" t="s">
        <v>2454</v>
      </c>
      <c r="B1165" s="5">
        <v>46239</v>
      </c>
      <c r="C1165" t="s">
        <v>2455</v>
      </c>
      <c r="D1165" t="s">
        <v>17</v>
      </c>
      <c r="E1165" t="s">
        <v>2</v>
      </c>
      <c r="F1165" t="s">
        <v>50</v>
      </c>
      <c r="G1165" t="s">
        <v>51</v>
      </c>
      <c r="H1165" s="6">
        <v>14.55</v>
      </c>
      <c r="I1165" t="s">
        <v>52</v>
      </c>
      <c r="J1165" t="s">
        <v>126</v>
      </c>
      <c r="K1165" t="s">
        <v>54</v>
      </c>
      <c r="L1165" t="s">
        <v>55</v>
      </c>
      <c r="O1165" t="s">
        <v>56</v>
      </c>
      <c r="P1165" t="s">
        <v>57</v>
      </c>
      <c r="Q1165" s="6">
        <v>20258.96</v>
      </c>
    </row>
    <row r="1166" spans="1:17">
      <c r="A1166" t="s">
        <v>2456</v>
      </c>
      <c r="B1166" s="5">
        <v>46239</v>
      </c>
      <c r="C1166" t="s">
        <v>2457</v>
      </c>
      <c r="D1166" t="s">
        <v>17</v>
      </c>
      <c r="E1166" t="s">
        <v>2</v>
      </c>
      <c r="F1166" t="s">
        <v>149</v>
      </c>
      <c r="G1166" t="s">
        <v>72</v>
      </c>
      <c r="H1166" s="6">
        <v>500</v>
      </c>
      <c r="I1166" t="s">
        <v>52</v>
      </c>
      <c r="J1166" t="s">
        <v>2458</v>
      </c>
      <c r="K1166" t="s">
        <v>54</v>
      </c>
      <c r="L1166" t="s">
        <v>74</v>
      </c>
      <c r="O1166" t="s">
        <v>75</v>
      </c>
      <c r="P1166" t="s">
        <v>2405</v>
      </c>
      <c r="Q1166" s="6">
        <v>79413.61</v>
      </c>
    </row>
    <row r="1167" spans="1:17">
      <c r="A1167" t="s">
        <v>2459</v>
      </c>
      <c r="B1167" s="5">
        <v>46239</v>
      </c>
      <c r="C1167" t="s">
        <v>2460</v>
      </c>
      <c r="D1167" t="s">
        <v>17</v>
      </c>
      <c r="E1167" t="s">
        <v>2</v>
      </c>
      <c r="F1167" t="s">
        <v>149</v>
      </c>
      <c r="G1167" t="s">
        <v>72</v>
      </c>
      <c r="H1167" s="6">
        <v>750</v>
      </c>
      <c r="I1167" t="s">
        <v>52</v>
      </c>
      <c r="J1167" t="s">
        <v>2461</v>
      </c>
      <c r="K1167" t="s">
        <v>54</v>
      </c>
      <c r="L1167" t="s">
        <v>74</v>
      </c>
      <c r="O1167" t="s">
        <v>75</v>
      </c>
      <c r="P1167" t="s">
        <v>2405</v>
      </c>
      <c r="Q1167" s="6">
        <v>83963.61</v>
      </c>
    </row>
    <row r="1168" spans="1:17">
      <c r="A1168" t="s">
        <v>2462</v>
      </c>
      <c r="B1168" s="5">
        <v>46239</v>
      </c>
      <c r="C1168" t="s">
        <v>2463</v>
      </c>
      <c r="D1168" t="s">
        <v>17</v>
      </c>
      <c r="E1168" t="s">
        <v>2</v>
      </c>
      <c r="F1168" t="s">
        <v>50</v>
      </c>
      <c r="G1168" t="s">
        <v>51</v>
      </c>
      <c r="H1168" s="6">
        <v>17.57</v>
      </c>
      <c r="I1168" t="s">
        <v>52</v>
      </c>
      <c r="J1168" t="s">
        <v>81</v>
      </c>
      <c r="K1168" t="s">
        <v>54</v>
      </c>
      <c r="L1168" t="s">
        <v>55</v>
      </c>
      <c r="O1168" t="s">
        <v>82</v>
      </c>
      <c r="P1168" t="s">
        <v>83</v>
      </c>
      <c r="Q1168" s="6">
        <v>20273.509999999998</v>
      </c>
    </row>
    <row r="1169" spans="1:17">
      <c r="A1169" t="s">
        <v>2464</v>
      </c>
      <c r="B1169" s="5">
        <v>46239</v>
      </c>
      <c r="C1169" t="s">
        <v>2465</v>
      </c>
      <c r="D1169" t="s">
        <v>17</v>
      </c>
      <c r="E1169" t="s">
        <v>2</v>
      </c>
      <c r="F1169" t="s">
        <v>50</v>
      </c>
      <c r="G1169" t="s">
        <v>51</v>
      </c>
      <c r="H1169" s="6">
        <v>95.21</v>
      </c>
      <c r="I1169" t="s">
        <v>52</v>
      </c>
      <c r="J1169" t="s">
        <v>65</v>
      </c>
      <c r="K1169" t="s">
        <v>54</v>
      </c>
      <c r="L1169" t="s">
        <v>55</v>
      </c>
      <c r="O1169" t="s">
        <v>66</v>
      </c>
      <c r="P1169" t="s">
        <v>67</v>
      </c>
      <c r="Q1169" s="6">
        <v>19851.34</v>
      </c>
    </row>
    <row r="1170" spans="1:17">
      <c r="A1170" t="s">
        <v>2466</v>
      </c>
      <c r="B1170" s="5">
        <v>46239</v>
      </c>
      <c r="C1170" t="s">
        <v>2467</v>
      </c>
      <c r="D1170" t="s">
        <v>17</v>
      </c>
      <c r="E1170" t="s">
        <v>2</v>
      </c>
      <c r="F1170" t="s">
        <v>50</v>
      </c>
      <c r="G1170" t="s">
        <v>51</v>
      </c>
      <c r="H1170" s="6">
        <v>135.53</v>
      </c>
      <c r="I1170" t="s">
        <v>52</v>
      </c>
      <c r="J1170" t="s">
        <v>65</v>
      </c>
      <c r="K1170" t="s">
        <v>54</v>
      </c>
      <c r="L1170" t="s">
        <v>55</v>
      </c>
      <c r="O1170" t="s">
        <v>66</v>
      </c>
      <c r="P1170" t="s">
        <v>67</v>
      </c>
      <c r="Q1170" s="6">
        <v>20123.43</v>
      </c>
    </row>
    <row r="1171" spans="1:17">
      <c r="A1171" t="s">
        <v>2468</v>
      </c>
      <c r="B1171" s="5">
        <v>46239</v>
      </c>
      <c r="C1171" t="s">
        <v>2469</v>
      </c>
      <c r="D1171" t="s">
        <v>17</v>
      </c>
      <c r="E1171" t="s">
        <v>2</v>
      </c>
      <c r="F1171" t="s">
        <v>50</v>
      </c>
      <c r="G1171" t="s">
        <v>100</v>
      </c>
      <c r="H1171" s="6">
        <v>15</v>
      </c>
      <c r="I1171" t="s">
        <v>52</v>
      </c>
      <c r="J1171" t="s">
        <v>101</v>
      </c>
      <c r="K1171" t="s">
        <v>54</v>
      </c>
      <c r="L1171" t="s">
        <v>102</v>
      </c>
      <c r="O1171" t="s">
        <v>103</v>
      </c>
      <c r="P1171" t="s">
        <v>104</v>
      </c>
      <c r="Q1171" s="6">
        <v>19946.55</v>
      </c>
    </row>
    <row r="1172" spans="1:17">
      <c r="A1172" t="s">
        <v>2470</v>
      </c>
      <c r="B1172" s="5">
        <v>46239</v>
      </c>
      <c r="C1172" t="s">
        <v>2471</v>
      </c>
      <c r="D1172" t="s">
        <v>17</v>
      </c>
      <c r="E1172" t="s">
        <v>2</v>
      </c>
      <c r="F1172" t="s">
        <v>50</v>
      </c>
      <c r="G1172" t="s">
        <v>88</v>
      </c>
      <c r="H1172" s="6">
        <v>40</v>
      </c>
      <c r="I1172" t="s">
        <v>52</v>
      </c>
      <c r="J1172" t="s">
        <v>89</v>
      </c>
      <c r="K1172" t="s">
        <v>54</v>
      </c>
      <c r="L1172" t="s">
        <v>90</v>
      </c>
      <c r="M1172" t="s">
        <v>91</v>
      </c>
      <c r="N1172" t="s">
        <v>12</v>
      </c>
      <c r="O1172" t="s">
        <v>92</v>
      </c>
      <c r="P1172" t="s">
        <v>93</v>
      </c>
      <c r="Q1172" s="6">
        <v>19796.72</v>
      </c>
    </row>
    <row r="1173" spans="1:17">
      <c r="A1173" t="s">
        <v>2472</v>
      </c>
      <c r="B1173" s="5">
        <v>46239</v>
      </c>
      <c r="C1173" t="s">
        <v>2473</v>
      </c>
      <c r="D1173" t="s">
        <v>17</v>
      </c>
      <c r="E1173" t="s">
        <v>2</v>
      </c>
      <c r="F1173" t="s">
        <v>50</v>
      </c>
      <c r="G1173" t="s">
        <v>100</v>
      </c>
      <c r="H1173" s="6">
        <v>15</v>
      </c>
      <c r="I1173" t="s">
        <v>52</v>
      </c>
      <c r="J1173" t="s">
        <v>101</v>
      </c>
      <c r="K1173" t="s">
        <v>54</v>
      </c>
      <c r="L1173" t="s">
        <v>102</v>
      </c>
      <c r="O1173" t="s">
        <v>103</v>
      </c>
      <c r="P1173" t="s">
        <v>104</v>
      </c>
      <c r="Q1173" s="6">
        <v>19961.55</v>
      </c>
    </row>
    <row r="1174" spans="1:17">
      <c r="A1174" t="s">
        <v>2474</v>
      </c>
      <c r="B1174" s="5">
        <v>46239</v>
      </c>
      <c r="C1174" t="s">
        <v>2475</v>
      </c>
      <c r="D1174" t="s">
        <v>17</v>
      </c>
      <c r="E1174" t="s">
        <v>2</v>
      </c>
      <c r="F1174" t="s">
        <v>50</v>
      </c>
      <c r="G1174" t="s">
        <v>51</v>
      </c>
      <c r="H1174" s="6">
        <v>14.62</v>
      </c>
      <c r="I1174" t="s">
        <v>52</v>
      </c>
      <c r="J1174" t="s">
        <v>121</v>
      </c>
      <c r="K1174" t="s">
        <v>54</v>
      </c>
      <c r="L1174" t="s">
        <v>55</v>
      </c>
      <c r="O1174" t="s">
        <v>122</v>
      </c>
      <c r="P1174" t="s">
        <v>123</v>
      </c>
      <c r="Q1174" s="6">
        <v>19836.72</v>
      </c>
    </row>
    <row r="1175" spans="1:17">
      <c r="A1175" t="s">
        <v>2476</v>
      </c>
      <c r="B1175" s="5">
        <v>46239</v>
      </c>
      <c r="C1175" t="s">
        <v>2477</v>
      </c>
      <c r="D1175" t="s">
        <v>17</v>
      </c>
      <c r="E1175" t="s">
        <v>2</v>
      </c>
      <c r="F1175" t="s">
        <v>149</v>
      </c>
      <c r="G1175" t="s">
        <v>72</v>
      </c>
      <c r="H1175" s="6">
        <v>600</v>
      </c>
      <c r="I1175" t="s">
        <v>52</v>
      </c>
      <c r="J1175" t="s">
        <v>2478</v>
      </c>
      <c r="K1175" t="s">
        <v>54</v>
      </c>
      <c r="L1175" t="s">
        <v>74</v>
      </c>
      <c r="O1175" t="s">
        <v>75</v>
      </c>
      <c r="P1175" t="s">
        <v>2405</v>
      </c>
      <c r="Q1175" s="6">
        <v>74063.61</v>
      </c>
    </row>
    <row r="1176" spans="1:17">
      <c r="A1176" t="s">
        <v>2479</v>
      </c>
      <c r="B1176" s="5">
        <v>46240</v>
      </c>
      <c r="C1176" t="s">
        <v>2480</v>
      </c>
      <c r="D1176" t="s">
        <v>17</v>
      </c>
      <c r="E1176" t="s">
        <v>2</v>
      </c>
      <c r="F1176" t="s">
        <v>149</v>
      </c>
      <c r="G1176" t="s">
        <v>72</v>
      </c>
      <c r="H1176" s="6">
        <v>600</v>
      </c>
      <c r="I1176" t="s">
        <v>52</v>
      </c>
      <c r="J1176" t="s">
        <v>2481</v>
      </c>
      <c r="K1176" t="s">
        <v>54</v>
      </c>
      <c r="L1176" t="s">
        <v>74</v>
      </c>
      <c r="O1176" t="s">
        <v>75</v>
      </c>
      <c r="P1176" t="s">
        <v>2405</v>
      </c>
      <c r="Q1176" s="6">
        <v>74663.61</v>
      </c>
    </row>
    <row r="1177" spans="1:17">
      <c r="A1177" t="s">
        <v>2482</v>
      </c>
      <c r="B1177" s="5">
        <v>46240</v>
      </c>
      <c r="C1177" t="s">
        <v>2483</v>
      </c>
      <c r="D1177" t="s">
        <v>17</v>
      </c>
      <c r="E1177" t="s">
        <v>2</v>
      </c>
      <c r="F1177" t="s">
        <v>50</v>
      </c>
      <c r="G1177" t="s">
        <v>100</v>
      </c>
      <c r="H1177" s="6">
        <v>15.81</v>
      </c>
      <c r="I1177" t="s">
        <v>52</v>
      </c>
      <c r="J1177" t="s">
        <v>114</v>
      </c>
      <c r="K1177" t="s">
        <v>54</v>
      </c>
      <c r="L1177" t="s">
        <v>102</v>
      </c>
      <c r="O1177" t="s">
        <v>103</v>
      </c>
      <c r="P1177" t="s">
        <v>104</v>
      </c>
      <c r="Q1177" s="6">
        <v>19676.580000000002</v>
      </c>
    </row>
    <row r="1178" spans="1:17">
      <c r="A1178" t="s">
        <v>2484</v>
      </c>
      <c r="B1178" s="5">
        <v>46240</v>
      </c>
      <c r="C1178" t="s">
        <v>2485</v>
      </c>
      <c r="D1178" t="s">
        <v>17</v>
      </c>
      <c r="E1178" t="s">
        <v>2</v>
      </c>
      <c r="F1178" t="s">
        <v>50</v>
      </c>
      <c r="G1178" t="s">
        <v>88</v>
      </c>
      <c r="H1178" s="6">
        <v>120</v>
      </c>
      <c r="I1178" t="s">
        <v>52</v>
      </c>
      <c r="J1178" t="s">
        <v>89</v>
      </c>
      <c r="K1178" t="s">
        <v>54</v>
      </c>
      <c r="L1178" t="s">
        <v>90</v>
      </c>
      <c r="M1178" t="s">
        <v>91</v>
      </c>
      <c r="N1178" t="s">
        <v>12</v>
      </c>
      <c r="O1178" t="s">
        <v>92</v>
      </c>
      <c r="P1178" t="s">
        <v>93</v>
      </c>
      <c r="Q1178" s="6">
        <v>19425.5</v>
      </c>
    </row>
    <row r="1179" spans="1:17">
      <c r="A1179" t="s">
        <v>2486</v>
      </c>
      <c r="B1179" s="5">
        <v>46240</v>
      </c>
      <c r="C1179" t="s">
        <v>2487</v>
      </c>
      <c r="D1179" t="s">
        <v>17</v>
      </c>
      <c r="E1179" t="s">
        <v>2</v>
      </c>
      <c r="F1179" t="s">
        <v>50</v>
      </c>
      <c r="G1179" t="s">
        <v>51</v>
      </c>
      <c r="H1179" s="6">
        <v>105.62</v>
      </c>
      <c r="I1179" t="s">
        <v>52</v>
      </c>
      <c r="J1179" t="s">
        <v>65</v>
      </c>
      <c r="K1179" t="s">
        <v>54</v>
      </c>
      <c r="L1179" t="s">
        <v>55</v>
      </c>
      <c r="O1179" t="s">
        <v>66</v>
      </c>
      <c r="P1179" t="s">
        <v>67</v>
      </c>
      <c r="Q1179" s="6">
        <v>19545.5</v>
      </c>
    </row>
    <row r="1180" spans="1:17">
      <c r="A1180" t="s">
        <v>2488</v>
      </c>
      <c r="B1180" s="5">
        <v>46240</v>
      </c>
      <c r="C1180" t="s">
        <v>2489</v>
      </c>
      <c r="D1180" t="s">
        <v>17</v>
      </c>
      <c r="E1180" t="s">
        <v>2</v>
      </c>
      <c r="F1180" t="s">
        <v>50</v>
      </c>
      <c r="G1180" t="s">
        <v>2490</v>
      </c>
      <c r="H1180" s="6">
        <v>4500</v>
      </c>
      <c r="I1180" t="s">
        <v>52</v>
      </c>
      <c r="J1180" t="s">
        <v>2491</v>
      </c>
      <c r="K1180" t="s">
        <v>54</v>
      </c>
      <c r="L1180" t="s">
        <v>1970</v>
      </c>
      <c r="M1180" t="s">
        <v>91</v>
      </c>
      <c r="N1180" t="s">
        <v>12</v>
      </c>
      <c r="O1180" t="s">
        <v>2492</v>
      </c>
      <c r="P1180" t="s">
        <v>2493</v>
      </c>
      <c r="Q1180" s="6">
        <v>84113.61</v>
      </c>
    </row>
    <row r="1181" spans="1:17">
      <c r="A1181" t="s">
        <v>2494</v>
      </c>
      <c r="B1181" s="5">
        <v>46240</v>
      </c>
      <c r="C1181" t="s">
        <v>2495</v>
      </c>
      <c r="D1181" t="s">
        <v>17</v>
      </c>
      <c r="E1181" t="s">
        <v>2</v>
      </c>
      <c r="F1181" t="s">
        <v>50</v>
      </c>
      <c r="G1181" t="s">
        <v>100</v>
      </c>
      <c r="H1181" s="6">
        <v>15</v>
      </c>
      <c r="I1181" t="s">
        <v>52</v>
      </c>
      <c r="J1181" t="s">
        <v>101</v>
      </c>
      <c r="K1181" t="s">
        <v>54</v>
      </c>
      <c r="L1181" t="s">
        <v>102</v>
      </c>
      <c r="O1181" t="s">
        <v>103</v>
      </c>
      <c r="P1181" t="s">
        <v>104</v>
      </c>
      <c r="Q1181" s="6">
        <v>19661.580000000002</v>
      </c>
    </row>
    <row r="1182" spans="1:17">
      <c r="A1182" t="s">
        <v>2496</v>
      </c>
      <c r="B1182" s="5">
        <v>46240</v>
      </c>
      <c r="C1182" t="s">
        <v>2497</v>
      </c>
      <c r="D1182" t="s">
        <v>17</v>
      </c>
      <c r="E1182" t="s">
        <v>2</v>
      </c>
      <c r="F1182" t="s">
        <v>149</v>
      </c>
      <c r="G1182" t="s">
        <v>72</v>
      </c>
      <c r="H1182" s="6">
        <v>1200</v>
      </c>
      <c r="I1182" t="s">
        <v>52</v>
      </c>
      <c r="J1182" t="s">
        <v>2498</v>
      </c>
      <c r="K1182" t="s">
        <v>54</v>
      </c>
      <c r="L1182" t="s">
        <v>74</v>
      </c>
      <c r="O1182" t="s">
        <v>75</v>
      </c>
      <c r="P1182" t="s">
        <v>2405</v>
      </c>
      <c r="Q1182" s="6">
        <v>85163.61</v>
      </c>
    </row>
    <row r="1183" spans="1:17">
      <c r="A1183" t="s">
        <v>2499</v>
      </c>
      <c r="B1183" s="5">
        <v>46240</v>
      </c>
      <c r="C1183" t="s">
        <v>2500</v>
      </c>
      <c r="D1183" t="s">
        <v>17</v>
      </c>
      <c r="E1183" t="s">
        <v>2</v>
      </c>
      <c r="F1183" t="s">
        <v>50</v>
      </c>
      <c r="G1183" t="s">
        <v>51</v>
      </c>
      <c r="H1183" s="6">
        <v>104.33</v>
      </c>
      <c r="I1183" t="s">
        <v>52</v>
      </c>
      <c r="J1183" t="s">
        <v>196</v>
      </c>
      <c r="K1183" t="s">
        <v>54</v>
      </c>
      <c r="L1183" t="s">
        <v>55</v>
      </c>
      <c r="O1183" t="s">
        <v>197</v>
      </c>
      <c r="P1183" t="s">
        <v>198</v>
      </c>
      <c r="Q1183" s="6">
        <v>19692.39</v>
      </c>
    </row>
    <row r="1184" spans="1:17">
      <c r="A1184" t="s">
        <v>2501</v>
      </c>
      <c r="B1184" s="5">
        <v>46240</v>
      </c>
      <c r="C1184" t="s">
        <v>2502</v>
      </c>
      <c r="D1184" t="s">
        <v>17</v>
      </c>
      <c r="E1184" t="s">
        <v>2</v>
      </c>
      <c r="F1184" t="s">
        <v>50</v>
      </c>
      <c r="G1184" t="s">
        <v>51</v>
      </c>
      <c r="H1184" s="6">
        <v>10.46</v>
      </c>
      <c r="I1184" t="s">
        <v>52</v>
      </c>
      <c r="J1184" t="s">
        <v>53</v>
      </c>
      <c r="K1184" t="s">
        <v>54</v>
      </c>
      <c r="L1184" t="s">
        <v>55</v>
      </c>
      <c r="O1184" t="s">
        <v>56</v>
      </c>
      <c r="P1184" t="s">
        <v>57</v>
      </c>
      <c r="Q1184" s="6">
        <v>19651.12</v>
      </c>
    </row>
    <row r="1185" spans="1:17">
      <c r="A1185" t="s">
        <v>2503</v>
      </c>
      <c r="B1185" s="5">
        <v>46240</v>
      </c>
      <c r="C1185" t="s">
        <v>2504</v>
      </c>
      <c r="D1185" t="s">
        <v>17</v>
      </c>
      <c r="E1185" t="s">
        <v>2</v>
      </c>
      <c r="F1185" t="s">
        <v>149</v>
      </c>
      <c r="G1185" t="s">
        <v>72</v>
      </c>
      <c r="H1185" s="6">
        <v>500</v>
      </c>
      <c r="I1185" t="s">
        <v>52</v>
      </c>
      <c r="J1185" t="s">
        <v>2505</v>
      </c>
      <c r="K1185" t="s">
        <v>54</v>
      </c>
      <c r="L1185" t="s">
        <v>74</v>
      </c>
      <c r="O1185" t="s">
        <v>75</v>
      </c>
      <c r="P1185" t="s">
        <v>2405</v>
      </c>
      <c r="Q1185" s="6">
        <v>79913.61</v>
      </c>
    </row>
    <row r="1186" spans="1:17">
      <c r="A1186" t="s">
        <v>2506</v>
      </c>
      <c r="B1186" s="5">
        <v>46241</v>
      </c>
      <c r="C1186" t="s">
        <v>2507</v>
      </c>
      <c r="D1186" t="s">
        <v>17</v>
      </c>
      <c r="E1186" t="s">
        <v>2</v>
      </c>
      <c r="F1186" t="s">
        <v>50</v>
      </c>
      <c r="G1186" t="s">
        <v>72</v>
      </c>
      <c r="H1186" s="6">
        <v>73.63</v>
      </c>
      <c r="I1186" t="s">
        <v>52</v>
      </c>
      <c r="J1186" t="s">
        <v>316</v>
      </c>
      <c r="K1186" t="s">
        <v>54</v>
      </c>
      <c r="L1186" t="s">
        <v>74</v>
      </c>
      <c r="O1186" t="s">
        <v>75</v>
      </c>
      <c r="P1186" t="s">
        <v>76</v>
      </c>
      <c r="Q1186" s="6">
        <v>19197.580000000002</v>
      </c>
    </row>
    <row r="1187" spans="1:17">
      <c r="A1187" t="s">
        <v>2508</v>
      </c>
      <c r="B1187" s="5">
        <v>46241</v>
      </c>
      <c r="C1187" t="s">
        <v>2509</v>
      </c>
      <c r="D1187" t="s">
        <v>17</v>
      </c>
      <c r="E1187" t="s">
        <v>2</v>
      </c>
      <c r="F1187" t="s">
        <v>50</v>
      </c>
      <c r="G1187" t="s">
        <v>100</v>
      </c>
      <c r="H1187" s="6">
        <v>19.18</v>
      </c>
      <c r="I1187" t="s">
        <v>52</v>
      </c>
      <c r="J1187" t="s">
        <v>114</v>
      </c>
      <c r="K1187" t="s">
        <v>54</v>
      </c>
      <c r="L1187" t="s">
        <v>102</v>
      </c>
      <c r="O1187" t="s">
        <v>103</v>
      </c>
      <c r="P1187" t="s">
        <v>104</v>
      </c>
      <c r="Q1187" s="6">
        <v>19271.21</v>
      </c>
    </row>
    <row r="1188" spans="1:17">
      <c r="A1188" t="s">
        <v>2510</v>
      </c>
      <c r="B1188" s="5">
        <v>46241</v>
      </c>
      <c r="C1188" t="s">
        <v>2511</v>
      </c>
      <c r="D1188" t="s">
        <v>17</v>
      </c>
      <c r="E1188" t="s">
        <v>2</v>
      </c>
      <c r="F1188" t="s">
        <v>50</v>
      </c>
      <c r="G1188" t="s">
        <v>51</v>
      </c>
      <c r="H1188" s="6">
        <v>34.5</v>
      </c>
      <c r="I1188" t="s">
        <v>52</v>
      </c>
      <c r="J1188" t="s">
        <v>60</v>
      </c>
      <c r="K1188" t="s">
        <v>54</v>
      </c>
      <c r="L1188" t="s">
        <v>55</v>
      </c>
      <c r="O1188" t="s">
        <v>61</v>
      </c>
      <c r="P1188" t="s">
        <v>62</v>
      </c>
      <c r="Q1188" s="6">
        <v>19365.14</v>
      </c>
    </row>
    <row r="1189" spans="1:17">
      <c r="A1189" t="s">
        <v>2512</v>
      </c>
      <c r="B1189" s="5">
        <v>46241</v>
      </c>
      <c r="C1189" t="s">
        <v>2513</v>
      </c>
      <c r="D1189" t="s">
        <v>17</v>
      </c>
      <c r="E1189" t="s">
        <v>2</v>
      </c>
      <c r="F1189" t="s">
        <v>50</v>
      </c>
      <c r="G1189" t="s">
        <v>100</v>
      </c>
      <c r="H1189" s="6">
        <v>15</v>
      </c>
      <c r="I1189" t="s">
        <v>52</v>
      </c>
      <c r="J1189" t="s">
        <v>101</v>
      </c>
      <c r="K1189" t="s">
        <v>54</v>
      </c>
      <c r="L1189" t="s">
        <v>102</v>
      </c>
      <c r="O1189" t="s">
        <v>103</v>
      </c>
      <c r="P1189" t="s">
        <v>104</v>
      </c>
      <c r="Q1189" s="6">
        <v>19399.64</v>
      </c>
    </row>
    <row r="1190" spans="1:17">
      <c r="A1190" t="s">
        <v>2514</v>
      </c>
      <c r="B1190" s="5">
        <v>46241</v>
      </c>
      <c r="C1190" t="s">
        <v>2515</v>
      </c>
      <c r="D1190" t="s">
        <v>17</v>
      </c>
      <c r="E1190" t="s">
        <v>2</v>
      </c>
      <c r="F1190" t="s">
        <v>50</v>
      </c>
      <c r="G1190" t="s">
        <v>51</v>
      </c>
      <c r="H1190" s="6">
        <v>48.19</v>
      </c>
      <c r="I1190" t="s">
        <v>52</v>
      </c>
      <c r="J1190" t="s">
        <v>60</v>
      </c>
      <c r="K1190" t="s">
        <v>54</v>
      </c>
      <c r="L1190" t="s">
        <v>55</v>
      </c>
      <c r="O1190" t="s">
        <v>61</v>
      </c>
      <c r="P1190" t="s">
        <v>62</v>
      </c>
      <c r="Q1190" s="6">
        <v>19290.39</v>
      </c>
    </row>
    <row r="1191" spans="1:17">
      <c r="A1191" t="s">
        <v>2516</v>
      </c>
      <c r="B1191" s="5">
        <v>46241</v>
      </c>
      <c r="C1191" t="s">
        <v>2517</v>
      </c>
      <c r="D1191" t="s">
        <v>17</v>
      </c>
      <c r="E1191" t="s">
        <v>2</v>
      </c>
      <c r="F1191" t="s">
        <v>50</v>
      </c>
      <c r="G1191" t="s">
        <v>51</v>
      </c>
      <c r="H1191" s="6">
        <v>10.86</v>
      </c>
      <c r="I1191" t="s">
        <v>52</v>
      </c>
      <c r="J1191" t="s">
        <v>121</v>
      </c>
      <c r="K1191" t="s">
        <v>54</v>
      </c>
      <c r="L1191" t="s">
        <v>55</v>
      </c>
      <c r="O1191" t="s">
        <v>122</v>
      </c>
      <c r="P1191" t="s">
        <v>123</v>
      </c>
      <c r="Q1191" s="6">
        <v>19414.64</v>
      </c>
    </row>
    <row r="1192" spans="1:17">
      <c r="A1192" t="s">
        <v>2518</v>
      </c>
      <c r="B1192" s="5">
        <v>46241</v>
      </c>
      <c r="C1192" t="s">
        <v>2519</v>
      </c>
      <c r="D1192" t="s">
        <v>17</v>
      </c>
      <c r="E1192" t="s">
        <v>2</v>
      </c>
      <c r="F1192" t="s">
        <v>149</v>
      </c>
      <c r="G1192" t="s">
        <v>72</v>
      </c>
      <c r="H1192" s="6">
        <v>600</v>
      </c>
      <c r="I1192" t="s">
        <v>52</v>
      </c>
      <c r="J1192" t="s">
        <v>2520</v>
      </c>
      <c r="K1192" t="s">
        <v>54</v>
      </c>
      <c r="L1192" t="s">
        <v>74</v>
      </c>
      <c r="O1192" t="s">
        <v>75</v>
      </c>
      <c r="P1192" t="s">
        <v>2405</v>
      </c>
      <c r="Q1192" s="6">
        <v>75263.61</v>
      </c>
    </row>
    <row r="1193" spans="1:17">
      <c r="A1193" t="s">
        <v>2521</v>
      </c>
      <c r="B1193" s="5">
        <v>46241</v>
      </c>
      <c r="C1193" t="s">
        <v>2522</v>
      </c>
      <c r="D1193" t="s">
        <v>17</v>
      </c>
      <c r="E1193" t="s">
        <v>2</v>
      </c>
      <c r="F1193" t="s">
        <v>50</v>
      </c>
      <c r="G1193" t="s">
        <v>51</v>
      </c>
      <c r="H1193" s="6">
        <v>26.56</v>
      </c>
      <c r="I1193" t="s">
        <v>52</v>
      </c>
      <c r="J1193" t="s">
        <v>60</v>
      </c>
      <c r="K1193" t="s">
        <v>54</v>
      </c>
      <c r="L1193" t="s">
        <v>55</v>
      </c>
      <c r="O1193" t="s">
        <v>61</v>
      </c>
      <c r="P1193" t="s">
        <v>62</v>
      </c>
      <c r="Q1193" s="6">
        <v>19338.580000000002</v>
      </c>
    </row>
    <row r="1194" spans="1:17">
      <c r="A1194" t="s">
        <v>2523</v>
      </c>
      <c r="B1194" s="5">
        <v>46241</v>
      </c>
      <c r="C1194" t="s">
        <v>2524</v>
      </c>
      <c r="D1194" t="s">
        <v>17</v>
      </c>
      <c r="E1194" t="s">
        <v>2</v>
      </c>
      <c r="F1194" t="s">
        <v>149</v>
      </c>
      <c r="G1194" t="s">
        <v>72</v>
      </c>
      <c r="H1194" s="6">
        <v>500</v>
      </c>
      <c r="I1194" t="s">
        <v>52</v>
      </c>
      <c r="J1194" t="s">
        <v>2525</v>
      </c>
      <c r="K1194" t="s">
        <v>54</v>
      </c>
      <c r="L1194" t="s">
        <v>74</v>
      </c>
      <c r="O1194" t="s">
        <v>75</v>
      </c>
      <c r="P1194" t="s">
        <v>2405</v>
      </c>
      <c r="Q1194" s="6">
        <v>80413.61</v>
      </c>
    </row>
    <row r="1195" spans="1:17">
      <c r="A1195" t="s">
        <v>2526</v>
      </c>
      <c r="B1195" s="5">
        <v>46241</v>
      </c>
      <c r="C1195" t="s">
        <v>2527</v>
      </c>
      <c r="D1195" t="s">
        <v>17</v>
      </c>
      <c r="E1195" t="s">
        <v>2</v>
      </c>
      <c r="F1195" t="s">
        <v>149</v>
      </c>
      <c r="G1195" t="s">
        <v>72</v>
      </c>
      <c r="H1195" s="6">
        <v>1000</v>
      </c>
      <c r="I1195" t="s">
        <v>52</v>
      </c>
      <c r="J1195" t="s">
        <v>2528</v>
      </c>
      <c r="K1195" t="s">
        <v>54</v>
      </c>
      <c r="L1195" t="s">
        <v>74</v>
      </c>
      <c r="O1195" t="s">
        <v>75</v>
      </c>
      <c r="P1195" t="s">
        <v>2405</v>
      </c>
      <c r="Q1195" s="6">
        <v>86163.61</v>
      </c>
    </row>
    <row r="1196" spans="1:17">
      <c r="A1196" t="s">
        <v>2529</v>
      </c>
      <c r="B1196" s="5">
        <v>46242</v>
      </c>
      <c r="C1196" t="s">
        <v>2530</v>
      </c>
      <c r="D1196" t="s">
        <v>17</v>
      </c>
      <c r="E1196" t="s">
        <v>2</v>
      </c>
      <c r="F1196" t="s">
        <v>149</v>
      </c>
      <c r="G1196" t="s">
        <v>72</v>
      </c>
      <c r="H1196" s="6">
        <v>900</v>
      </c>
      <c r="I1196" t="s">
        <v>52</v>
      </c>
      <c r="J1196" t="s">
        <v>2531</v>
      </c>
      <c r="K1196" t="s">
        <v>54</v>
      </c>
      <c r="L1196" t="s">
        <v>74</v>
      </c>
      <c r="O1196" t="s">
        <v>75</v>
      </c>
      <c r="P1196" t="s">
        <v>2405</v>
      </c>
      <c r="Q1196" s="6">
        <v>76163.61</v>
      </c>
    </row>
    <row r="1197" spans="1:17">
      <c r="A1197" t="s">
        <v>2532</v>
      </c>
      <c r="B1197" s="5">
        <v>46242</v>
      </c>
      <c r="C1197" t="s">
        <v>2533</v>
      </c>
      <c r="D1197" t="s">
        <v>17</v>
      </c>
      <c r="E1197" t="s">
        <v>2</v>
      </c>
      <c r="F1197" t="s">
        <v>50</v>
      </c>
      <c r="G1197" t="s">
        <v>51</v>
      </c>
      <c r="H1197" s="6">
        <v>12.7</v>
      </c>
      <c r="I1197" t="s">
        <v>52</v>
      </c>
      <c r="J1197" t="s">
        <v>126</v>
      </c>
      <c r="K1197" t="s">
        <v>54</v>
      </c>
      <c r="L1197" t="s">
        <v>55</v>
      </c>
      <c r="O1197" t="s">
        <v>56</v>
      </c>
      <c r="P1197" t="s">
        <v>57</v>
      </c>
      <c r="Q1197" s="6">
        <v>19176.03</v>
      </c>
    </row>
    <row r="1198" spans="1:17">
      <c r="A1198" t="s">
        <v>2534</v>
      </c>
      <c r="B1198" s="5">
        <v>46242</v>
      </c>
      <c r="C1198" t="s">
        <v>2535</v>
      </c>
      <c r="D1198" t="s">
        <v>17</v>
      </c>
      <c r="E1198" t="s">
        <v>2</v>
      </c>
      <c r="F1198" t="s">
        <v>149</v>
      </c>
      <c r="G1198" t="s">
        <v>72</v>
      </c>
      <c r="H1198" s="6">
        <v>600</v>
      </c>
      <c r="I1198" t="s">
        <v>52</v>
      </c>
      <c r="J1198" t="s">
        <v>2536</v>
      </c>
      <c r="K1198" t="s">
        <v>54</v>
      </c>
      <c r="L1198" t="s">
        <v>74</v>
      </c>
      <c r="O1198" t="s">
        <v>75</v>
      </c>
      <c r="P1198" t="s">
        <v>2405</v>
      </c>
      <c r="Q1198" s="6">
        <v>81013.61</v>
      </c>
    </row>
    <row r="1199" spans="1:17">
      <c r="A1199" t="s">
        <v>2537</v>
      </c>
      <c r="B1199" s="5">
        <v>46242</v>
      </c>
      <c r="C1199" t="s">
        <v>2538</v>
      </c>
      <c r="D1199" t="s">
        <v>17</v>
      </c>
      <c r="E1199" t="s">
        <v>2</v>
      </c>
      <c r="F1199" t="s">
        <v>50</v>
      </c>
      <c r="G1199" t="s">
        <v>100</v>
      </c>
      <c r="H1199" s="6">
        <v>15</v>
      </c>
      <c r="I1199" t="s">
        <v>52</v>
      </c>
      <c r="J1199" t="s">
        <v>101</v>
      </c>
      <c r="K1199" t="s">
        <v>54</v>
      </c>
      <c r="L1199" t="s">
        <v>102</v>
      </c>
      <c r="O1199" t="s">
        <v>103</v>
      </c>
      <c r="P1199" t="s">
        <v>104</v>
      </c>
      <c r="Q1199" s="6">
        <v>19134.75</v>
      </c>
    </row>
    <row r="1200" spans="1:17">
      <c r="A1200" t="s">
        <v>2539</v>
      </c>
      <c r="B1200" s="5">
        <v>46242</v>
      </c>
      <c r="C1200" t="s">
        <v>2540</v>
      </c>
      <c r="D1200" t="s">
        <v>17</v>
      </c>
      <c r="E1200" t="s">
        <v>2</v>
      </c>
      <c r="F1200" t="s">
        <v>50</v>
      </c>
      <c r="G1200" t="s">
        <v>51</v>
      </c>
      <c r="H1200" s="6">
        <v>8.85</v>
      </c>
      <c r="I1200" t="s">
        <v>52</v>
      </c>
      <c r="J1200" t="s">
        <v>121</v>
      </c>
      <c r="K1200" t="s">
        <v>54</v>
      </c>
      <c r="L1200" t="s">
        <v>55</v>
      </c>
      <c r="O1200" t="s">
        <v>122</v>
      </c>
      <c r="P1200" t="s">
        <v>123</v>
      </c>
      <c r="Q1200" s="6">
        <v>19188.73</v>
      </c>
    </row>
    <row r="1201" spans="1:17">
      <c r="A1201" t="s">
        <v>2541</v>
      </c>
      <c r="B1201" s="5">
        <v>46242</v>
      </c>
      <c r="C1201" t="s">
        <v>2542</v>
      </c>
      <c r="D1201" t="s">
        <v>17</v>
      </c>
      <c r="E1201" t="s">
        <v>2</v>
      </c>
      <c r="F1201" t="s">
        <v>149</v>
      </c>
      <c r="G1201" t="s">
        <v>72</v>
      </c>
      <c r="H1201" s="6">
        <v>750</v>
      </c>
      <c r="I1201" t="s">
        <v>52</v>
      </c>
      <c r="J1201" t="s">
        <v>2543</v>
      </c>
      <c r="K1201" t="s">
        <v>54</v>
      </c>
      <c r="L1201" t="s">
        <v>74</v>
      </c>
      <c r="O1201" t="s">
        <v>75</v>
      </c>
      <c r="P1201" t="s">
        <v>2405</v>
      </c>
      <c r="Q1201" s="6">
        <v>86913.61</v>
      </c>
    </row>
    <row r="1202" spans="1:17">
      <c r="A1202" t="s">
        <v>2544</v>
      </c>
      <c r="B1202" s="5">
        <v>46242</v>
      </c>
      <c r="C1202" t="s">
        <v>2545</v>
      </c>
      <c r="D1202" t="s">
        <v>17</v>
      </c>
      <c r="E1202" t="s">
        <v>2</v>
      </c>
      <c r="F1202" t="s">
        <v>50</v>
      </c>
      <c r="G1202" t="s">
        <v>100</v>
      </c>
      <c r="H1202" s="6">
        <v>22.11</v>
      </c>
      <c r="I1202" t="s">
        <v>52</v>
      </c>
      <c r="J1202" t="s">
        <v>114</v>
      </c>
      <c r="K1202" t="s">
        <v>54</v>
      </c>
      <c r="L1202" t="s">
        <v>102</v>
      </c>
      <c r="O1202" t="s">
        <v>103</v>
      </c>
      <c r="P1202" t="s">
        <v>104</v>
      </c>
      <c r="Q1202" s="6">
        <v>19149.75</v>
      </c>
    </row>
    <row r="1203" spans="1:17">
      <c r="A1203" t="s">
        <v>2546</v>
      </c>
      <c r="B1203" s="5">
        <v>46242</v>
      </c>
      <c r="C1203" t="s">
        <v>1770</v>
      </c>
      <c r="D1203" t="s">
        <v>17</v>
      </c>
      <c r="E1203" t="s">
        <v>2</v>
      </c>
      <c r="F1203" t="s">
        <v>50</v>
      </c>
      <c r="G1203" t="s">
        <v>51</v>
      </c>
      <c r="H1203" s="6">
        <v>4.17</v>
      </c>
      <c r="I1203" t="s">
        <v>52</v>
      </c>
      <c r="J1203" t="s">
        <v>53</v>
      </c>
      <c r="K1203" t="s">
        <v>54</v>
      </c>
      <c r="L1203" t="s">
        <v>55</v>
      </c>
      <c r="O1203" t="s">
        <v>56</v>
      </c>
      <c r="P1203" t="s">
        <v>57</v>
      </c>
      <c r="Q1203" s="6">
        <v>19171.86</v>
      </c>
    </row>
    <row r="1204" spans="1:17">
      <c r="A1204" t="s">
        <v>2547</v>
      </c>
      <c r="B1204" s="5">
        <v>46243</v>
      </c>
      <c r="C1204" t="s">
        <v>2548</v>
      </c>
      <c r="D1204" t="s">
        <v>17</v>
      </c>
      <c r="E1204" t="s">
        <v>2</v>
      </c>
      <c r="F1204" t="s">
        <v>50</v>
      </c>
      <c r="G1204" t="s">
        <v>51</v>
      </c>
      <c r="H1204" s="6">
        <v>56.44</v>
      </c>
      <c r="I1204" t="s">
        <v>52</v>
      </c>
      <c r="J1204" t="s">
        <v>81</v>
      </c>
      <c r="K1204" t="s">
        <v>54</v>
      </c>
      <c r="L1204" t="s">
        <v>55</v>
      </c>
      <c r="O1204" t="s">
        <v>82</v>
      </c>
      <c r="P1204" t="s">
        <v>83</v>
      </c>
      <c r="Q1204" s="6">
        <v>18906.09</v>
      </c>
    </row>
    <row r="1205" spans="1:17">
      <c r="A1205" t="s">
        <v>2549</v>
      </c>
      <c r="B1205" s="5">
        <v>46243</v>
      </c>
      <c r="C1205" t="s">
        <v>2550</v>
      </c>
      <c r="D1205" t="s">
        <v>17</v>
      </c>
      <c r="E1205" t="s">
        <v>2</v>
      </c>
      <c r="F1205" t="s">
        <v>50</v>
      </c>
      <c r="G1205" t="s">
        <v>51</v>
      </c>
      <c r="H1205" s="6">
        <v>12.56</v>
      </c>
      <c r="I1205" t="s">
        <v>52</v>
      </c>
      <c r="J1205" t="s">
        <v>53</v>
      </c>
      <c r="K1205" t="s">
        <v>54</v>
      </c>
      <c r="L1205" t="s">
        <v>55</v>
      </c>
      <c r="O1205" t="s">
        <v>56</v>
      </c>
      <c r="P1205" t="s">
        <v>57</v>
      </c>
      <c r="Q1205" s="6">
        <v>18962.53</v>
      </c>
    </row>
    <row r="1206" spans="1:17">
      <c r="A1206" t="s">
        <v>2551</v>
      </c>
      <c r="B1206" s="5">
        <v>46243</v>
      </c>
      <c r="C1206" t="s">
        <v>2552</v>
      </c>
      <c r="D1206" t="s">
        <v>17</v>
      </c>
      <c r="E1206" t="s">
        <v>2</v>
      </c>
      <c r="F1206" t="s">
        <v>50</v>
      </c>
      <c r="G1206" t="s">
        <v>2490</v>
      </c>
      <c r="H1206" s="6">
        <v>5200</v>
      </c>
      <c r="I1206" t="s">
        <v>52</v>
      </c>
      <c r="J1206" t="s">
        <v>2491</v>
      </c>
      <c r="K1206" t="s">
        <v>54</v>
      </c>
      <c r="L1206" t="s">
        <v>1970</v>
      </c>
      <c r="M1206" t="s">
        <v>91</v>
      </c>
      <c r="N1206" t="s">
        <v>12</v>
      </c>
      <c r="O1206" t="s">
        <v>2492</v>
      </c>
      <c r="P1206" t="s">
        <v>2493</v>
      </c>
      <c r="Q1206" s="6">
        <v>78913.61</v>
      </c>
    </row>
    <row r="1207" spans="1:17">
      <c r="A1207" t="s">
        <v>2553</v>
      </c>
      <c r="B1207" s="5">
        <v>46243</v>
      </c>
      <c r="C1207" t="s">
        <v>2554</v>
      </c>
      <c r="D1207" t="s">
        <v>17</v>
      </c>
      <c r="E1207" t="s">
        <v>2</v>
      </c>
      <c r="F1207" t="s">
        <v>50</v>
      </c>
      <c r="G1207" t="s">
        <v>100</v>
      </c>
      <c r="H1207" s="6">
        <v>22.3</v>
      </c>
      <c r="I1207" t="s">
        <v>52</v>
      </c>
      <c r="J1207" t="s">
        <v>114</v>
      </c>
      <c r="K1207" t="s">
        <v>54</v>
      </c>
      <c r="L1207" t="s">
        <v>102</v>
      </c>
      <c r="O1207" t="s">
        <v>103</v>
      </c>
      <c r="P1207" t="s">
        <v>104</v>
      </c>
      <c r="Q1207" s="6">
        <v>19112.45</v>
      </c>
    </row>
    <row r="1208" spans="1:17">
      <c r="A1208" t="s">
        <v>2555</v>
      </c>
      <c r="B1208" s="5">
        <v>46243</v>
      </c>
      <c r="C1208" t="s">
        <v>2556</v>
      </c>
      <c r="D1208" t="s">
        <v>17</v>
      </c>
      <c r="E1208" t="s">
        <v>2</v>
      </c>
      <c r="F1208" t="s">
        <v>149</v>
      </c>
      <c r="G1208" t="s">
        <v>72</v>
      </c>
      <c r="H1208" s="6">
        <v>500</v>
      </c>
      <c r="I1208" t="s">
        <v>52</v>
      </c>
      <c r="J1208" t="s">
        <v>2557</v>
      </c>
      <c r="K1208" t="s">
        <v>54</v>
      </c>
      <c r="L1208" t="s">
        <v>74</v>
      </c>
      <c r="O1208" t="s">
        <v>75</v>
      </c>
      <c r="P1208" t="s">
        <v>2405</v>
      </c>
      <c r="Q1208" s="6">
        <v>87413.61</v>
      </c>
    </row>
    <row r="1209" spans="1:17">
      <c r="A1209" t="s">
        <v>2558</v>
      </c>
      <c r="B1209" s="5">
        <v>46243</v>
      </c>
      <c r="C1209" t="s">
        <v>2559</v>
      </c>
      <c r="D1209" t="s">
        <v>17</v>
      </c>
      <c r="E1209" t="s">
        <v>2</v>
      </c>
      <c r="F1209" t="s">
        <v>50</v>
      </c>
      <c r="G1209" t="s">
        <v>51</v>
      </c>
      <c r="H1209" s="6">
        <v>102.71</v>
      </c>
      <c r="I1209" t="s">
        <v>52</v>
      </c>
      <c r="J1209" t="s">
        <v>65</v>
      </c>
      <c r="K1209" t="s">
        <v>54</v>
      </c>
      <c r="L1209" t="s">
        <v>55</v>
      </c>
      <c r="O1209" t="s">
        <v>66</v>
      </c>
      <c r="P1209" t="s">
        <v>67</v>
      </c>
      <c r="Q1209" s="6">
        <v>18999.54</v>
      </c>
    </row>
    <row r="1210" spans="1:17">
      <c r="A1210" t="s">
        <v>2560</v>
      </c>
      <c r="B1210" s="5">
        <v>46243</v>
      </c>
      <c r="C1210" t="s">
        <v>2561</v>
      </c>
      <c r="D1210" t="s">
        <v>17</v>
      </c>
      <c r="E1210" t="s">
        <v>2</v>
      </c>
      <c r="F1210" t="s">
        <v>149</v>
      </c>
      <c r="G1210" t="s">
        <v>72</v>
      </c>
      <c r="H1210" s="6">
        <v>900</v>
      </c>
      <c r="I1210" t="s">
        <v>52</v>
      </c>
      <c r="J1210" t="s">
        <v>2562</v>
      </c>
      <c r="K1210" t="s">
        <v>54</v>
      </c>
      <c r="L1210" t="s">
        <v>74</v>
      </c>
      <c r="O1210" t="s">
        <v>75</v>
      </c>
      <c r="P1210" t="s">
        <v>2405</v>
      </c>
      <c r="Q1210" s="6">
        <v>77063.61</v>
      </c>
    </row>
    <row r="1211" spans="1:17">
      <c r="A1211" t="s">
        <v>2563</v>
      </c>
      <c r="B1211" s="5">
        <v>46243</v>
      </c>
      <c r="C1211" t="s">
        <v>2564</v>
      </c>
      <c r="D1211" t="s">
        <v>17</v>
      </c>
      <c r="E1211" t="s">
        <v>2</v>
      </c>
      <c r="F1211" t="s">
        <v>50</v>
      </c>
      <c r="G1211" t="s">
        <v>51</v>
      </c>
      <c r="H1211" s="6">
        <v>10.199999999999999</v>
      </c>
      <c r="I1211" t="s">
        <v>52</v>
      </c>
      <c r="J1211" t="s">
        <v>126</v>
      </c>
      <c r="K1211" t="s">
        <v>54</v>
      </c>
      <c r="L1211" t="s">
        <v>55</v>
      </c>
      <c r="O1211" t="s">
        <v>56</v>
      </c>
      <c r="P1211" t="s">
        <v>57</v>
      </c>
      <c r="Q1211" s="6">
        <v>19102.25</v>
      </c>
    </row>
    <row r="1212" spans="1:17">
      <c r="A1212" t="s">
        <v>2565</v>
      </c>
      <c r="B1212" s="5">
        <v>46243</v>
      </c>
      <c r="C1212" t="s">
        <v>2566</v>
      </c>
      <c r="D1212" t="s">
        <v>17</v>
      </c>
      <c r="E1212" t="s">
        <v>2</v>
      </c>
      <c r="F1212" t="s">
        <v>50</v>
      </c>
      <c r="G1212" t="s">
        <v>51</v>
      </c>
      <c r="H1212" s="6">
        <v>27.17</v>
      </c>
      <c r="I1212" t="s">
        <v>52</v>
      </c>
      <c r="J1212" t="s">
        <v>81</v>
      </c>
      <c r="K1212" t="s">
        <v>54</v>
      </c>
      <c r="L1212" t="s">
        <v>55</v>
      </c>
      <c r="O1212" t="s">
        <v>82</v>
      </c>
      <c r="P1212" t="s">
        <v>83</v>
      </c>
      <c r="Q1212" s="6">
        <v>18878.919999999998</v>
      </c>
    </row>
    <row r="1213" spans="1:17">
      <c r="A1213" t="s">
        <v>2567</v>
      </c>
      <c r="B1213" s="5">
        <v>46243</v>
      </c>
      <c r="C1213" t="s">
        <v>2568</v>
      </c>
      <c r="D1213" t="s">
        <v>17</v>
      </c>
      <c r="E1213" t="s">
        <v>2</v>
      </c>
      <c r="F1213" t="s">
        <v>50</v>
      </c>
      <c r="G1213" t="s">
        <v>51</v>
      </c>
      <c r="H1213" s="6">
        <v>24.45</v>
      </c>
      <c r="I1213" t="s">
        <v>52</v>
      </c>
      <c r="J1213" t="s">
        <v>60</v>
      </c>
      <c r="K1213" t="s">
        <v>54</v>
      </c>
      <c r="L1213" t="s">
        <v>55</v>
      </c>
      <c r="O1213" t="s">
        <v>61</v>
      </c>
      <c r="P1213" t="s">
        <v>62</v>
      </c>
      <c r="Q1213" s="6">
        <v>18975.09</v>
      </c>
    </row>
    <row r="1214" spans="1:17">
      <c r="A1214" t="s">
        <v>2569</v>
      </c>
      <c r="B1214" s="5">
        <v>46243</v>
      </c>
      <c r="C1214" t="s">
        <v>459</v>
      </c>
      <c r="D1214" t="s">
        <v>17</v>
      </c>
      <c r="E1214" t="s">
        <v>2</v>
      </c>
      <c r="F1214" t="s">
        <v>149</v>
      </c>
      <c r="G1214" t="s">
        <v>72</v>
      </c>
      <c r="H1214" s="6">
        <v>500</v>
      </c>
      <c r="I1214" t="s">
        <v>52</v>
      </c>
      <c r="J1214" t="s">
        <v>2570</v>
      </c>
      <c r="K1214" t="s">
        <v>54</v>
      </c>
      <c r="L1214" t="s">
        <v>74</v>
      </c>
      <c r="O1214" t="s">
        <v>75</v>
      </c>
      <c r="P1214" t="s">
        <v>2405</v>
      </c>
      <c r="Q1214" s="6">
        <v>81513.61</v>
      </c>
    </row>
    <row r="1215" spans="1:17">
      <c r="A1215" t="s">
        <v>2571</v>
      </c>
      <c r="B1215" s="5">
        <v>46244</v>
      </c>
      <c r="C1215" t="s">
        <v>2572</v>
      </c>
      <c r="D1215" t="s">
        <v>17</v>
      </c>
      <c r="E1215" t="s">
        <v>2</v>
      </c>
      <c r="F1215" t="s">
        <v>149</v>
      </c>
      <c r="G1215" t="s">
        <v>72</v>
      </c>
      <c r="H1215" s="6">
        <v>750</v>
      </c>
      <c r="I1215" t="s">
        <v>52</v>
      </c>
      <c r="J1215" t="s">
        <v>2573</v>
      </c>
      <c r="K1215" t="s">
        <v>54</v>
      </c>
      <c r="L1215" t="s">
        <v>74</v>
      </c>
      <c r="O1215" t="s">
        <v>75</v>
      </c>
      <c r="P1215" t="s">
        <v>2405</v>
      </c>
      <c r="Q1215" s="6">
        <v>82263.61</v>
      </c>
    </row>
    <row r="1216" spans="1:17">
      <c r="A1216" t="s">
        <v>2574</v>
      </c>
      <c r="B1216" s="5">
        <v>46244</v>
      </c>
      <c r="C1216" t="s">
        <v>2575</v>
      </c>
      <c r="D1216" t="s">
        <v>17</v>
      </c>
      <c r="E1216" t="s">
        <v>2</v>
      </c>
      <c r="F1216" t="s">
        <v>149</v>
      </c>
      <c r="G1216" t="s">
        <v>72</v>
      </c>
      <c r="H1216" s="6">
        <v>600</v>
      </c>
      <c r="I1216" t="s">
        <v>52</v>
      </c>
      <c r="J1216" t="s">
        <v>2576</v>
      </c>
      <c r="K1216" t="s">
        <v>54</v>
      </c>
      <c r="L1216" t="s">
        <v>74</v>
      </c>
      <c r="O1216" t="s">
        <v>75</v>
      </c>
      <c r="P1216" t="s">
        <v>2405</v>
      </c>
      <c r="Q1216" s="6">
        <v>77663.61</v>
      </c>
    </row>
    <row r="1217" spans="1:17">
      <c r="A1217" t="s">
        <v>2577</v>
      </c>
      <c r="B1217" s="5">
        <v>46244</v>
      </c>
      <c r="C1217" t="s">
        <v>2578</v>
      </c>
      <c r="D1217" t="s">
        <v>17</v>
      </c>
      <c r="E1217" t="s">
        <v>2</v>
      </c>
      <c r="F1217" t="s">
        <v>50</v>
      </c>
      <c r="G1217" t="s">
        <v>51</v>
      </c>
      <c r="H1217" s="6">
        <v>120.95</v>
      </c>
      <c r="I1217" t="s">
        <v>52</v>
      </c>
      <c r="J1217" t="s">
        <v>196</v>
      </c>
      <c r="K1217" t="s">
        <v>54</v>
      </c>
      <c r="L1217" t="s">
        <v>55</v>
      </c>
      <c r="O1217" t="s">
        <v>197</v>
      </c>
      <c r="P1217" t="s">
        <v>198</v>
      </c>
      <c r="Q1217" s="6">
        <v>18738.77</v>
      </c>
    </row>
    <row r="1218" spans="1:17">
      <c r="A1218" t="s">
        <v>2579</v>
      </c>
      <c r="B1218" s="5">
        <v>46244</v>
      </c>
      <c r="C1218" t="s">
        <v>2580</v>
      </c>
      <c r="D1218" t="s">
        <v>17</v>
      </c>
      <c r="E1218" t="s">
        <v>2</v>
      </c>
      <c r="F1218" t="s">
        <v>50</v>
      </c>
      <c r="G1218" t="s">
        <v>51</v>
      </c>
      <c r="H1218" s="6">
        <v>10.59</v>
      </c>
      <c r="I1218" t="s">
        <v>52</v>
      </c>
      <c r="J1218" t="s">
        <v>53</v>
      </c>
      <c r="K1218" t="s">
        <v>54</v>
      </c>
      <c r="L1218" t="s">
        <v>55</v>
      </c>
      <c r="O1218" t="s">
        <v>56</v>
      </c>
      <c r="P1218" t="s">
        <v>57</v>
      </c>
      <c r="Q1218" s="6">
        <v>18868.330000000002</v>
      </c>
    </row>
    <row r="1219" spans="1:17">
      <c r="A1219" t="s">
        <v>2581</v>
      </c>
      <c r="B1219" s="5">
        <v>46244</v>
      </c>
      <c r="C1219" t="s">
        <v>2582</v>
      </c>
      <c r="D1219" t="s">
        <v>17</v>
      </c>
      <c r="E1219" t="s">
        <v>2</v>
      </c>
      <c r="F1219" t="s">
        <v>149</v>
      </c>
      <c r="G1219" t="s">
        <v>72</v>
      </c>
      <c r="H1219" s="6">
        <v>600</v>
      </c>
      <c r="I1219" t="s">
        <v>52</v>
      </c>
      <c r="J1219" t="s">
        <v>2583</v>
      </c>
      <c r="K1219" t="s">
        <v>54</v>
      </c>
      <c r="L1219" t="s">
        <v>74</v>
      </c>
      <c r="O1219" t="s">
        <v>75</v>
      </c>
      <c r="P1219" t="s">
        <v>2405</v>
      </c>
      <c r="Q1219" s="6">
        <v>88013.61</v>
      </c>
    </row>
    <row r="1220" spans="1:17">
      <c r="A1220" t="s">
        <v>2584</v>
      </c>
      <c r="B1220" s="5">
        <v>46244</v>
      </c>
      <c r="C1220" t="s">
        <v>2585</v>
      </c>
      <c r="D1220" t="s">
        <v>17</v>
      </c>
      <c r="E1220" t="s">
        <v>2</v>
      </c>
      <c r="F1220" t="s">
        <v>50</v>
      </c>
      <c r="G1220" t="s">
        <v>51</v>
      </c>
      <c r="H1220" s="6">
        <v>9.98</v>
      </c>
      <c r="I1220" t="s">
        <v>52</v>
      </c>
      <c r="J1220" t="s">
        <v>53</v>
      </c>
      <c r="K1220" t="s">
        <v>54</v>
      </c>
      <c r="L1220" t="s">
        <v>55</v>
      </c>
      <c r="O1220" t="s">
        <v>56</v>
      </c>
      <c r="P1220" t="s">
        <v>57</v>
      </c>
      <c r="Q1220" s="6">
        <v>18703.98</v>
      </c>
    </row>
    <row r="1221" spans="1:17">
      <c r="A1221" t="s">
        <v>2586</v>
      </c>
      <c r="B1221" s="5">
        <v>46244</v>
      </c>
      <c r="C1221" t="s">
        <v>2587</v>
      </c>
      <c r="D1221" t="s">
        <v>17</v>
      </c>
      <c r="E1221" t="s">
        <v>2</v>
      </c>
      <c r="F1221" t="s">
        <v>50</v>
      </c>
      <c r="G1221" t="s">
        <v>51</v>
      </c>
      <c r="H1221" s="6">
        <v>8.61</v>
      </c>
      <c r="I1221" t="s">
        <v>52</v>
      </c>
      <c r="J1221" t="s">
        <v>53</v>
      </c>
      <c r="K1221" t="s">
        <v>54</v>
      </c>
      <c r="L1221" t="s">
        <v>55</v>
      </c>
      <c r="O1221" t="s">
        <v>56</v>
      </c>
      <c r="P1221" t="s">
        <v>57</v>
      </c>
      <c r="Q1221" s="6">
        <v>18859.72</v>
      </c>
    </row>
    <row r="1222" spans="1:17">
      <c r="A1222" t="s">
        <v>2588</v>
      </c>
      <c r="B1222" s="5">
        <v>46244</v>
      </c>
      <c r="C1222" t="s">
        <v>2589</v>
      </c>
      <c r="D1222" t="s">
        <v>17</v>
      </c>
      <c r="E1222" t="s">
        <v>2</v>
      </c>
      <c r="F1222" t="s">
        <v>50</v>
      </c>
      <c r="G1222" t="s">
        <v>100</v>
      </c>
      <c r="H1222" s="6">
        <v>24.81</v>
      </c>
      <c r="I1222" t="s">
        <v>52</v>
      </c>
      <c r="J1222" t="s">
        <v>114</v>
      </c>
      <c r="K1222" t="s">
        <v>54</v>
      </c>
      <c r="L1222" t="s">
        <v>102</v>
      </c>
      <c r="O1222" t="s">
        <v>103</v>
      </c>
      <c r="P1222" t="s">
        <v>104</v>
      </c>
      <c r="Q1222" s="6">
        <v>18713.96</v>
      </c>
    </row>
    <row r="1223" spans="1:17">
      <c r="A1223" t="s">
        <v>2590</v>
      </c>
      <c r="B1223" s="5">
        <v>46245</v>
      </c>
      <c r="C1223" t="s">
        <v>2591</v>
      </c>
      <c r="D1223" t="s">
        <v>17</v>
      </c>
      <c r="E1223" t="s">
        <v>2</v>
      </c>
      <c r="F1223" t="s">
        <v>50</v>
      </c>
      <c r="G1223" t="s">
        <v>51</v>
      </c>
      <c r="H1223" s="6">
        <v>12.28</v>
      </c>
      <c r="I1223" t="s">
        <v>52</v>
      </c>
      <c r="J1223" t="s">
        <v>196</v>
      </c>
      <c r="K1223" t="s">
        <v>54</v>
      </c>
      <c r="L1223" t="s">
        <v>55</v>
      </c>
      <c r="O1223" t="s">
        <v>197</v>
      </c>
      <c r="P1223" t="s">
        <v>198</v>
      </c>
      <c r="Q1223" s="6">
        <v>18633.349999999999</v>
      </c>
    </row>
    <row r="1224" spans="1:17">
      <c r="A1224" t="s">
        <v>2592</v>
      </c>
      <c r="B1224" s="5">
        <v>46245</v>
      </c>
      <c r="C1224" t="s">
        <v>2593</v>
      </c>
      <c r="D1224" t="s">
        <v>17</v>
      </c>
      <c r="E1224" t="s">
        <v>2</v>
      </c>
      <c r="F1224" t="s">
        <v>50</v>
      </c>
      <c r="G1224" t="s">
        <v>51</v>
      </c>
      <c r="H1224" s="6">
        <v>14.01</v>
      </c>
      <c r="I1224" t="s">
        <v>52</v>
      </c>
      <c r="J1224" t="s">
        <v>196</v>
      </c>
      <c r="K1224" t="s">
        <v>54</v>
      </c>
      <c r="L1224" t="s">
        <v>55</v>
      </c>
      <c r="O1224" t="s">
        <v>197</v>
      </c>
      <c r="P1224" t="s">
        <v>198</v>
      </c>
      <c r="Q1224" s="6">
        <v>18549.599999999999</v>
      </c>
    </row>
    <row r="1225" spans="1:17">
      <c r="A1225" t="s">
        <v>2594</v>
      </c>
      <c r="B1225" s="5">
        <v>46245</v>
      </c>
      <c r="C1225" t="s">
        <v>2595</v>
      </c>
      <c r="D1225" t="s">
        <v>17</v>
      </c>
      <c r="E1225" t="s">
        <v>2</v>
      </c>
      <c r="F1225" t="s">
        <v>50</v>
      </c>
      <c r="G1225" t="s">
        <v>51</v>
      </c>
      <c r="H1225" s="6">
        <v>58.87</v>
      </c>
      <c r="I1225" t="s">
        <v>52</v>
      </c>
      <c r="J1225" t="s">
        <v>60</v>
      </c>
      <c r="K1225" t="s">
        <v>54</v>
      </c>
      <c r="L1225" t="s">
        <v>55</v>
      </c>
      <c r="O1225" t="s">
        <v>61</v>
      </c>
      <c r="P1225" t="s">
        <v>62</v>
      </c>
      <c r="Q1225" s="6">
        <v>18574.48</v>
      </c>
    </row>
    <row r="1226" spans="1:17">
      <c r="A1226" t="s">
        <v>2596</v>
      </c>
      <c r="B1226" s="5">
        <v>46245</v>
      </c>
      <c r="C1226" t="s">
        <v>2597</v>
      </c>
      <c r="D1226" t="s">
        <v>17</v>
      </c>
      <c r="E1226" t="s">
        <v>2</v>
      </c>
      <c r="F1226" t="s">
        <v>50</v>
      </c>
      <c r="G1226" t="s">
        <v>51</v>
      </c>
      <c r="H1226" s="6">
        <v>43.35</v>
      </c>
      <c r="I1226" t="s">
        <v>52</v>
      </c>
      <c r="J1226" t="s">
        <v>126</v>
      </c>
      <c r="K1226" t="s">
        <v>54</v>
      </c>
      <c r="L1226" t="s">
        <v>55</v>
      </c>
      <c r="O1226" t="s">
        <v>56</v>
      </c>
      <c r="P1226" t="s">
        <v>57</v>
      </c>
      <c r="Q1226" s="6">
        <v>18645.63</v>
      </c>
    </row>
    <row r="1227" spans="1:17">
      <c r="A1227" t="s">
        <v>2598</v>
      </c>
      <c r="B1227" s="5">
        <v>46245</v>
      </c>
      <c r="C1227" t="s">
        <v>2599</v>
      </c>
      <c r="D1227" t="s">
        <v>17</v>
      </c>
      <c r="E1227" t="s">
        <v>2</v>
      </c>
      <c r="F1227" t="s">
        <v>50</v>
      </c>
      <c r="G1227" t="s">
        <v>51</v>
      </c>
      <c r="H1227" s="6">
        <v>10.87</v>
      </c>
      <c r="I1227" t="s">
        <v>52</v>
      </c>
      <c r="J1227" t="s">
        <v>121</v>
      </c>
      <c r="K1227" t="s">
        <v>54</v>
      </c>
      <c r="L1227" t="s">
        <v>55</v>
      </c>
      <c r="O1227" t="s">
        <v>122</v>
      </c>
      <c r="P1227" t="s">
        <v>123</v>
      </c>
      <c r="Q1227" s="6">
        <v>18563.61</v>
      </c>
    </row>
    <row r="1228" spans="1:17">
      <c r="A1228" t="s">
        <v>2600</v>
      </c>
      <c r="B1228" s="5">
        <v>46245</v>
      </c>
      <c r="C1228" t="s">
        <v>2601</v>
      </c>
      <c r="D1228" t="s">
        <v>17</v>
      </c>
      <c r="E1228" t="s">
        <v>2</v>
      </c>
      <c r="F1228" t="s">
        <v>50</v>
      </c>
      <c r="G1228" t="s">
        <v>72</v>
      </c>
      <c r="H1228" s="6">
        <v>101.07</v>
      </c>
      <c r="I1228" t="s">
        <v>52</v>
      </c>
      <c r="J1228" t="s">
        <v>150</v>
      </c>
      <c r="K1228" t="s">
        <v>54</v>
      </c>
      <c r="L1228" t="s">
        <v>74</v>
      </c>
      <c r="O1228" t="s">
        <v>75</v>
      </c>
      <c r="P1228" t="s">
        <v>76</v>
      </c>
      <c r="Q1228" s="6">
        <v>18448.53</v>
      </c>
    </row>
    <row r="1229" spans="1:17">
      <c r="A1229" t="s">
        <v>2602</v>
      </c>
      <c r="B1229" s="5">
        <v>46245</v>
      </c>
      <c r="C1229" t="s">
        <v>2603</v>
      </c>
      <c r="D1229" t="s">
        <v>17</v>
      </c>
      <c r="E1229" t="s">
        <v>2</v>
      </c>
      <c r="F1229" t="s">
        <v>50</v>
      </c>
      <c r="G1229" t="s">
        <v>100</v>
      </c>
      <c r="H1229" s="6">
        <v>15</v>
      </c>
      <c r="I1229" t="s">
        <v>52</v>
      </c>
      <c r="J1229" t="s">
        <v>101</v>
      </c>
      <c r="K1229" t="s">
        <v>54</v>
      </c>
      <c r="L1229" t="s">
        <v>102</v>
      </c>
      <c r="O1229" t="s">
        <v>103</v>
      </c>
      <c r="P1229" t="s">
        <v>104</v>
      </c>
      <c r="Q1229" s="6">
        <v>18688.98</v>
      </c>
    </row>
    <row r="1230" spans="1:17">
      <c r="A1230" t="s">
        <v>2604</v>
      </c>
      <c r="B1230" s="5">
        <v>46246</v>
      </c>
      <c r="C1230" t="s">
        <v>2605</v>
      </c>
      <c r="D1230" t="s">
        <v>17</v>
      </c>
      <c r="E1230" t="s">
        <v>2</v>
      </c>
      <c r="F1230" t="s">
        <v>50</v>
      </c>
      <c r="G1230" t="s">
        <v>51</v>
      </c>
      <c r="H1230" s="6">
        <v>28.59</v>
      </c>
      <c r="I1230" t="s">
        <v>52</v>
      </c>
      <c r="J1230" t="s">
        <v>81</v>
      </c>
      <c r="K1230" t="s">
        <v>54</v>
      </c>
      <c r="L1230" t="s">
        <v>55</v>
      </c>
      <c r="O1230" t="s">
        <v>82</v>
      </c>
      <c r="P1230" t="s">
        <v>83</v>
      </c>
      <c r="Q1230" s="6">
        <v>18419.939999999999</v>
      </c>
    </row>
    <row r="1231" spans="1:17">
      <c r="A1231" t="s">
        <v>2606</v>
      </c>
      <c r="B1231" s="5">
        <v>46246</v>
      </c>
      <c r="C1231" t="s">
        <v>2607</v>
      </c>
      <c r="D1231" t="s">
        <v>17</v>
      </c>
      <c r="E1231" t="s">
        <v>2</v>
      </c>
      <c r="F1231" t="s">
        <v>50</v>
      </c>
      <c r="G1231" t="s">
        <v>100</v>
      </c>
      <c r="H1231" s="6">
        <v>15</v>
      </c>
      <c r="I1231" t="s">
        <v>52</v>
      </c>
      <c r="J1231" t="s">
        <v>101</v>
      </c>
      <c r="K1231" t="s">
        <v>54</v>
      </c>
      <c r="L1231" t="s">
        <v>102</v>
      </c>
      <c r="O1231" t="s">
        <v>103</v>
      </c>
      <c r="P1231" t="s">
        <v>104</v>
      </c>
      <c r="Q1231" s="6">
        <v>18334.11</v>
      </c>
    </row>
    <row r="1232" spans="1:17">
      <c r="A1232" t="s">
        <v>2608</v>
      </c>
      <c r="B1232" s="5">
        <v>46246</v>
      </c>
      <c r="C1232" t="s">
        <v>2609</v>
      </c>
      <c r="D1232" t="s">
        <v>17</v>
      </c>
      <c r="E1232" t="s">
        <v>2</v>
      </c>
      <c r="F1232" t="s">
        <v>50</v>
      </c>
      <c r="G1232" t="s">
        <v>51</v>
      </c>
      <c r="H1232" s="6">
        <v>20.63</v>
      </c>
      <c r="I1232" t="s">
        <v>52</v>
      </c>
      <c r="J1232" t="s">
        <v>121</v>
      </c>
      <c r="K1232" t="s">
        <v>54</v>
      </c>
      <c r="L1232" t="s">
        <v>55</v>
      </c>
      <c r="O1232" t="s">
        <v>122</v>
      </c>
      <c r="P1232" t="s">
        <v>123</v>
      </c>
      <c r="Q1232" s="6">
        <v>18275.04</v>
      </c>
    </row>
    <row r="1233" spans="1:17">
      <c r="A1233" t="s">
        <v>2610</v>
      </c>
      <c r="B1233" s="5">
        <v>46246</v>
      </c>
      <c r="C1233" t="s">
        <v>2611</v>
      </c>
      <c r="D1233" t="s">
        <v>17</v>
      </c>
      <c r="E1233" t="s">
        <v>2</v>
      </c>
      <c r="F1233" t="s">
        <v>50</v>
      </c>
      <c r="G1233" t="s">
        <v>2490</v>
      </c>
      <c r="H1233" s="6">
        <v>6100</v>
      </c>
      <c r="I1233" t="s">
        <v>52</v>
      </c>
      <c r="J1233" t="s">
        <v>2491</v>
      </c>
      <c r="K1233" t="s">
        <v>54</v>
      </c>
      <c r="L1233" t="s">
        <v>1970</v>
      </c>
      <c r="M1233" t="s">
        <v>91</v>
      </c>
      <c r="N1233" t="s">
        <v>12</v>
      </c>
      <c r="O1233" t="s">
        <v>2492</v>
      </c>
      <c r="P1233" t="s">
        <v>2493</v>
      </c>
      <c r="Q1233" s="6">
        <v>72813.61</v>
      </c>
    </row>
    <row r="1234" spans="1:17">
      <c r="A1234" t="s">
        <v>2612</v>
      </c>
      <c r="B1234" s="5">
        <v>46246</v>
      </c>
      <c r="C1234" t="s">
        <v>2613</v>
      </c>
      <c r="D1234" t="s">
        <v>17</v>
      </c>
      <c r="E1234" t="s">
        <v>2</v>
      </c>
      <c r="F1234" t="s">
        <v>50</v>
      </c>
      <c r="G1234" t="s">
        <v>100</v>
      </c>
      <c r="H1234" s="6">
        <v>73.58</v>
      </c>
      <c r="I1234" t="s">
        <v>52</v>
      </c>
      <c r="J1234" t="s">
        <v>244</v>
      </c>
      <c r="K1234" t="s">
        <v>54</v>
      </c>
      <c r="L1234" t="s">
        <v>102</v>
      </c>
      <c r="O1234" t="s">
        <v>178</v>
      </c>
      <c r="P1234" t="s">
        <v>245</v>
      </c>
      <c r="Q1234" s="6">
        <v>38173.599999999999</v>
      </c>
    </row>
    <row r="1235" spans="1:17">
      <c r="A1235" t="s">
        <v>2614</v>
      </c>
      <c r="B1235" s="5">
        <v>46246</v>
      </c>
      <c r="C1235" t="s">
        <v>2615</v>
      </c>
      <c r="D1235" t="s">
        <v>17</v>
      </c>
      <c r="E1235" t="s">
        <v>2</v>
      </c>
      <c r="F1235" t="s">
        <v>50</v>
      </c>
      <c r="G1235" t="s">
        <v>51</v>
      </c>
      <c r="H1235" s="6">
        <v>11.91</v>
      </c>
      <c r="I1235" t="s">
        <v>52</v>
      </c>
      <c r="J1235" t="s">
        <v>53</v>
      </c>
      <c r="K1235" t="s">
        <v>54</v>
      </c>
      <c r="L1235" t="s">
        <v>55</v>
      </c>
      <c r="O1235" t="s">
        <v>56</v>
      </c>
      <c r="P1235" t="s">
        <v>57</v>
      </c>
      <c r="Q1235" s="6">
        <v>18263.13</v>
      </c>
    </row>
    <row r="1236" spans="1:17">
      <c r="A1236" t="s">
        <v>2616</v>
      </c>
      <c r="B1236" s="5">
        <v>46246</v>
      </c>
      <c r="C1236" t="s">
        <v>2617</v>
      </c>
      <c r="D1236" t="s">
        <v>17</v>
      </c>
      <c r="E1236" t="s">
        <v>2</v>
      </c>
      <c r="F1236" t="s">
        <v>50</v>
      </c>
      <c r="G1236" t="s">
        <v>51</v>
      </c>
      <c r="H1236" s="6">
        <v>70.83</v>
      </c>
      <c r="I1236" t="s">
        <v>52</v>
      </c>
      <c r="J1236" t="s">
        <v>196</v>
      </c>
      <c r="K1236" t="s">
        <v>54</v>
      </c>
      <c r="L1236" t="s">
        <v>55</v>
      </c>
      <c r="O1236" t="s">
        <v>197</v>
      </c>
      <c r="P1236" t="s">
        <v>198</v>
      </c>
      <c r="Q1236" s="6">
        <v>18349.11</v>
      </c>
    </row>
    <row r="1237" spans="1:17">
      <c r="A1237" t="s">
        <v>2618</v>
      </c>
      <c r="B1237" s="5">
        <v>46246</v>
      </c>
      <c r="C1237" t="s">
        <v>2619</v>
      </c>
      <c r="D1237" t="s">
        <v>17</v>
      </c>
      <c r="E1237" t="s">
        <v>2</v>
      </c>
      <c r="F1237" t="s">
        <v>149</v>
      </c>
      <c r="G1237" t="s">
        <v>72</v>
      </c>
      <c r="H1237" s="6">
        <v>147.93</v>
      </c>
      <c r="I1237" t="s">
        <v>52</v>
      </c>
      <c r="J1237" t="s">
        <v>606</v>
      </c>
      <c r="K1237" t="s">
        <v>54</v>
      </c>
      <c r="L1237" t="s">
        <v>74</v>
      </c>
      <c r="O1237" t="s">
        <v>75</v>
      </c>
      <c r="P1237" t="s">
        <v>76</v>
      </c>
      <c r="Q1237" s="6">
        <v>18411.060000000001</v>
      </c>
    </row>
    <row r="1238" spans="1:17">
      <c r="A1238" t="s">
        <v>2620</v>
      </c>
      <c r="B1238" s="5">
        <v>46246</v>
      </c>
      <c r="C1238" t="s">
        <v>2621</v>
      </c>
      <c r="D1238" t="s">
        <v>17</v>
      </c>
      <c r="E1238" t="s">
        <v>2</v>
      </c>
      <c r="F1238" t="s">
        <v>50</v>
      </c>
      <c r="G1238" t="s">
        <v>100</v>
      </c>
      <c r="H1238" s="6">
        <v>23.44</v>
      </c>
      <c r="I1238" t="s">
        <v>52</v>
      </c>
      <c r="J1238" t="s">
        <v>114</v>
      </c>
      <c r="K1238" t="s">
        <v>54</v>
      </c>
      <c r="L1238" t="s">
        <v>102</v>
      </c>
      <c r="O1238" t="s">
        <v>103</v>
      </c>
      <c r="P1238" t="s">
        <v>104</v>
      </c>
      <c r="Q1238" s="6">
        <v>18295.669999999998</v>
      </c>
    </row>
    <row r="1239" spans="1:17">
      <c r="A1239" t="s">
        <v>2622</v>
      </c>
      <c r="B1239" s="5">
        <v>46246</v>
      </c>
      <c r="C1239" t="s">
        <v>2623</v>
      </c>
      <c r="D1239" t="s">
        <v>17</v>
      </c>
      <c r="E1239" t="s">
        <v>2</v>
      </c>
      <c r="F1239" t="s">
        <v>50</v>
      </c>
      <c r="G1239" t="s">
        <v>100</v>
      </c>
      <c r="H1239" s="6">
        <v>15</v>
      </c>
      <c r="I1239" t="s">
        <v>52</v>
      </c>
      <c r="J1239" t="s">
        <v>101</v>
      </c>
      <c r="K1239" t="s">
        <v>54</v>
      </c>
      <c r="L1239" t="s">
        <v>102</v>
      </c>
      <c r="O1239" t="s">
        <v>103</v>
      </c>
      <c r="P1239" t="s">
        <v>104</v>
      </c>
      <c r="Q1239" s="6">
        <v>18319.11</v>
      </c>
    </row>
    <row r="1240" spans="1:17">
      <c r="A1240" t="s">
        <v>2624</v>
      </c>
      <c r="B1240" s="5">
        <v>46247</v>
      </c>
      <c r="C1240" t="s">
        <v>2625</v>
      </c>
      <c r="D1240" t="s">
        <v>17</v>
      </c>
      <c r="E1240" t="s">
        <v>2</v>
      </c>
      <c r="F1240" t="s">
        <v>50</v>
      </c>
      <c r="G1240" t="s">
        <v>51</v>
      </c>
      <c r="H1240" s="6">
        <v>6.56</v>
      </c>
      <c r="I1240" t="s">
        <v>52</v>
      </c>
      <c r="J1240" t="s">
        <v>121</v>
      </c>
      <c r="K1240" t="s">
        <v>54</v>
      </c>
      <c r="L1240" t="s">
        <v>55</v>
      </c>
      <c r="O1240" t="s">
        <v>122</v>
      </c>
      <c r="P1240" t="s">
        <v>123</v>
      </c>
      <c r="Q1240" s="6">
        <v>18345.349999999999</v>
      </c>
    </row>
    <row r="1241" spans="1:17">
      <c r="A1241" t="s">
        <v>2626</v>
      </c>
      <c r="B1241" s="5">
        <v>46247</v>
      </c>
      <c r="C1241" t="s">
        <v>2627</v>
      </c>
      <c r="D1241" t="s">
        <v>17</v>
      </c>
      <c r="E1241" t="s">
        <v>2</v>
      </c>
      <c r="F1241" t="s">
        <v>50</v>
      </c>
      <c r="G1241" t="s">
        <v>51</v>
      </c>
      <c r="H1241" s="6">
        <v>59.15</v>
      </c>
      <c r="I1241" t="s">
        <v>52</v>
      </c>
      <c r="J1241" t="s">
        <v>81</v>
      </c>
      <c r="K1241" t="s">
        <v>54</v>
      </c>
      <c r="L1241" t="s">
        <v>55</v>
      </c>
      <c r="O1241" t="s">
        <v>82</v>
      </c>
      <c r="P1241" t="s">
        <v>83</v>
      </c>
      <c r="Q1241" s="6">
        <v>18351.91</v>
      </c>
    </row>
    <row r="1242" spans="1:17">
      <c r="A1242" t="s">
        <v>2628</v>
      </c>
      <c r="B1242" s="5">
        <v>46247</v>
      </c>
      <c r="C1242" t="s">
        <v>2629</v>
      </c>
      <c r="D1242" t="s">
        <v>17</v>
      </c>
      <c r="E1242" t="s">
        <v>2</v>
      </c>
      <c r="F1242" t="s">
        <v>50</v>
      </c>
      <c r="G1242" t="s">
        <v>72</v>
      </c>
      <c r="H1242" s="6">
        <v>25.98</v>
      </c>
      <c r="I1242" t="s">
        <v>52</v>
      </c>
      <c r="J1242" t="s">
        <v>150</v>
      </c>
      <c r="K1242" t="s">
        <v>54</v>
      </c>
      <c r="L1242" t="s">
        <v>74</v>
      </c>
      <c r="O1242" t="s">
        <v>75</v>
      </c>
      <c r="P1242" t="s">
        <v>76</v>
      </c>
      <c r="Q1242" s="6">
        <v>18264.21</v>
      </c>
    </row>
    <row r="1243" spans="1:17">
      <c r="A1243" t="s">
        <v>2630</v>
      </c>
      <c r="B1243" s="5">
        <v>46247</v>
      </c>
      <c r="C1243" t="s">
        <v>1347</v>
      </c>
      <c r="D1243" t="s">
        <v>17</v>
      </c>
      <c r="E1243" t="s">
        <v>2</v>
      </c>
      <c r="F1243" t="s">
        <v>50</v>
      </c>
      <c r="G1243" t="s">
        <v>51</v>
      </c>
      <c r="H1243" s="6">
        <v>31.5</v>
      </c>
      <c r="I1243" t="s">
        <v>52</v>
      </c>
      <c r="J1243" t="s">
        <v>81</v>
      </c>
      <c r="K1243" t="s">
        <v>54</v>
      </c>
      <c r="L1243" t="s">
        <v>55</v>
      </c>
      <c r="O1243" t="s">
        <v>82</v>
      </c>
      <c r="P1243" t="s">
        <v>83</v>
      </c>
      <c r="Q1243" s="6">
        <v>18290.189999999999</v>
      </c>
    </row>
    <row r="1244" spans="1:17">
      <c r="A1244" t="s">
        <v>2631</v>
      </c>
      <c r="B1244" s="5">
        <v>46247</v>
      </c>
      <c r="C1244" t="s">
        <v>2632</v>
      </c>
      <c r="D1244" t="s">
        <v>17</v>
      </c>
      <c r="E1244" t="s">
        <v>2</v>
      </c>
      <c r="F1244" t="s">
        <v>50</v>
      </c>
      <c r="G1244" t="s">
        <v>51</v>
      </c>
      <c r="H1244" s="6">
        <v>13.87</v>
      </c>
      <c r="I1244" t="s">
        <v>52</v>
      </c>
      <c r="J1244" t="s">
        <v>53</v>
      </c>
      <c r="K1244" t="s">
        <v>54</v>
      </c>
      <c r="L1244" t="s">
        <v>55</v>
      </c>
      <c r="O1244" t="s">
        <v>56</v>
      </c>
      <c r="P1244" t="s">
        <v>57</v>
      </c>
      <c r="Q1244" s="6">
        <v>18331.48</v>
      </c>
    </row>
    <row r="1245" spans="1:17">
      <c r="A1245" t="s">
        <v>2633</v>
      </c>
      <c r="B1245" s="5">
        <v>46247</v>
      </c>
      <c r="C1245" t="s">
        <v>2634</v>
      </c>
      <c r="D1245" t="s">
        <v>17</v>
      </c>
      <c r="E1245" t="s">
        <v>2</v>
      </c>
      <c r="F1245" t="s">
        <v>50</v>
      </c>
      <c r="G1245" t="s">
        <v>51</v>
      </c>
      <c r="H1245" s="6">
        <v>9.7899999999999991</v>
      </c>
      <c r="I1245" t="s">
        <v>52</v>
      </c>
      <c r="J1245" t="s">
        <v>53</v>
      </c>
      <c r="K1245" t="s">
        <v>54</v>
      </c>
      <c r="L1245" t="s">
        <v>55</v>
      </c>
      <c r="O1245" t="s">
        <v>56</v>
      </c>
      <c r="P1245" t="s">
        <v>57</v>
      </c>
      <c r="Q1245" s="6">
        <v>18321.689999999999</v>
      </c>
    </row>
    <row r="1246" spans="1:17">
      <c r="A1246" t="s">
        <v>2635</v>
      </c>
      <c r="B1246" s="5">
        <v>46248</v>
      </c>
      <c r="C1246" t="s">
        <v>2636</v>
      </c>
      <c r="D1246" t="s">
        <v>17</v>
      </c>
      <c r="E1246" t="s">
        <v>2</v>
      </c>
      <c r="F1246" t="s">
        <v>50</v>
      </c>
      <c r="G1246" t="s">
        <v>51</v>
      </c>
      <c r="H1246" s="6">
        <v>16.21</v>
      </c>
      <c r="I1246" t="s">
        <v>52</v>
      </c>
      <c r="J1246" t="s">
        <v>126</v>
      </c>
      <c r="K1246" t="s">
        <v>54</v>
      </c>
      <c r="L1246" t="s">
        <v>55</v>
      </c>
      <c r="O1246" t="s">
        <v>56</v>
      </c>
      <c r="P1246" t="s">
        <v>57</v>
      </c>
      <c r="Q1246" s="6">
        <v>18202.55</v>
      </c>
    </row>
    <row r="1247" spans="1:17">
      <c r="A1247" t="s">
        <v>2637</v>
      </c>
      <c r="B1247" s="5">
        <v>46248</v>
      </c>
      <c r="C1247" t="s">
        <v>2638</v>
      </c>
      <c r="D1247" t="s">
        <v>17</v>
      </c>
      <c r="E1247" t="s">
        <v>2</v>
      </c>
      <c r="F1247" t="s">
        <v>50</v>
      </c>
      <c r="G1247" t="s">
        <v>51</v>
      </c>
      <c r="H1247" s="6">
        <v>15.45</v>
      </c>
      <c r="I1247" t="s">
        <v>52</v>
      </c>
      <c r="J1247" t="s">
        <v>81</v>
      </c>
      <c r="K1247" t="s">
        <v>54</v>
      </c>
      <c r="L1247" t="s">
        <v>55</v>
      </c>
      <c r="O1247" t="s">
        <v>82</v>
      </c>
      <c r="P1247" t="s">
        <v>83</v>
      </c>
      <c r="Q1247" s="6">
        <v>18218.759999999998</v>
      </c>
    </row>
    <row r="1248" spans="1:17">
      <c r="A1248" t="s">
        <v>2639</v>
      </c>
      <c r="B1248" s="5">
        <v>46248</v>
      </c>
      <c r="C1248" t="s">
        <v>2640</v>
      </c>
      <c r="D1248" t="s">
        <v>17</v>
      </c>
      <c r="E1248" t="s">
        <v>2</v>
      </c>
      <c r="F1248" t="s">
        <v>50</v>
      </c>
      <c r="G1248" t="s">
        <v>100</v>
      </c>
      <c r="H1248" s="6">
        <v>15</v>
      </c>
      <c r="I1248" t="s">
        <v>52</v>
      </c>
      <c r="J1248" t="s">
        <v>101</v>
      </c>
      <c r="K1248" t="s">
        <v>54</v>
      </c>
      <c r="L1248" t="s">
        <v>102</v>
      </c>
      <c r="O1248" t="s">
        <v>103</v>
      </c>
      <c r="P1248" t="s">
        <v>104</v>
      </c>
      <c r="Q1248" s="6">
        <v>18249.21</v>
      </c>
    </row>
    <row r="1249" spans="1:17">
      <c r="A1249" t="s">
        <v>2641</v>
      </c>
      <c r="B1249" s="5">
        <v>46248</v>
      </c>
      <c r="C1249" t="s">
        <v>2642</v>
      </c>
      <c r="D1249" t="s">
        <v>17</v>
      </c>
      <c r="E1249" t="s">
        <v>2</v>
      </c>
      <c r="F1249" t="s">
        <v>50</v>
      </c>
      <c r="G1249" t="s">
        <v>100</v>
      </c>
      <c r="H1249" s="6">
        <v>11.74</v>
      </c>
      <c r="I1249" t="s">
        <v>52</v>
      </c>
      <c r="J1249" t="s">
        <v>114</v>
      </c>
      <c r="K1249" t="s">
        <v>54</v>
      </c>
      <c r="L1249" t="s">
        <v>102</v>
      </c>
      <c r="O1249" t="s">
        <v>103</v>
      </c>
      <c r="P1249" t="s">
        <v>104</v>
      </c>
      <c r="Q1249" s="6">
        <v>18190.810000000001</v>
      </c>
    </row>
    <row r="1250" spans="1:17">
      <c r="A1250" t="s">
        <v>2643</v>
      </c>
      <c r="B1250" s="5">
        <v>46248</v>
      </c>
      <c r="C1250" t="s">
        <v>2644</v>
      </c>
      <c r="D1250" t="s">
        <v>17</v>
      </c>
      <c r="E1250" t="s">
        <v>2</v>
      </c>
      <c r="F1250" t="s">
        <v>50</v>
      </c>
      <c r="G1250" t="s">
        <v>100</v>
      </c>
      <c r="H1250" s="6">
        <v>15</v>
      </c>
      <c r="I1250" t="s">
        <v>52</v>
      </c>
      <c r="J1250" t="s">
        <v>101</v>
      </c>
      <c r="K1250" t="s">
        <v>54</v>
      </c>
      <c r="L1250" t="s">
        <v>102</v>
      </c>
      <c r="O1250" t="s">
        <v>103</v>
      </c>
      <c r="P1250" t="s">
        <v>104</v>
      </c>
      <c r="Q1250" s="6">
        <v>18234.21</v>
      </c>
    </row>
    <row r="1251" spans="1:17">
      <c r="A1251" t="s">
        <v>2645</v>
      </c>
      <c r="B1251" s="5">
        <v>46249</v>
      </c>
      <c r="C1251" t="s">
        <v>2646</v>
      </c>
      <c r="D1251" t="s">
        <v>17</v>
      </c>
      <c r="E1251" t="s">
        <v>2</v>
      </c>
      <c r="F1251" t="s">
        <v>50</v>
      </c>
      <c r="G1251" t="s">
        <v>51</v>
      </c>
      <c r="H1251" s="6">
        <v>32.28</v>
      </c>
      <c r="I1251" t="s">
        <v>52</v>
      </c>
      <c r="J1251" t="s">
        <v>81</v>
      </c>
      <c r="K1251" t="s">
        <v>54</v>
      </c>
      <c r="L1251" t="s">
        <v>55</v>
      </c>
      <c r="O1251" t="s">
        <v>82</v>
      </c>
      <c r="P1251" t="s">
        <v>83</v>
      </c>
      <c r="Q1251" s="6">
        <v>18158.53</v>
      </c>
    </row>
    <row r="1252" spans="1:17">
      <c r="A1252" t="s">
        <v>2647</v>
      </c>
      <c r="B1252" s="5">
        <v>46249</v>
      </c>
      <c r="C1252" t="s">
        <v>2648</v>
      </c>
      <c r="D1252" t="s">
        <v>17</v>
      </c>
      <c r="E1252" t="s">
        <v>2</v>
      </c>
      <c r="F1252" t="s">
        <v>50</v>
      </c>
      <c r="G1252" t="s">
        <v>51</v>
      </c>
      <c r="H1252" s="6">
        <v>69.12</v>
      </c>
      <c r="I1252" t="s">
        <v>52</v>
      </c>
      <c r="J1252" t="s">
        <v>196</v>
      </c>
      <c r="K1252" t="s">
        <v>54</v>
      </c>
      <c r="L1252" t="s">
        <v>55</v>
      </c>
      <c r="O1252" t="s">
        <v>197</v>
      </c>
      <c r="P1252" t="s">
        <v>198</v>
      </c>
      <c r="Q1252" s="6">
        <v>18085.099999999999</v>
      </c>
    </row>
    <row r="1253" spans="1:17">
      <c r="A1253" t="s">
        <v>2649</v>
      </c>
      <c r="B1253" s="5">
        <v>46249</v>
      </c>
      <c r="C1253" t="s">
        <v>2650</v>
      </c>
      <c r="D1253" t="s">
        <v>17</v>
      </c>
      <c r="E1253" t="s">
        <v>2</v>
      </c>
      <c r="F1253" t="s">
        <v>50</v>
      </c>
      <c r="G1253" t="s">
        <v>51</v>
      </c>
      <c r="H1253" s="6">
        <v>6.09</v>
      </c>
      <c r="I1253" t="s">
        <v>52</v>
      </c>
      <c r="J1253" t="s">
        <v>53</v>
      </c>
      <c r="K1253" t="s">
        <v>54</v>
      </c>
      <c r="L1253" t="s">
        <v>55</v>
      </c>
      <c r="O1253" t="s">
        <v>56</v>
      </c>
      <c r="P1253" t="s">
        <v>57</v>
      </c>
      <c r="Q1253" s="6">
        <v>18064.22</v>
      </c>
    </row>
    <row r="1254" spans="1:17">
      <c r="A1254" t="s">
        <v>2651</v>
      </c>
      <c r="B1254" s="5">
        <v>46249</v>
      </c>
      <c r="C1254" t="s">
        <v>2652</v>
      </c>
      <c r="D1254" t="s">
        <v>17</v>
      </c>
      <c r="E1254" t="s">
        <v>2</v>
      </c>
      <c r="F1254" t="s">
        <v>50</v>
      </c>
      <c r="G1254" t="s">
        <v>51</v>
      </c>
      <c r="H1254" s="6">
        <v>4.3099999999999996</v>
      </c>
      <c r="I1254" t="s">
        <v>52</v>
      </c>
      <c r="J1254" t="s">
        <v>53</v>
      </c>
      <c r="K1254" t="s">
        <v>54</v>
      </c>
      <c r="L1254" t="s">
        <v>55</v>
      </c>
      <c r="O1254" t="s">
        <v>56</v>
      </c>
      <c r="P1254" t="s">
        <v>57</v>
      </c>
      <c r="Q1254" s="6">
        <v>18154.22</v>
      </c>
    </row>
    <row r="1255" spans="1:17">
      <c r="A1255" t="s">
        <v>2653</v>
      </c>
      <c r="B1255" s="5">
        <v>46249</v>
      </c>
      <c r="C1255" t="s">
        <v>2654</v>
      </c>
      <c r="D1255" t="s">
        <v>17</v>
      </c>
      <c r="E1255" t="s">
        <v>2</v>
      </c>
      <c r="F1255" t="s">
        <v>149</v>
      </c>
      <c r="G1255" t="s">
        <v>321</v>
      </c>
      <c r="H1255" s="6">
        <v>3235.58</v>
      </c>
      <c r="I1255" t="s">
        <v>52</v>
      </c>
      <c r="J1255" t="s">
        <v>9</v>
      </c>
      <c r="K1255" t="s">
        <v>54</v>
      </c>
      <c r="L1255" t="s">
        <v>102</v>
      </c>
      <c r="O1255" t="s">
        <v>322</v>
      </c>
      <c r="P1255" t="s">
        <v>323</v>
      </c>
      <c r="Q1255" s="6">
        <v>47924.53</v>
      </c>
    </row>
    <row r="1256" spans="1:17">
      <c r="A1256" t="s">
        <v>2655</v>
      </c>
      <c r="B1256" s="5">
        <v>46249</v>
      </c>
      <c r="C1256" t="s">
        <v>2656</v>
      </c>
      <c r="D1256" t="s">
        <v>17</v>
      </c>
      <c r="E1256" t="s">
        <v>2</v>
      </c>
      <c r="F1256" t="s">
        <v>50</v>
      </c>
      <c r="G1256" t="s">
        <v>100</v>
      </c>
      <c r="H1256" s="6">
        <v>14.79</v>
      </c>
      <c r="I1256" t="s">
        <v>52</v>
      </c>
      <c r="J1256" t="s">
        <v>114</v>
      </c>
      <c r="K1256" t="s">
        <v>54</v>
      </c>
      <c r="L1256" t="s">
        <v>102</v>
      </c>
      <c r="O1256" t="s">
        <v>103</v>
      </c>
      <c r="P1256" t="s">
        <v>104</v>
      </c>
      <c r="Q1256" s="6">
        <v>18070.310000000001</v>
      </c>
    </row>
    <row r="1257" spans="1:17">
      <c r="A1257" t="s">
        <v>2657</v>
      </c>
      <c r="B1257" s="5">
        <v>46250</v>
      </c>
      <c r="C1257" t="s">
        <v>2658</v>
      </c>
      <c r="D1257" t="s">
        <v>17</v>
      </c>
      <c r="E1257" t="s">
        <v>2</v>
      </c>
      <c r="F1257" t="s">
        <v>50</v>
      </c>
      <c r="G1257" t="s">
        <v>100</v>
      </c>
      <c r="H1257" s="6">
        <v>15</v>
      </c>
      <c r="I1257" t="s">
        <v>52</v>
      </c>
      <c r="J1257" t="s">
        <v>101</v>
      </c>
      <c r="K1257" t="s">
        <v>54</v>
      </c>
      <c r="L1257" t="s">
        <v>102</v>
      </c>
      <c r="O1257" t="s">
        <v>103</v>
      </c>
      <c r="P1257" t="s">
        <v>104</v>
      </c>
      <c r="Q1257" s="6">
        <v>17892.5</v>
      </c>
    </row>
    <row r="1258" spans="1:17">
      <c r="A1258" t="s">
        <v>2659</v>
      </c>
      <c r="B1258" s="5">
        <v>46250</v>
      </c>
      <c r="C1258" t="s">
        <v>2660</v>
      </c>
      <c r="D1258" t="s">
        <v>17</v>
      </c>
      <c r="E1258" t="s">
        <v>2</v>
      </c>
      <c r="F1258" t="s">
        <v>50</v>
      </c>
      <c r="G1258" t="s">
        <v>51</v>
      </c>
      <c r="H1258" s="6">
        <v>36.11</v>
      </c>
      <c r="I1258" t="s">
        <v>52</v>
      </c>
      <c r="J1258" t="s">
        <v>81</v>
      </c>
      <c r="K1258" t="s">
        <v>54</v>
      </c>
      <c r="L1258" t="s">
        <v>55</v>
      </c>
      <c r="O1258" t="s">
        <v>82</v>
      </c>
      <c r="P1258" t="s">
        <v>83</v>
      </c>
      <c r="Q1258" s="6">
        <v>17907.5</v>
      </c>
    </row>
    <row r="1259" spans="1:17">
      <c r="A1259" t="s">
        <v>2661</v>
      </c>
      <c r="B1259" s="5">
        <v>46250</v>
      </c>
      <c r="C1259" t="s">
        <v>1596</v>
      </c>
      <c r="D1259" t="s">
        <v>17</v>
      </c>
      <c r="E1259" t="s">
        <v>2</v>
      </c>
      <c r="F1259" t="s">
        <v>50</v>
      </c>
      <c r="G1259" t="s">
        <v>51</v>
      </c>
      <c r="H1259" s="6">
        <v>12.04</v>
      </c>
      <c r="I1259" t="s">
        <v>52</v>
      </c>
      <c r="J1259" t="s">
        <v>53</v>
      </c>
      <c r="K1259" t="s">
        <v>54</v>
      </c>
      <c r="L1259" t="s">
        <v>55</v>
      </c>
      <c r="O1259" t="s">
        <v>56</v>
      </c>
      <c r="P1259" t="s">
        <v>57</v>
      </c>
      <c r="Q1259" s="6">
        <v>17943.61</v>
      </c>
    </row>
    <row r="1260" spans="1:17">
      <c r="A1260" t="s">
        <v>2662</v>
      </c>
      <c r="B1260" s="5">
        <v>46250</v>
      </c>
      <c r="C1260" t="s">
        <v>2663</v>
      </c>
      <c r="D1260" t="s">
        <v>17</v>
      </c>
      <c r="E1260" t="s">
        <v>2</v>
      </c>
      <c r="F1260" t="s">
        <v>50</v>
      </c>
      <c r="G1260" t="s">
        <v>51</v>
      </c>
      <c r="H1260" s="6">
        <v>108.57</v>
      </c>
      <c r="I1260" t="s">
        <v>52</v>
      </c>
      <c r="J1260" t="s">
        <v>196</v>
      </c>
      <c r="K1260" t="s">
        <v>54</v>
      </c>
      <c r="L1260" t="s">
        <v>55</v>
      </c>
      <c r="O1260" t="s">
        <v>197</v>
      </c>
      <c r="P1260" t="s">
        <v>198</v>
      </c>
      <c r="Q1260" s="6">
        <v>17955.650000000001</v>
      </c>
    </row>
    <row r="1261" spans="1:17">
      <c r="A1261" t="s">
        <v>2664</v>
      </c>
      <c r="B1261" s="5">
        <v>46250</v>
      </c>
      <c r="C1261" t="s">
        <v>2665</v>
      </c>
      <c r="D1261" t="s">
        <v>17</v>
      </c>
      <c r="E1261" t="s">
        <v>2</v>
      </c>
      <c r="F1261" t="s">
        <v>50</v>
      </c>
      <c r="G1261" t="s">
        <v>51</v>
      </c>
      <c r="H1261" s="6">
        <v>28.94</v>
      </c>
      <c r="I1261" t="s">
        <v>52</v>
      </c>
      <c r="J1261" t="s">
        <v>65</v>
      </c>
      <c r="K1261" t="s">
        <v>54</v>
      </c>
      <c r="L1261" t="s">
        <v>55</v>
      </c>
      <c r="O1261" t="s">
        <v>66</v>
      </c>
      <c r="P1261" t="s">
        <v>67</v>
      </c>
      <c r="Q1261" s="6">
        <v>17863.560000000001</v>
      </c>
    </row>
    <row r="1262" spans="1:17">
      <c r="A1262" t="s">
        <v>2666</v>
      </c>
      <c r="B1262" s="5">
        <v>46251</v>
      </c>
      <c r="C1262" t="s">
        <v>2667</v>
      </c>
      <c r="D1262" t="s">
        <v>17</v>
      </c>
      <c r="E1262" t="s">
        <v>2</v>
      </c>
      <c r="F1262" t="s">
        <v>50</v>
      </c>
      <c r="G1262" t="s">
        <v>51</v>
      </c>
      <c r="H1262" s="6">
        <v>31.57</v>
      </c>
      <c r="I1262" t="s">
        <v>52</v>
      </c>
      <c r="J1262" t="s">
        <v>81</v>
      </c>
      <c r="K1262" t="s">
        <v>54</v>
      </c>
      <c r="L1262" t="s">
        <v>55</v>
      </c>
      <c r="O1262" t="s">
        <v>82</v>
      </c>
      <c r="P1262" t="s">
        <v>83</v>
      </c>
      <c r="Q1262" s="6">
        <v>17676.28</v>
      </c>
    </row>
    <row r="1263" spans="1:17">
      <c r="A1263" t="s">
        <v>2668</v>
      </c>
      <c r="B1263" s="5">
        <v>46251</v>
      </c>
      <c r="C1263" t="s">
        <v>2669</v>
      </c>
      <c r="D1263" t="s">
        <v>17</v>
      </c>
      <c r="E1263" t="s">
        <v>2</v>
      </c>
      <c r="F1263" t="s">
        <v>149</v>
      </c>
      <c r="G1263" t="s">
        <v>72</v>
      </c>
      <c r="H1263" s="6">
        <v>40.380000000000003</v>
      </c>
      <c r="I1263" t="s">
        <v>52</v>
      </c>
      <c r="J1263" t="s">
        <v>233</v>
      </c>
      <c r="K1263" t="s">
        <v>54</v>
      </c>
      <c r="L1263" t="s">
        <v>74</v>
      </c>
      <c r="O1263" t="s">
        <v>75</v>
      </c>
      <c r="P1263" t="s">
        <v>76</v>
      </c>
      <c r="Q1263" s="6">
        <v>17677.09</v>
      </c>
    </row>
    <row r="1264" spans="1:17">
      <c r="A1264" t="s">
        <v>2670</v>
      </c>
      <c r="B1264" s="5">
        <v>46251</v>
      </c>
      <c r="C1264" t="s">
        <v>2671</v>
      </c>
      <c r="D1264" t="s">
        <v>17</v>
      </c>
      <c r="E1264" t="s">
        <v>2</v>
      </c>
      <c r="F1264" t="s">
        <v>50</v>
      </c>
      <c r="G1264" t="s">
        <v>51</v>
      </c>
      <c r="H1264" s="6">
        <v>24.25</v>
      </c>
      <c r="I1264" t="s">
        <v>52</v>
      </c>
      <c r="J1264" t="s">
        <v>81</v>
      </c>
      <c r="K1264" t="s">
        <v>54</v>
      </c>
      <c r="L1264" t="s">
        <v>55</v>
      </c>
      <c r="O1264" t="s">
        <v>82</v>
      </c>
      <c r="P1264" t="s">
        <v>83</v>
      </c>
      <c r="Q1264" s="6">
        <v>17839.310000000001</v>
      </c>
    </row>
    <row r="1265" spans="1:17">
      <c r="A1265" t="s">
        <v>2672</v>
      </c>
      <c r="B1265" s="5">
        <v>46251</v>
      </c>
      <c r="C1265" t="s">
        <v>2673</v>
      </c>
      <c r="D1265" t="s">
        <v>17</v>
      </c>
      <c r="E1265" t="s">
        <v>2</v>
      </c>
      <c r="F1265" t="s">
        <v>50</v>
      </c>
      <c r="G1265" t="s">
        <v>51</v>
      </c>
      <c r="H1265" s="6">
        <v>37.58</v>
      </c>
      <c r="I1265" t="s">
        <v>52</v>
      </c>
      <c r="J1265" t="s">
        <v>196</v>
      </c>
      <c r="K1265" t="s">
        <v>54</v>
      </c>
      <c r="L1265" t="s">
        <v>55</v>
      </c>
      <c r="O1265" t="s">
        <v>197</v>
      </c>
      <c r="P1265" t="s">
        <v>198</v>
      </c>
      <c r="Q1265" s="6">
        <v>17714.330000000002</v>
      </c>
    </row>
    <row r="1266" spans="1:17">
      <c r="A1266" t="s">
        <v>2674</v>
      </c>
      <c r="B1266" s="5">
        <v>46251</v>
      </c>
      <c r="C1266" t="s">
        <v>2675</v>
      </c>
      <c r="D1266" t="s">
        <v>17</v>
      </c>
      <c r="E1266" t="s">
        <v>2</v>
      </c>
      <c r="F1266" t="s">
        <v>50</v>
      </c>
      <c r="G1266" t="s">
        <v>51</v>
      </c>
      <c r="H1266" s="6">
        <v>6.48</v>
      </c>
      <c r="I1266" t="s">
        <v>52</v>
      </c>
      <c r="J1266" t="s">
        <v>121</v>
      </c>
      <c r="K1266" t="s">
        <v>54</v>
      </c>
      <c r="L1266" t="s">
        <v>55</v>
      </c>
      <c r="O1266" t="s">
        <v>122</v>
      </c>
      <c r="P1266" t="s">
        <v>123</v>
      </c>
      <c r="Q1266" s="6">
        <v>17707.849999999999</v>
      </c>
    </row>
    <row r="1267" spans="1:17">
      <c r="A1267" t="s">
        <v>2676</v>
      </c>
      <c r="B1267" s="5">
        <v>46251</v>
      </c>
      <c r="C1267" t="s">
        <v>2677</v>
      </c>
      <c r="D1267" t="s">
        <v>17</v>
      </c>
      <c r="E1267" t="s">
        <v>2</v>
      </c>
      <c r="F1267" t="s">
        <v>50</v>
      </c>
      <c r="G1267" t="s">
        <v>51</v>
      </c>
      <c r="H1267" s="6">
        <v>62.64</v>
      </c>
      <c r="I1267" t="s">
        <v>52</v>
      </c>
      <c r="J1267" t="s">
        <v>60</v>
      </c>
      <c r="K1267" t="s">
        <v>54</v>
      </c>
      <c r="L1267" t="s">
        <v>55</v>
      </c>
      <c r="O1267" t="s">
        <v>61</v>
      </c>
      <c r="P1267" t="s">
        <v>62</v>
      </c>
      <c r="Q1267" s="6">
        <v>17765.490000000002</v>
      </c>
    </row>
    <row r="1268" spans="1:17">
      <c r="A1268" t="s">
        <v>2678</v>
      </c>
      <c r="B1268" s="5">
        <v>46251</v>
      </c>
      <c r="C1268" t="s">
        <v>2679</v>
      </c>
      <c r="D1268" t="s">
        <v>17</v>
      </c>
      <c r="E1268" t="s">
        <v>2</v>
      </c>
      <c r="F1268" t="s">
        <v>50</v>
      </c>
      <c r="G1268" t="s">
        <v>51</v>
      </c>
      <c r="H1268" s="6">
        <v>13.58</v>
      </c>
      <c r="I1268" t="s">
        <v>52</v>
      </c>
      <c r="J1268" t="s">
        <v>53</v>
      </c>
      <c r="K1268" t="s">
        <v>54</v>
      </c>
      <c r="L1268" t="s">
        <v>55</v>
      </c>
      <c r="O1268" t="s">
        <v>56</v>
      </c>
      <c r="P1268" t="s">
        <v>57</v>
      </c>
      <c r="Q1268" s="6">
        <v>17751.91</v>
      </c>
    </row>
    <row r="1269" spans="1:17">
      <c r="A1269" t="s">
        <v>2680</v>
      </c>
      <c r="B1269" s="5">
        <v>46251</v>
      </c>
      <c r="C1269" t="s">
        <v>2681</v>
      </c>
      <c r="D1269" t="s">
        <v>17</v>
      </c>
      <c r="E1269" t="s">
        <v>2</v>
      </c>
      <c r="F1269" t="s">
        <v>50</v>
      </c>
      <c r="G1269" t="s">
        <v>100</v>
      </c>
      <c r="H1269" s="6">
        <v>11.18</v>
      </c>
      <c r="I1269" t="s">
        <v>52</v>
      </c>
      <c r="J1269" t="s">
        <v>114</v>
      </c>
      <c r="K1269" t="s">
        <v>54</v>
      </c>
      <c r="L1269" t="s">
        <v>102</v>
      </c>
      <c r="O1269" t="s">
        <v>103</v>
      </c>
      <c r="P1269" t="s">
        <v>104</v>
      </c>
      <c r="Q1269" s="6">
        <v>17828.13</v>
      </c>
    </row>
    <row r="1270" spans="1:17">
      <c r="A1270" t="s">
        <v>2682</v>
      </c>
      <c r="B1270" s="5">
        <v>46251</v>
      </c>
      <c r="C1270" t="s">
        <v>2683</v>
      </c>
      <c r="D1270" t="s">
        <v>17</v>
      </c>
      <c r="E1270" t="s">
        <v>2</v>
      </c>
      <c r="F1270" t="s">
        <v>50</v>
      </c>
      <c r="G1270" t="s">
        <v>51</v>
      </c>
      <c r="H1270" s="6">
        <v>39.57</v>
      </c>
      <c r="I1270" t="s">
        <v>52</v>
      </c>
      <c r="J1270" t="s">
        <v>60</v>
      </c>
      <c r="K1270" t="s">
        <v>54</v>
      </c>
      <c r="L1270" t="s">
        <v>55</v>
      </c>
      <c r="O1270" t="s">
        <v>61</v>
      </c>
      <c r="P1270" t="s">
        <v>62</v>
      </c>
      <c r="Q1270" s="6">
        <v>17636.71</v>
      </c>
    </row>
    <row r="1271" spans="1:17">
      <c r="A1271" t="s">
        <v>2684</v>
      </c>
      <c r="B1271" s="5">
        <v>46252</v>
      </c>
      <c r="C1271" t="s">
        <v>2685</v>
      </c>
      <c r="D1271" t="s">
        <v>17</v>
      </c>
      <c r="E1271" t="s">
        <v>2</v>
      </c>
      <c r="F1271" t="s">
        <v>50</v>
      </c>
      <c r="G1271" t="s">
        <v>51</v>
      </c>
      <c r="H1271" s="6">
        <v>36.92</v>
      </c>
      <c r="I1271" t="s">
        <v>52</v>
      </c>
      <c r="J1271" t="s">
        <v>81</v>
      </c>
      <c r="K1271" t="s">
        <v>54</v>
      </c>
      <c r="L1271" t="s">
        <v>55</v>
      </c>
      <c r="O1271" t="s">
        <v>82</v>
      </c>
      <c r="P1271" t="s">
        <v>83</v>
      </c>
      <c r="Q1271" s="6">
        <v>17640.169999999998</v>
      </c>
    </row>
    <row r="1272" spans="1:17">
      <c r="A1272" t="s">
        <v>2686</v>
      </c>
      <c r="B1272" s="5">
        <v>46252</v>
      </c>
      <c r="C1272" t="s">
        <v>2687</v>
      </c>
      <c r="D1272" t="s">
        <v>17</v>
      </c>
      <c r="E1272" t="s">
        <v>2</v>
      </c>
      <c r="F1272" t="s">
        <v>50</v>
      </c>
      <c r="G1272" t="s">
        <v>51</v>
      </c>
      <c r="H1272" s="6">
        <v>36.32</v>
      </c>
      <c r="I1272" t="s">
        <v>52</v>
      </c>
      <c r="J1272" t="s">
        <v>81</v>
      </c>
      <c r="K1272" t="s">
        <v>54</v>
      </c>
      <c r="L1272" t="s">
        <v>55</v>
      </c>
      <c r="O1272" t="s">
        <v>82</v>
      </c>
      <c r="P1272" t="s">
        <v>83</v>
      </c>
      <c r="Q1272" s="6">
        <v>17458.580000000002</v>
      </c>
    </row>
    <row r="1273" spans="1:17">
      <c r="A1273" t="s">
        <v>2688</v>
      </c>
      <c r="B1273" s="5">
        <v>46252</v>
      </c>
      <c r="C1273" t="s">
        <v>2689</v>
      </c>
      <c r="D1273" t="s">
        <v>17</v>
      </c>
      <c r="E1273" t="s">
        <v>2</v>
      </c>
      <c r="F1273" t="s">
        <v>50</v>
      </c>
      <c r="G1273" t="s">
        <v>100</v>
      </c>
      <c r="H1273" s="6">
        <v>16.91</v>
      </c>
      <c r="I1273" t="s">
        <v>52</v>
      </c>
      <c r="J1273" t="s">
        <v>114</v>
      </c>
      <c r="K1273" t="s">
        <v>54</v>
      </c>
      <c r="L1273" t="s">
        <v>102</v>
      </c>
      <c r="O1273" t="s">
        <v>103</v>
      </c>
      <c r="P1273" t="s">
        <v>104</v>
      </c>
      <c r="Q1273" s="6">
        <v>17623.259999999998</v>
      </c>
    </row>
    <row r="1274" spans="1:17">
      <c r="A1274" t="s">
        <v>2690</v>
      </c>
      <c r="B1274" s="5">
        <v>46252</v>
      </c>
      <c r="C1274" t="s">
        <v>2691</v>
      </c>
      <c r="D1274" t="s">
        <v>17</v>
      </c>
      <c r="E1274" t="s">
        <v>2</v>
      </c>
      <c r="F1274" t="s">
        <v>50</v>
      </c>
      <c r="G1274" t="s">
        <v>51</v>
      </c>
      <c r="H1274" s="6">
        <v>18.829999999999998</v>
      </c>
      <c r="I1274" t="s">
        <v>52</v>
      </c>
      <c r="J1274" t="s">
        <v>81</v>
      </c>
      <c r="K1274" t="s">
        <v>54</v>
      </c>
      <c r="L1274" t="s">
        <v>55</v>
      </c>
      <c r="O1274" t="s">
        <v>82</v>
      </c>
      <c r="P1274" t="s">
        <v>83</v>
      </c>
      <c r="Q1274" s="6">
        <v>17494.900000000001</v>
      </c>
    </row>
    <row r="1275" spans="1:17">
      <c r="A1275" t="s">
        <v>2692</v>
      </c>
      <c r="B1275" s="5">
        <v>46252</v>
      </c>
      <c r="C1275" t="s">
        <v>2693</v>
      </c>
      <c r="D1275" t="s">
        <v>17</v>
      </c>
      <c r="E1275" t="s">
        <v>2</v>
      </c>
      <c r="F1275" t="s">
        <v>50</v>
      </c>
      <c r="G1275" t="s">
        <v>51</v>
      </c>
      <c r="H1275" s="6">
        <v>109.53</v>
      </c>
      <c r="I1275" t="s">
        <v>52</v>
      </c>
      <c r="J1275" t="s">
        <v>196</v>
      </c>
      <c r="K1275" t="s">
        <v>54</v>
      </c>
      <c r="L1275" t="s">
        <v>55</v>
      </c>
      <c r="O1275" t="s">
        <v>197</v>
      </c>
      <c r="P1275" t="s">
        <v>198</v>
      </c>
      <c r="Q1275" s="6">
        <v>17513.73</v>
      </c>
    </row>
    <row r="1276" spans="1:17">
      <c r="A1276" t="s">
        <v>2694</v>
      </c>
      <c r="B1276" s="5">
        <v>46253</v>
      </c>
      <c r="C1276" t="s">
        <v>2695</v>
      </c>
      <c r="D1276" t="s">
        <v>17</v>
      </c>
      <c r="E1276" t="s">
        <v>2</v>
      </c>
      <c r="F1276" t="s">
        <v>50</v>
      </c>
      <c r="G1276" t="s">
        <v>51</v>
      </c>
      <c r="H1276" s="6">
        <v>114.15</v>
      </c>
      <c r="I1276" t="s">
        <v>52</v>
      </c>
      <c r="J1276" t="s">
        <v>65</v>
      </c>
      <c r="K1276" t="s">
        <v>54</v>
      </c>
      <c r="L1276" t="s">
        <v>55</v>
      </c>
      <c r="O1276" t="s">
        <v>66</v>
      </c>
      <c r="P1276" t="s">
        <v>67</v>
      </c>
      <c r="Q1276" s="6">
        <v>17148.310000000001</v>
      </c>
    </row>
    <row r="1277" spans="1:17">
      <c r="A1277" t="s">
        <v>2696</v>
      </c>
      <c r="B1277" s="5">
        <v>46253</v>
      </c>
      <c r="C1277" t="s">
        <v>2697</v>
      </c>
      <c r="D1277" t="s">
        <v>17</v>
      </c>
      <c r="E1277" t="s">
        <v>2</v>
      </c>
      <c r="F1277" t="s">
        <v>50</v>
      </c>
      <c r="G1277" t="s">
        <v>51</v>
      </c>
      <c r="H1277" s="6">
        <v>29.5</v>
      </c>
      <c r="I1277" t="s">
        <v>52</v>
      </c>
      <c r="J1277" t="s">
        <v>65</v>
      </c>
      <c r="K1277" t="s">
        <v>54</v>
      </c>
      <c r="L1277" t="s">
        <v>55</v>
      </c>
      <c r="O1277" t="s">
        <v>66</v>
      </c>
      <c r="P1277" t="s">
        <v>67</v>
      </c>
      <c r="Q1277" s="6">
        <v>17262.46</v>
      </c>
    </row>
    <row r="1278" spans="1:17">
      <c r="A1278" t="s">
        <v>2698</v>
      </c>
      <c r="B1278" s="5">
        <v>46253</v>
      </c>
      <c r="C1278" t="s">
        <v>2699</v>
      </c>
      <c r="D1278" t="s">
        <v>17</v>
      </c>
      <c r="E1278" t="s">
        <v>2</v>
      </c>
      <c r="F1278" t="s">
        <v>50</v>
      </c>
      <c r="G1278" t="s">
        <v>51</v>
      </c>
      <c r="H1278" s="6">
        <v>63.1</v>
      </c>
      <c r="I1278" t="s">
        <v>52</v>
      </c>
      <c r="J1278" t="s">
        <v>60</v>
      </c>
      <c r="K1278" t="s">
        <v>54</v>
      </c>
      <c r="L1278" t="s">
        <v>55</v>
      </c>
      <c r="O1278" t="s">
        <v>61</v>
      </c>
      <c r="P1278" t="s">
        <v>62</v>
      </c>
      <c r="Q1278" s="6">
        <v>17343.87</v>
      </c>
    </row>
    <row r="1279" spans="1:17">
      <c r="A1279" t="s">
        <v>2700</v>
      </c>
      <c r="B1279" s="5">
        <v>46253</v>
      </c>
      <c r="C1279" t="s">
        <v>2701</v>
      </c>
      <c r="D1279" t="s">
        <v>17</v>
      </c>
      <c r="E1279" t="s">
        <v>2</v>
      </c>
      <c r="F1279" t="s">
        <v>50</v>
      </c>
      <c r="G1279" t="s">
        <v>72</v>
      </c>
      <c r="H1279" s="6">
        <v>40.409999999999997</v>
      </c>
      <c r="I1279" t="s">
        <v>52</v>
      </c>
      <c r="J1279" t="s">
        <v>606</v>
      </c>
      <c r="K1279" t="s">
        <v>54</v>
      </c>
      <c r="L1279" t="s">
        <v>74</v>
      </c>
      <c r="O1279" t="s">
        <v>75</v>
      </c>
      <c r="P1279" t="s">
        <v>76</v>
      </c>
      <c r="Q1279" s="6">
        <v>17058.21</v>
      </c>
    </row>
    <row r="1280" spans="1:17">
      <c r="A1280" t="s">
        <v>2702</v>
      </c>
      <c r="B1280" s="5">
        <v>46253</v>
      </c>
      <c r="C1280" t="s">
        <v>2703</v>
      </c>
      <c r="D1280" t="s">
        <v>17</v>
      </c>
      <c r="E1280" t="s">
        <v>2</v>
      </c>
      <c r="F1280" t="s">
        <v>50</v>
      </c>
      <c r="G1280" t="s">
        <v>51</v>
      </c>
      <c r="H1280" s="6">
        <v>23.59</v>
      </c>
      <c r="I1280" t="s">
        <v>52</v>
      </c>
      <c r="J1280" t="s">
        <v>81</v>
      </c>
      <c r="K1280" t="s">
        <v>54</v>
      </c>
      <c r="L1280" t="s">
        <v>55</v>
      </c>
      <c r="O1280" t="s">
        <v>82</v>
      </c>
      <c r="P1280" t="s">
        <v>83</v>
      </c>
      <c r="Q1280" s="6">
        <v>17115.259999999998</v>
      </c>
    </row>
    <row r="1281" spans="1:17">
      <c r="A1281" t="s">
        <v>2704</v>
      </c>
      <c r="B1281" s="5">
        <v>46253</v>
      </c>
      <c r="C1281" t="s">
        <v>2705</v>
      </c>
      <c r="D1281" t="s">
        <v>17</v>
      </c>
      <c r="E1281" t="s">
        <v>2</v>
      </c>
      <c r="F1281" t="s">
        <v>50</v>
      </c>
      <c r="G1281" t="s">
        <v>51</v>
      </c>
      <c r="H1281" s="6">
        <v>16.64</v>
      </c>
      <c r="I1281" t="s">
        <v>52</v>
      </c>
      <c r="J1281" t="s">
        <v>121</v>
      </c>
      <c r="K1281" t="s">
        <v>54</v>
      </c>
      <c r="L1281" t="s">
        <v>55</v>
      </c>
      <c r="O1281" t="s">
        <v>122</v>
      </c>
      <c r="P1281" t="s">
        <v>123</v>
      </c>
      <c r="Q1281" s="6">
        <v>17098.62</v>
      </c>
    </row>
    <row r="1282" spans="1:17">
      <c r="A1282" t="s">
        <v>2706</v>
      </c>
      <c r="B1282" s="5">
        <v>46253</v>
      </c>
      <c r="C1282" t="s">
        <v>2707</v>
      </c>
      <c r="D1282" t="s">
        <v>17</v>
      </c>
      <c r="E1282" t="s">
        <v>2</v>
      </c>
      <c r="F1282" t="s">
        <v>50</v>
      </c>
      <c r="G1282" t="s">
        <v>51</v>
      </c>
      <c r="H1282" s="6">
        <v>51.91</v>
      </c>
      <c r="I1282" t="s">
        <v>52</v>
      </c>
      <c r="J1282" t="s">
        <v>60</v>
      </c>
      <c r="K1282" t="s">
        <v>54</v>
      </c>
      <c r="L1282" t="s">
        <v>55</v>
      </c>
      <c r="O1282" t="s">
        <v>61</v>
      </c>
      <c r="P1282" t="s">
        <v>62</v>
      </c>
      <c r="Q1282" s="6">
        <v>17291.96</v>
      </c>
    </row>
    <row r="1283" spans="1:17">
      <c r="A1283" t="s">
        <v>2708</v>
      </c>
      <c r="B1283" s="5">
        <v>46253</v>
      </c>
      <c r="C1283" t="s">
        <v>2709</v>
      </c>
      <c r="D1283" t="s">
        <v>17</v>
      </c>
      <c r="E1283" t="s">
        <v>2</v>
      </c>
      <c r="F1283" t="s">
        <v>50</v>
      </c>
      <c r="G1283" t="s">
        <v>51</v>
      </c>
      <c r="H1283" s="6">
        <v>9.4600000000000009</v>
      </c>
      <c r="I1283" t="s">
        <v>52</v>
      </c>
      <c r="J1283" t="s">
        <v>53</v>
      </c>
      <c r="K1283" t="s">
        <v>54</v>
      </c>
      <c r="L1283" t="s">
        <v>55</v>
      </c>
      <c r="O1283" t="s">
        <v>56</v>
      </c>
      <c r="P1283" t="s">
        <v>57</v>
      </c>
      <c r="Q1283" s="6">
        <v>17138.849999999999</v>
      </c>
    </row>
    <row r="1284" spans="1:17">
      <c r="A1284" t="s">
        <v>2710</v>
      </c>
      <c r="B1284" s="5">
        <v>46253</v>
      </c>
      <c r="C1284" t="s">
        <v>2711</v>
      </c>
      <c r="D1284" t="s">
        <v>17</v>
      </c>
      <c r="E1284" t="s">
        <v>2</v>
      </c>
      <c r="F1284" t="s">
        <v>50</v>
      </c>
      <c r="G1284" t="s">
        <v>51</v>
      </c>
      <c r="H1284" s="6">
        <v>51.61</v>
      </c>
      <c r="I1284" t="s">
        <v>52</v>
      </c>
      <c r="J1284" t="s">
        <v>60</v>
      </c>
      <c r="K1284" t="s">
        <v>54</v>
      </c>
      <c r="L1284" t="s">
        <v>55</v>
      </c>
      <c r="O1284" t="s">
        <v>61</v>
      </c>
      <c r="P1284" t="s">
        <v>62</v>
      </c>
      <c r="Q1284" s="6">
        <v>17406.97</v>
      </c>
    </row>
    <row r="1285" spans="1:17">
      <c r="A1285" t="s">
        <v>2712</v>
      </c>
      <c r="B1285" s="5">
        <v>46254</v>
      </c>
      <c r="C1285" t="s">
        <v>2713</v>
      </c>
      <c r="D1285" t="s">
        <v>17</v>
      </c>
      <c r="E1285" t="s">
        <v>2</v>
      </c>
      <c r="F1285" t="s">
        <v>149</v>
      </c>
      <c r="G1285" t="s">
        <v>72</v>
      </c>
      <c r="H1285" s="6">
        <v>41.48</v>
      </c>
      <c r="I1285" t="s">
        <v>52</v>
      </c>
      <c r="J1285" t="s">
        <v>316</v>
      </c>
      <c r="K1285" t="s">
        <v>54</v>
      </c>
      <c r="L1285" t="s">
        <v>74</v>
      </c>
      <c r="O1285" t="s">
        <v>75</v>
      </c>
      <c r="P1285" t="s">
        <v>76</v>
      </c>
      <c r="Q1285" s="6">
        <v>16837.13</v>
      </c>
    </row>
    <row r="1286" spans="1:17">
      <c r="A1286" t="s">
        <v>2714</v>
      </c>
      <c r="B1286" s="5">
        <v>46254</v>
      </c>
      <c r="C1286" t="s">
        <v>2715</v>
      </c>
      <c r="D1286" t="s">
        <v>17</v>
      </c>
      <c r="E1286" t="s">
        <v>2</v>
      </c>
      <c r="F1286" t="s">
        <v>50</v>
      </c>
      <c r="G1286" t="s">
        <v>51</v>
      </c>
      <c r="H1286" s="6">
        <v>13.36</v>
      </c>
      <c r="I1286" t="s">
        <v>52</v>
      </c>
      <c r="J1286" t="s">
        <v>121</v>
      </c>
      <c r="K1286" t="s">
        <v>54</v>
      </c>
      <c r="L1286" t="s">
        <v>55</v>
      </c>
      <c r="O1286" t="s">
        <v>122</v>
      </c>
      <c r="P1286" t="s">
        <v>123</v>
      </c>
      <c r="Q1286" s="6">
        <v>16906.52</v>
      </c>
    </row>
    <row r="1287" spans="1:17">
      <c r="A1287" t="s">
        <v>2716</v>
      </c>
      <c r="B1287" s="5">
        <v>46254</v>
      </c>
      <c r="C1287" t="s">
        <v>2717</v>
      </c>
      <c r="D1287" t="s">
        <v>17</v>
      </c>
      <c r="E1287" t="s">
        <v>2</v>
      </c>
      <c r="F1287" t="s">
        <v>50</v>
      </c>
      <c r="G1287" t="s">
        <v>100</v>
      </c>
      <c r="H1287" s="6">
        <v>89.99</v>
      </c>
      <c r="I1287" t="s">
        <v>52</v>
      </c>
      <c r="J1287" t="s">
        <v>384</v>
      </c>
      <c r="K1287" t="s">
        <v>54</v>
      </c>
      <c r="L1287" t="s">
        <v>102</v>
      </c>
      <c r="O1287" t="s">
        <v>178</v>
      </c>
      <c r="P1287" t="s">
        <v>385</v>
      </c>
      <c r="Q1287" s="6">
        <v>38083.61</v>
      </c>
    </row>
    <row r="1288" spans="1:17">
      <c r="A1288" t="s">
        <v>2718</v>
      </c>
      <c r="B1288" s="5">
        <v>46254</v>
      </c>
      <c r="C1288" t="s">
        <v>2719</v>
      </c>
      <c r="D1288" t="s">
        <v>17</v>
      </c>
      <c r="E1288" t="s">
        <v>2</v>
      </c>
      <c r="F1288" t="s">
        <v>50</v>
      </c>
      <c r="G1288" t="s">
        <v>51</v>
      </c>
      <c r="H1288" s="6">
        <v>16.12</v>
      </c>
      <c r="I1288" t="s">
        <v>52</v>
      </c>
      <c r="J1288" t="s">
        <v>53</v>
      </c>
      <c r="K1288" t="s">
        <v>54</v>
      </c>
      <c r="L1288" t="s">
        <v>55</v>
      </c>
      <c r="O1288" t="s">
        <v>56</v>
      </c>
      <c r="P1288" t="s">
        <v>57</v>
      </c>
      <c r="Q1288" s="6">
        <v>16934.759999999998</v>
      </c>
    </row>
    <row r="1289" spans="1:17">
      <c r="A1289" t="s">
        <v>2720</v>
      </c>
      <c r="B1289" s="5">
        <v>46254</v>
      </c>
      <c r="C1289" t="s">
        <v>2721</v>
      </c>
      <c r="D1289" t="s">
        <v>17</v>
      </c>
      <c r="E1289" t="s">
        <v>2</v>
      </c>
      <c r="F1289" t="s">
        <v>50</v>
      </c>
      <c r="G1289" t="s">
        <v>51</v>
      </c>
      <c r="H1289" s="6">
        <v>107.33</v>
      </c>
      <c r="I1289" t="s">
        <v>52</v>
      </c>
      <c r="J1289" t="s">
        <v>65</v>
      </c>
      <c r="K1289" t="s">
        <v>54</v>
      </c>
      <c r="L1289" t="s">
        <v>55</v>
      </c>
      <c r="O1289" t="s">
        <v>66</v>
      </c>
      <c r="P1289" t="s">
        <v>67</v>
      </c>
      <c r="Q1289" s="6">
        <v>16950.88</v>
      </c>
    </row>
    <row r="1290" spans="1:17">
      <c r="A1290" t="s">
        <v>2722</v>
      </c>
      <c r="B1290" s="5">
        <v>46254</v>
      </c>
      <c r="C1290" t="s">
        <v>2723</v>
      </c>
      <c r="D1290" t="s">
        <v>17</v>
      </c>
      <c r="E1290" t="s">
        <v>2</v>
      </c>
      <c r="F1290" t="s">
        <v>50</v>
      </c>
      <c r="G1290" t="s">
        <v>51</v>
      </c>
      <c r="H1290" s="6">
        <v>110.87</v>
      </c>
      <c r="I1290" t="s">
        <v>52</v>
      </c>
      <c r="J1290" t="s">
        <v>196</v>
      </c>
      <c r="K1290" t="s">
        <v>54</v>
      </c>
      <c r="L1290" t="s">
        <v>55</v>
      </c>
      <c r="O1290" t="s">
        <v>197</v>
      </c>
      <c r="P1290" t="s">
        <v>198</v>
      </c>
      <c r="Q1290" s="6">
        <v>16795.650000000001</v>
      </c>
    </row>
    <row r="1291" spans="1:17">
      <c r="A1291" t="s">
        <v>2724</v>
      </c>
      <c r="B1291" s="5">
        <v>46254</v>
      </c>
      <c r="C1291" t="s">
        <v>2725</v>
      </c>
      <c r="D1291" t="s">
        <v>17</v>
      </c>
      <c r="E1291" t="s">
        <v>2</v>
      </c>
      <c r="F1291" t="s">
        <v>50</v>
      </c>
      <c r="G1291" t="s">
        <v>51</v>
      </c>
      <c r="H1291" s="6">
        <v>14.88</v>
      </c>
      <c r="I1291" t="s">
        <v>52</v>
      </c>
      <c r="J1291" t="s">
        <v>121</v>
      </c>
      <c r="K1291" t="s">
        <v>54</v>
      </c>
      <c r="L1291" t="s">
        <v>55</v>
      </c>
      <c r="O1291" t="s">
        <v>122</v>
      </c>
      <c r="P1291" t="s">
        <v>123</v>
      </c>
      <c r="Q1291" s="6">
        <v>16919.88</v>
      </c>
    </row>
    <row r="1292" spans="1:17">
      <c r="A1292" t="s">
        <v>2726</v>
      </c>
      <c r="B1292" s="5">
        <v>46255</v>
      </c>
      <c r="C1292" t="s">
        <v>2727</v>
      </c>
      <c r="D1292" t="s">
        <v>17</v>
      </c>
      <c r="E1292" t="s">
        <v>2</v>
      </c>
      <c r="F1292" t="s">
        <v>50</v>
      </c>
      <c r="G1292" t="s">
        <v>51</v>
      </c>
      <c r="H1292" s="6">
        <v>45.07</v>
      </c>
      <c r="I1292" t="s">
        <v>52</v>
      </c>
      <c r="J1292" t="s">
        <v>196</v>
      </c>
      <c r="K1292" t="s">
        <v>54</v>
      </c>
      <c r="L1292" t="s">
        <v>55</v>
      </c>
      <c r="O1292" t="s">
        <v>197</v>
      </c>
      <c r="P1292" t="s">
        <v>198</v>
      </c>
      <c r="Q1292" s="6">
        <v>16736.2</v>
      </c>
    </row>
    <row r="1293" spans="1:17">
      <c r="A1293" t="s">
        <v>2728</v>
      </c>
      <c r="B1293" s="5">
        <v>46255</v>
      </c>
      <c r="C1293" t="s">
        <v>2729</v>
      </c>
      <c r="D1293" t="s">
        <v>17</v>
      </c>
      <c r="E1293" t="s">
        <v>2</v>
      </c>
      <c r="F1293" t="s">
        <v>50</v>
      </c>
      <c r="G1293" t="s">
        <v>100</v>
      </c>
      <c r="H1293" s="6">
        <v>18.649999999999999</v>
      </c>
      <c r="I1293" t="s">
        <v>52</v>
      </c>
      <c r="J1293" t="s">
        <v>114</v>
      </c>
      <c r="K1293" t="s">
        <v>54</v>
      </c>
      <c r="L1293" t="s">
        <v>102</v>
      </c>
      <c r="O1293" t="s">
        <v>103</v>
      </c>
      <c r="P1293" t="s">
        <v>104</v>
      </c>
      <c r="Q1293" s="6">
        <v>16578.79</v>
      </c>
    </row>
    <row r="1294" spans="1:17">
      <c r="A1294" t="s">
        <v>2730</v>
      </c>
      <c r="B1294" s="5">
        <v>46255</v>
      </c>
      <c r="C1294" t="s">
        <v>2731</v>
      </c>
      <c r="D1294" t="s">
        <v>17</v>
      </c>
      <c r="E1294" t="s">
        <v>2</v>
      </c>
      <c r="F1294" t="s">
        <v>50</v>
      </c>
      <c r="G1294" t="s">
        <v>100</v>
      </c>
      <c r="H1294" s="6">
        <v>15</v>
      </c>
      <c r="I1294" t="s">
        <v>52</v>
      </c>
      <c r="J1294" t="s">
        <v>101</v>
      </c>
      <c r="K1294" t="s">
        <v>54</v>
      </c>
      <c r="L1294" t="s">
        <v>102</v>
      </c>
      <c r="O1294" t="s">
        <v>103</v>
      </c>
      <c r="P1294" t="s">
        <v>104</v>
      </c>
      <c r="Q1294" s="6">
        <v>16563.79</v>
      </c>
    </row>
    <row r="1295" spans="1:17">
      <c r="A1295" t="s">
        <v>2732</v>
      </c>
      <c r="B1295" s="5">
        <v>46255</v>
      </c>
      <c r="C1295" t="s">
        <v>2733</v>
      </c>
      <c r="D1295" t="s">
        <v>17</v>
      </c>
      <c r="E1295" t="s">
        <v>2</v>
      </c>
      <c r="F1295" t="s">
        <v>50</v>
      </c>
      <c r="G1295" t="s">
        <v>51</v>
      </c>
      <c r="H1295" s="6">
        <v>21.52</v>
      </c>
      <c r="I1295" t="s">
        <v>52</v>
      </c>
      <c r="J1295" t="s">
        <v>121</v>
      </c>
      <c r="K1295" t="s">
        <v>54</v>
      </c>
      <c r="L1295" t="s">
        <v>55</v>
      </c>
      <c r="O1295" t="s">
        <v>122</v>
      </c>
      <c r="P1295" t="s">
        <v>123</v>
      </c>
      <c r="Q1295" s="6">
        <v>16815.61</v>
      </c>
    </row>
    <row r="1296" spans="1:17">
      <c r="A1296" t="s">
        <v>2734</v>
      </c>
      <c r="B1296" s="5">
        <v>46255</v>
      </c>
      <c r="C1296" t="s">
        <v>2735</v>
      </c>
      <c r="D1296" t="s">
        <v>17</v>
      </c>
      <c r="E1296" t="s">
        <v>2</v>
      </c>
      <c r="F1296" t="s">
        <v>50</v>
      </c>
      <c r="G1296" t="s">
        <v>51</v>
      </c>
      <c r="H1296" s="6">
        <v>138.76</v>
      </c>
      <c r="I1296" t="s">
        <v>52</v>
      </c>
      <c r="J1296" t="s">
        <v>196</v>
      </c>
      <c r="K1296" t="s">
        <v>54</v>
      </c>
      <c r="L1296" t="s">
        <v>55</v>
      </c>
      <c r="O1296" t="s">
        <v>197</v>
      </c>
      <c r="P1296" t="s">
        <v>198</v>
      </c>
      <c r="Q1296" s="6">
        <v>16597.439999999999</v>
      </c>
    </row>
    <row r="1297" spans="1:17">
      <c r="A1297" t="s">
        <v>2736</v>
      </c>
      <c r="B1297" s="5">
        <v>46255</v>
      </c>
      <c r="C1297" t="s">
        <v>2737</v>
      </c>
      <c r="D1297" t="s">
        <v>17</v>
      </c>
      <c r="E1297" t="s">
        <v>2</v>
      </c>
      <c r="F1297" t="s">
        <v>50</v>
      </c>
      <c r="G1297" t="s">
        <v>51</v>
      </c>
      <c r="H1297" s="6">
        <v>19.34</v>
      </c>
      <c r="I1297" t="s">
        <v>52</v>
      </c>
      <c r="J1297" t="s">
        <v>121</v>
      </c>
      <c r="K1297" t="s">
        <v>54</v>
      </c>
      <c r="L1297" t="s">
        <v>55</v>
      </c>
      <c r="O1297" t="s">
        <v>122</v>
      </c>
      <c r="P1297" t="s">
        <v>123</v>
      </c>
      <c r="Q1297" s="6">
        <v>16796.27</v>
      </c>
    </row>
    <row r="1298" spans="1:17">
      <c r="A1298" t="s">
        <v>2738</v>
      </c>
      <c r="B1298" s="5">
        <v>46255</v>
      </c>
      <c r="C1298" t="s">
        <v>2739</v>
      </c>
      <c r="D1298" t="s">
        <v>17</v>
      </c>
      <c r="E1298" t="s">
        <v>2</v>
      </c>
      <c r="F1298" t="s">
        <v>50</v>
      </c>
      <c r="G1298" t="s">
        <v>100</v>
      </c>
      <c r="H1298" s="6">
        <v>15</v>
      </c>
      <c r="I1298" t="s">
        <v>52</v>
      </c>
      <c r="J1298" t="s">
        <v>101</v>
      </c>
      <c r="K1298" t="s">
        <v>54</v>
      </c>
      <c r="L1298" t="s">
        <v>102</v>
      </c>
      <c r="O1298" t="s">
        <v>103</v>
      </c>
      <c r="P1298" t="s">
        <v>104</v>
      </c>
      <c r="Q1298" s="6">
        <v>16781.27</v>
      </c>
    </row>
    <row r="1299" spans="1:17">
      <c r="A1299" t="s">
        <v>2740</v>
      </c>
      <c r="B1299" s="5">
        <v>46255</v>
      </c>
      <c r="C1299" t="s">
        <v>2741</v>
      </c>
      <c r="D1299" t="s">
        <v>17</v>
      </c>
      <c r="E1299" t="s">
        <v>2</v>
      </c>
      <c r="F1299" t="s">
        <v>50</v>
      </c>
      <c r="G1299" t="s">
        <v>51</v>
      </c>
      <c r="H1299" s="6">
        <v>29.1</v>
      </c>
      <c r="I1299" t="s">
        <v>52</v>
      </c>
      <c r="J1299" t="s">
        <v>60</v>
      </c>
      <c r="K1299" t="s">
        <v>54</v>
      </c>
      <c r="L1299" t="s">
        <v>55</v>
      </c>
      <c r="O1299" t="s">
        <v>61</v>
      </c>
      <c r="P1299" t="s">
        <v>62</v>
      </c>
      <c r="Q1299" s="6">
        <v>16534.689999999999</v>
      </c>
    </row>
    <row r="1300" spans="1:17">
      <c r="A1300" t="s">
        <v>2742</v>
      </c>
      <c r="B1300" s="5">
        <v>46256</v>
      </c>
      <c r="C1300" t="s">
        <v>2743</v>
      </c>
      <c r="D1300" t="s">
        <v>17</v>
      </c>
      <c r="E1300" t="s">
        <v>2</v>
      </c>
      <c r="F1300" t="s">
        <v>50</v>
      </c>
      <c r="G1300" t="s">
        <v>51</v>
      </c>
      <c r="H1300" s="6">
        <v>35.82</v>
      </c>
      <c r="I1300" t="s">
        <v>52</v>
      </c>
      <c r="J1300" t="s">
        <v>81</v>
      </c>
      <c r="K1300" t="s">
        <v>54</v>
      </c>
      <c r="L1300" t="s">
        <v>55</v>
      </c>
      <c r="O1300" t="s">
        <v>82</v>
      </c>
      <c r="P1300" t="s">
        <v>83</v>
      </c>
      <c r="Q1300" s="6">
        <v>16419.32</v>
      </c>
    </row>
    <row r="1301" spans="1:17">
      <c r="A1301" t="s">
        <v>2744</v>
      </c>
      <c r="B1301" s="5">
        <v>46256</v>
      </c>
      <c r="C1301" t="s">
        <v>2745</v>
      </c>
      <c r="D1301" t="s">
        <v>17</v>
      </c>
      <c r="E1301" t="s">
        <v>2</v>
      </c>
      <c r="F1301" t="s">
        <v>50</v>
      </c>
      <c r="G1301" t="s">
        <v>51</v>
      </c>
      <c r="H1301" s="6">
        <v>8.0500000000000007</v>
      </c>
      <c r="I1301" t="s">
        <v>52</v>
      </c>
      <c r="J1301" t="s">
        <v>53</v>
      </c>
      <c r="K1301" t="s">
        <v>54</v>
      </c>
      <c r="L1301" t="s">
        <v>55</v>
      </c>
      <c r="O1301" t="s">
        <v>56</v>
      </c>
      <c r="P1301" t="s">
        <v>57</v>
      </c>
      <c r="Q1301" s="6">
        <v>16387.68</v>
      </c>
    </row>
    <row r="1302" spans="1:17">
      <c r="A1302" t="s">
        <v>2746</v>
      </c>
      <c r="B1302" s="5">
        <v>46256</v>
      </c>
      <c r="C1302" t="s">
        <v>2747</v>
      </c>
      <c r="D1302" t="s">
        <v>17</v>
      </c>
      <c r="E1302" t="s">
        <v>2</v>
      </c>
      <c r="F1302" t="s">
        <v>50</v>
      </c>
      <c r="G1302" t="s">
        <v>100</v>
      </c>
      <c r="H1302" s="6">
        <v>23.35</v>
      </c>
      <c r="I1302" t="s">
        <v>52</v>
      </c>
      <c r="J1302" t="s">
        <v>114</v>
      </c>
      <c r="K1302" t="s">
        <v>54</v>
      </c>
      <c r="L1302" t="s">
        <v>102</v>
      </c>
      <c r="O1302" t="s">
        <v>103</v>
      </c>
      <c r="P1302" t="s">
        <v>104</v>
      </c>
      <c r="Q1302" s="6">
        <v>16511.34</v>
      </c>
    </row>
    <row r="1303" spans="1:17">
      <c r="A1303" t="s">
        <v>2748</v>
      </c>
      <c r="B1303" s="5">
        <v>46256</v>
      </c>
      <c r="C1303" t="s">
        <v>2749</v>
      </c>
      <c r="D1303" t="s">
        <v>17</v>
      </c>
      <c r="E1303" t="s">
        <v>2</v>
      </c>
      <c r="F1303" t="s">
        <v>50</v>
      </c>
      <c r="G1303" t="s">
        <v>51</v>
      </c>
      <c r="H1303" s="6">
        <v>56.2</v>
      </c>
      <c r="I1303" t="s">
        <v>52</v>
      </c>
      <c r="J1303" t="s">
        <v>60</v>
      </c>
      <c r="K1303" t="s">
        <v>54</v>
      </c>
      <c r="L1303" t="s">
        <v>55</v>
      </c>
      <c r="O1303" t="s">
        <v>61</v>
      </c>
      <c r="P1303" t="s">
        <v>62</v>
      </c>
      <c r="Q1303" s="6">
        <v>16455.14</v>
      </c>
    </row>
    <row r="1304" spans="1:17">
      <c r="A1304" t="s">
        <v>2750</v>
      </c>
      <c r="B1304" s="5">
        <v>46256</v>
      </c>
      <c r="C1304" t="s">
        <v>2751</v>
      </c>
      <c r="D1304" t="s">
        <v>17</v>
      </c>
      <c r="E1304" t="s">
        <v>2</v>
      </c>
      <c r="F1304" t="s">
        <v>50</v>
      </c>
      <c r="G1304" t="s">
        <v>100</v>
      </c>
      <c r="H1304" s="6">
        <v>23.59</v>
      </c>
      <c r="I1304" t="s">
        <v>52</v>
      </c>
      <c r="J1304" t="s">
        <v>114</v>
      </c>
      <c r="K1304" t="s">
        <v>54</v>
      </c>
      <c r="L1304" t="s">
        <v>102</v>
      </c>
      <c r="O1304" t="s">
        <v>103</v>
      </c>
      <c r="P1304" t="s">
        <v>104</v>
      </c>
      <c r="Q1304" s="6">
        <v>16395.73</v>
      </c>
    </row>
    <row r="1305" spans="1:17">
      <c r="A1305" t="s">
        <v>2752</v>
      </c>
      <c r="B1305" s="5">
        <v>46257</v>
      </c>
      <c r="C1305" t="s">
        <v>2753</v>
      </c>
      <c r="D1305" t="s">
        <v>17</v>
      </c>
      <c r="E1305" t="s">
        <v>2</v>
      </c>
      <c r="F1305" t="s">
        <v>50</v>
      </c>
      <c r="G1305" t="s">
        <v>51</v>
      </c>
      <c r="H1305" s="6">
        <v>15.32</v>
      </c>
      <c r="I1305" t="s">
        <v>52</v>
      </c>
      <c r="J1305" t="s">
        <v>53</v>
      </c>
      <c r="K1305" t="s">
        <v>54</v>
      </c>
      <c r="L1305" t="s">
        <v>55</v>
      </c>
      <c r="O1305" t="s">
        <v>56</v>
      </c>
      <c r="P1305" t="s">
        <v>57</v>
      </c>
      <c r="Q1305" s="6">
        <v>16274.44</v>
      </c>
    </row>
    <row r="1306" spans="1:17">
      <c r="A1306" t="s">
        <v>2754</v>
      </c>
      <c r="B1306" s="5">
        <v>46257</v>
      </c>
      <c r="C1306" t="s">
        <v>2755</v>
      </c>
      <c r="D1306" t="s">
        <v>17</v>
      </c>
      <c r="E1306" t="s">
        <v>2</v>
      </c>
      <c r="F1306" t="s">
        <v>50</v>
      </c>
      <c r="G1306" t="s">
        <v>51</v>
      </c>
      <c r="H1306" s="6">
        <v>28.34</v>
      </c>
      <c r="I1306" t="s">
        <v>52</v>
      </c>
      <c r="J1306" t="s">
        <v>60</v>
      </c>
      <c r="K1306" t="s">
        <v>54</v>
      </c>
      <c r="L1306" t="s">
        <v>55</v>
      </c>
      <c r="O1306" t="s">
        <v>61</v>
      </c>
      <c r="P1306" t="s">
        <v>62</v>
      </c>
      <c r="Q1306" s="6">
        <v>16246.1</v>
      </c>
    </row>
    <row r="1307" spans="1:17">
      <c r="A1307" t="s">
        <v>2756</v>
      </c>
      <c r="B1307" s="5">
        <v>46257</v>
      </c>
      <c r="C1307" t="s">
        <v>2757</v>
      </c>
      <c r="D1307" t="s">
        <v>17</v>
      </c>
      <c r="E1307" t="s">
        <v>2</v>
      </c>
      <c r="F1307" t="s">
        <v>50</v>
      </c>
      <c r="G1307" t="s">
        <v>51</v>
      </c>
      <c r="H1307" s="6">
        <v>4.2</v>
      </c>
      <c r="I1307" t="s">
        <v>52</v>
      </c>
      <c r="J1307" t="s">
        <v>53</v>
      </c>
      <c r="K1307" t="s">
        <v>54</v>
      </c>
      <c r="L1307" t="s">
        <v>55</v>
      </c>
      <c r="O1307" t="s">
        <v>56</v>
      </c>
      <c r="P1307" t="s">
        <v>57</v>
      </c>
      <c r="Q1307" s="6">
        <v>16234.37</v>
      </c>
    </row>
    <row r="1308" spans="1:17">
      <c r="A1308" t="s">
        <v>2758</v>
      </c>
      <c r="B1308" s="5">
        <v>46257</v>
      </c>
      <c r="C1308" t="s">
        <v>2759</v>
      </c>
      <c r="D1308" t="s">
        <v>17</v>
      </c>
      <c r="E1308" t="s">
        <v>2</v>
      </c>
      <c r="F1308" t="s">
        <v>50</v>
      </c>
      <c r="G1308" t="s">
        <v>51</v>
      </c>
      <c r="H1308" s="6">
        <v>97.92</v>
      </c>
      <c r="I1308" t="s">
        <v>52</v>
      </c>
      <c r="J1308" t="s">
        <v>65</v>
      </c>
      <c r="K1308" t="s">
        <v>54</v>
      </c>
      <c r="L1308" t="s">
        <v>55</v>
      </c>
      <c r="O1308" t="s">
        <v>66</v>
      </c>
      <c r="P1308" t="s">
        <v>67</v>
      </c>
      <c r="Q1308" s="6">
        <v>16289.76</v>
      </c>
    </row>
    <row r="1309" spans="1:17">
      <c r="A1309" t="s">
        <v>2760</v>
      </c>
      <c r="B1309" s="5">
        <v>46257</v>
      </c>
      <c r="C1309" t="s">
        <v>2761</v>
      </c>
      <c r="D1309" t="s">
        <v>17</v>
      </c>
      <c r="E1309" t="s">
        <v>2</v>
      </c>
      <c r="F1309" t="s">
        <v>50</v>
      </c>
      <c r="G1309" t="s">
        <v>51</v>
      </c>
      <c r="H1309" s="6">
        <v>14.96</v>
      </c>
      <c r="I1309" t="s">
        <v>52</v>
      </c>
      <c r="J1309" t="s">
        <v>53</v>
      </c>
      <c r="K1309" t="s">
        <v>54</v>
      </c>
      <c r="L1309" t="s">
        <v>55</v>
      </c>
      <c r="O1309" t="s">
        <v>56</v>
      </c>
      <c r="P1309" t="s">
        <v>57</v>
      </c>
      <c r="Q1309" s="6">
        <v>16185.04</v>
      </c>
    </row>
    <row r="1310" spans="1:17">
      <c r="A1310" t="s">
        <v>2762</v>
      </c>
      <c r="B1310" s="5">
        <v>46257</v>
      </c>
      <c r="C1310" t="s">
        <v>2763</v>
      </c>
      <c r="D1310" t="s">
        <v>17</v>
      </c>
      <c r="E1310" t="s">
        <v>2</v>
      </c>
      <c r="F1310" t="s">
        <v>50</v>
      </c>
      <c r="G1310" t="s">
        <v>51</v>
      </c>
      <c r="H1310" s="6">
        <v>7.53</v>
      </c>
      <c r="I1310" t="s">
        <v>52</v>
      </c>
      <c r="J1310" t="s">
        <v>53</v>
      </c>
      <c r="K1310" t="s">
        <v>54</v>
      </c>
      <c r="L1310" t="s">
        <v>55</v>
      </c>
      <c r="O1310" t="s">
        <v>56</v>
      </c>
      <c r="P1310" t="s">
        <v>57</v>
      </c>
      <c r="Q1310" s="6">
        <v>16238.57</v>
      </c>
    </row>
    <row r="1311" spans="1:17">
      <c r="A1311" t="s">
        <v>2764</v>
      </c>
      <c r="B1311" s="5">
        <v>46257</v>
      </c>
      <c r="C1311" t="s">
        <v>2765</v>
      </c>
      <c r="D1311" t="s">
        <v>17</v>
      </c>
      <c r="E1311" t="s">
        <v>2</v>
      </c>
      <c r="F1311" t="s">
        <v>50</v>
      </c>
      <c r="G1311" t="s">
        <v>51</v>
      </c>
      <c r="H1311" s="6">
        <v>34.369999999999997</v>
      </c>
      <c r="I1311" t="s">
        <v>52</v>
      </c>
      <c r="J1311" t="s">
        <v>126</v>
      </c>
      <c r="K1311" t="s">
        <v>54</v>
      </c>
      <c r="L1311" t="s">
        <v>55</v>
      </c>
      <c r="O1311" t="s">
        <v>56</v>
      </c>
      <c r="P1311" t="s">
        <v>57</v>
      </c>
      <c r="Q1311" s="6">
        <v>16200</v>
      </c>
    </row>
    <row r="1312" spans="1:17">
      <c r="A1312" t="s">
        <v>2766</v>
      </c>
      <c r="B1312" s="5">
        <v>46258</v>
      </c>
      <c r="C1312" t="s">
        <v>2767</v>
      </c>
      <c r="D1312" t="s">
        <v>17</v>
      </c>
      <c r="E1312" t="s">
        <v>2</v>
      </c>
      <c r="F1312" t="s">
        <v>50</v>
      </c>
      <c r="G1312" t="s">
        <v>51</v>
      </c>
      <c r="H1312" s="6">
        <v>14.58</v>
      </c>
      <c r="I1312" t="s">
        <v>52</v>
      </c>
      <c r="J1312" t="s">
        <v>53</v>
      </c>
      <c r="K1312" t="s">
        <v>54</v>
      </c>
      <c r="L1312" t="s">
        <v>55</v>
      </c>
      <c r="O1312" t="s">
        <v>56</v>
      </c>
      <c r="P1312" t="s">
        <v>57</v>
      </c>
      <c r="Q1312" s="6">
        <v>16066.02</v>
      </c>
    </row>
    <row r="1313" spans="1:17">
      <c r="A1313" t="s">
        <v>2768</v>
      </c>
      <c r="B1313" s="5">
        <v>46258</v>
      </c>
      <c r="C1313" t="s">
        <v>2769</v>
      </c>
      <c r="D1313" t="s">
        <v>17</v>
      </c>
      <c r="E1313" t="s">
        <v>2</v>
      </c>
      <c r="F1313" t="s">
        <v>50</v>
      </c>
      <c r="G1313" t="s">
        <v>51</v>
      </c>
      <c r="H1313" s="6">
        <v>70.37</v>
      </c>
      <c r="I1313" t="s">
        <v>52</v>
      </c>
      <c r="J1313" t="s">
        <v>60</v>
      </c>
      <c r="K1313" t="s">
        <v>54</v>
      </c>
      <c r="L1313" t="s">
        <v>55</v>
      </c>
      <c r="O1313" t="s">
        <v>61</v>
      </c>
      <c r="P1313" t="s">
        <v>62</v>
      </c>
      <c r="Q1313" s="6">
        <v>16114.67</v>
      </c>
    </row>
    <row r="1314" spans="1:17">
      <c r="A1314" t="s">
        <v>2770</v>
      </c>
      <c r="B1314" s="5">
        <v>46258</v>
      </c>
      <c r="C1314" t="s">
        <v>2771</v>
      </c>
      <c r="D1314" t="s">
        <v>17</v>
      </c>
      <c r="E1314" t="s">
        <v>2</v>
      </c>
      <c r="F1314" t="s">
        <v>50</v>
      </c>
      <c r="G1314" t="s">
        <v>51</v>
      </c>
      <c r="H1314" s="6">
        <v>17.64</v>
      </c>
      <c r="I1314" t="s">
        <v>52</v>
      </c>
      <c r="J1314" t="s">
        <v>121</v>
      </c>
      <c r="K1314" t="s">
        <v>54</v>
      </c>
      <c r="L1314" t="s">
        <v>55</v>
      </c>
      <c r="O1314" t="s">
        <v>122</v>
      </c>
      <c r="P1314" t="s">
        <v>123</v>
      </c>
      <c r="Q1314" s="6">
        <v>16097.03</v>
      </c>
    </row>
    <row r="1315" spans="1:17">
      <c r="A1315" t="s">
        <v>2772</v>
      </c>
      <c r="B1315" s="5">
        <v>46258</v>
      </c>
      <c r="C1315" t="s">
        <v>2773</v>
      </c>
      <c r="D1315" t="s">
        <v>17</v>
      </c>
      <c r="E1315" t="s">
        <v>2</v>
      </c>
      <c r="F1315" t="s">
        <v>50</v>
      </c>
      <c r="G1315" t="s">
        <v>100</v>
      </c>
      <c r="H1315" s="6">
        <v>15</v>
      </c>
      <c r="I1315" t="s">
        <v>52</v>
      </c>
      <c r="J1315" t="s">
        <v>101</v>
      </c>
      <c r="K1315" t="s">
        <v>54</v>
      </c>
      <c r="L1315" t="s">
        <v>102</v>
      </c>
      <c r="O1315" t="s">
        <v>103</v>
      </c>
      <c r="P1315" t="s">
        <v>104</v>
      </c>
      <c r="Q1315" s="6">
        <v>16051.02</v>
      </c>
    </row>
    <row r="1316" spans="1:17">
      <c r="A1316" t="s">
        <v>2774</v>
      </c>
      <c r="B1316" s="5">
        <v>46258</v>
      </c>
      <c r="C1316" t="s">
        <v>2775</v>
      </c>
      <c r="D1316" t="s">
        <v>17</v>
      </c>
      <c r="E1316" t="s">
        <v>2</v>
      </c>
      <c r="F1316" t="s">
        <v>50</v>
      </c>
      <c r="G1316" t="s">
        <v>51</v>
      </c>
      <c r="H1316" s="6">
        <v>16.43</v>
      </c>
      <c r="I1316" t="s">
        <v>52</v>
      </c>
      <c r="J1316" t="s">
        <v>126</v>
      </c>
      <c r="K1316" t="s">
        <v>54</v>
      </c>
      <c r="L1316" t="s">
        <v>55</v>
      </c>
      <c r="O1316" t="s">
        <v>56</v>
      </c>
      <c r="P1316" t="s">
        <v>57</v>
      </c>
      <c r="Q1316" s="6">
        <v>16080.6</v>
      </c>
    </row>
    <row r="1317" spans="1:17">
      <c r="A1317" t="s">
        <v>2776</v>
      </c>
      <c r="B1317" s="5">
        <v>46258</v>
      </c>
      <c r="C1317" t="s">
        <v>2777</v>
      </c>
      <c r="D1317" t="s">
        <v>17</v>
      </c>
      <c r="E1317" t="s">
        <v>2</v>
      </c>
      <c r="F1317" t="s">
        <v>50</v>
      </c>
      <c r="G1317" t="s">
        <v>100</v>
      </c>
      <c r="H1317" s="6">
        <v>13.5</v>
      </c>
      <c r="I1317" t="s">
        <v>52</v>
      </c>
      <c r="J1317" t="s">
        <v>114</v>
      </c>
      <c r="K1317" t="s">
        <v>54</v>
      </c>
      <c r="L1317" t="s">
        <v>102</v>
      </c>
      <c r="O1317" t="s">
        <v>103</v>
      </c>
      <c r="P1317" t="s">
        <v>104</v>
      </c>
      <c r="Q1317" s="6">
        <v>16037.52</v>
      </c>
    </row>
    <row r="1318" spans="1:17">
      <c r="A1318" t="s">
        <v>2778</v>
      </c>
      <c r="B1318" s="5">
        <v>46258</v>
      </c>
      <c r="C1318" t="s">
        <v>2779</v>
      </c>
      <c r="D1318" t="s">
        <v>17</v>
      </c>
      <c r="E1318" t="s">
        <v>2</v>
      </c>
      <c r="F1318" t="s">
        <v>50</v>
      </c>
      <c r="G1318" t="s">
        <v>51</v>
      </c>
      <c r="H1318" s="6">
        <v>29.22</v>
      </c>
      <c r="I1318" t="s">
        <v>52</v>
      </c>
      <c r="J1318" t="s">
        <v>126</v>
      </c>
      <c r="K1318" t="s">
        <v>54</v>
      </c>
      <c r="L1318" t="s">
        <v>55</v>
      </c>
      <c r="O1318" t="s">
        <v>56</v>
      </c>
      <c r="P1318" t="s">
        <v>57</v>
      </c>
      <c r="Q1318" s="6">
        <v>16008.3</v>
      </c>
    </row>
    <row r="1319" spans="1:17">
      <c r="A1319" t="s">
        <v>2780</v>
      </c>
      <c r="B1319" s="5">
        <v>46259</v>
      </c>
      <c r="C1319" t="s">
        <v>2781</v>
      </c>
      <c r="D1319" t="s">
        <v>17</v>
      </c>
      <c r="E1319" t="s">
        <v>2</v>
      </c>
      <c r="F1319" t="s">
        <v>50</v>
      </c>
      <c r="G1319" t="s">
        <v>51</v>
      </c>
      <c r="H1319" s="6">
        <v>20.53</v>
      </c>
      <c r="I1319" t="s">
        <v>52</v>
      </c>
      <c r="J1319" t="s">
        <v>126</v>
      </c>
      <c r="K1319" t="s">
        <v>54</v>
      </c>
      <c r="L1319" t="s">
        <v>55</v>
      </c>
      <c r="O1319" t="s">
        <v>56</v>
      </c>
      <c r="P1319" t="s">
        <v>57</v>
      </c>
      <c r="Q1319" s="6">
        <v>15783.41</v>
      </c>
    </row>
    <row r="1320" spans="1:17">
      <c r="A1320" t="s">
        <v>2782</v>
      </c>
      <c r="B1320" s="5">
        <v>46259</v>
      </c>
      <c r="C1320" t="s">
        <v>2783</v>
      </c>
      <c r="D1320" t="s">
        <v>17</v>
      </c>
      <c r="E1320" t="s">
        <v>2</v>
      </c>
      <c r="F1320" t="s">
        <v>50</v>
      </c>
      <c r="G1320" t="s">
        <v>100</v>
      </c>
      <c r="H1320" s="6">
        <v>20.239999999999998</v>
      </c>
      <c r="I1320" t="s">
        <v>52</v>
      </c>
      <c r="J1320" t="s">
        <v>114</v>
      </c>
      <c r="K1320" t="s">
        <v>54</v>
      </c>
      <c r="L1320" t="s">
        <v>102</v>
      </c>
      <c r="O1320" t="s">
        <v>103</v>
      </c>
      <c r="P1320" t="s">
        <v>104</v>
      </c>
      <c r="Q1320" s="6">
        <v>15988.06</v>
      </c>
    </row>
    <row r="1321" spans="1:17">
      <c r="A1321" t="s">
        <v>2784</v>
      </c>
      <c r="B1321" s="5">
        <v>46259</v>
      </c>
      <c r="C1321" t="s">
        <v>2785</v>
      </c>
      <c r="D1321" t="s">
        <v>17</v>
      </c>
      <c r="E1321" t="s">
        <v>2</v>
      </c>
      <c r="F1321" t="s">
        <v>50</v>
      </c>
      <c r="G1321" t="s">
        <v>51</v>
      </c>
      <c r="H1321" s="6">
        <v>22.6</v>
      </c>
      <c r="I1321" t="s">
        <v>52</v>
      </c>
      <c r="J1321" t="s">
        <v>60</v>
      </c>
      <c r="K1321" t="s">
        <v>54</v>
      </c>
      <c r="L1321" t="s">
        <v>55</v>
      </c>
      <c r="O1321" t="s">
        <v>61</v>
      </c>
      <c r="P1321" t="s">
        <v>62</v>
      </c>
      <c r="Q1321" s="6">
        <v>15760.81</v>
      </c>
    </row>
    <row r="1322" spans="1:17">
      <c r="A1322" t="s">
        <v>2786</v>
      </c>
      <c r="B1322" s="5">
        <v>46259</v>
      </c>
      <c r="C1322" t="s">
        <v>2787</v>
      </c>
      <c r="D1322" t="s">
        <v>17</v>
      </c>
      <c r="E1322" t="s">
        <v>2</v>
      </c>
      <c r="F1322" t="s">
        <v>50</v>
      </c>
      <c r="G1322" t="s">
        <v>51</v>
      </c>
      <c r="H1322" s="6">
        <v>142.71</v>
      </c>
      <c r="I1322" t="s">
        <v>52</v>
      </c>
      <c r="J1322" t="s">
        <v>196</v>
      </c>
      <c r="K1322" t="s">
        <v>54</v>
      </c>
      <c r="L1322" t="s">
        <v>55</v>
      </c>
      <c r="O1322" t="s">
        <v>197</v>
      </c>
      <c r="P1322" t="s">
        <v>198</v>
      </c>
      <c r="Q1322" s="6">
        <v>15803.94</v>
      </c>
    </row>
    <row r="1323" spans="1:17">
      <c r="A1323" t="s">
        <v>2788</v>
      </c>
      <c r="B1323" s="5">
        <v>46259</v>
      </c>
      <c r="C1323" t="s">
        <v>2789</v>
      </c>
      <c r="D1323" t="s">
        <v>17</v>
      </c>
      <c r="E1323" t="s">
        <v>2</v>
      </c>
      <c r="F1323" t="s">
        <v>50</v>
      </c>
      <c r="G1323" t="s">
        <v>51</v>
      </c>
      <c r="H1323" s="6">
        <v>8.69</v>
      </c>
      <c r="I1323" t="s">
        <v>52</v>
      </c>
      <c r="J1323" t="s">
        <v>53</v>
      </c>
      <c r="K1323" t="s">
        <v>54</v>
      </c>
      <c r="L1323" t="s">
        <v>55</v>
      </c>
      <c r="O1323" t="s">
        <v>56</v>
      </c>
      <c r="P1323" t="s">
        <v>57</v>
      </c>
      <c r="Q1323" s="6">
        <v>15959.81</v>
      </c>
    </row>
    <row r="1324" spans="1:17">
      <c r="A1324" t="s">
        <v>2790</v>
      </c>
      <c r="B1324" s="5">
        <v>46259</v>
      </c>
      <c r="C1324" t="s">
        <v>2791</v>
      </c>
      <c r="D1324" t="s">
        <v>17</v>
      </c>
      <c r="E1324" t="s">
        <v>2</v>
      </c>
      <c r="F1324" t="s">
        <v>50</v>
      </c>
      <c r="G1324" t="s">
        <v>51</v>
      </c>
      <c r="H1324" s="6">
        <v>13.16</v>
      </c>
      <c r="I1324" t="s">
        <v>52</v>
      </c>
      <c r="J1324" t="s">
        <v>53</v>
      </c>
      <c r="K1324" t="s">
        <v>54</v>
      </c>
      <c r="L1324" t="s">
        <v>55</v>
      </c>
      <c r="O1324" t="s">
        <v>56</v>
      </c>
      <c r="P1324" t="s">
        <v>57</v>
      </c>
      <c r="Q1324" s="6">
        <v>15946.65</v>
      </c>
    </row>
    <row r="1325" spans="1:17">
      <c r="A1325" t="s">
        <v>2792</v>
      </c>
      <c r="B1325" s="5">
        <v>46259</v>
      </c>
      <c r="C1325" t="s">
        <v>2793</v>
      </c>
      <c r="D1325" t="s">
        <v>17</v>
      </c>
      <c r="E1325" t="s">
        <v>2</v>
      </c>
      <c r="F1325" t="s">
        <v>50</v>
      </c>
      <c r="G1325" t="s">
        <v>100</v>
      </c>
      <c r="H1325" s="6">
        <v>19.559999999999999</v>
      </c>
      <c r="I1325" t="s">
        <v>52</v>
      </c>
      <c r="J1325" t="s">
        <v>114</v>
      </c>
      <c r="K1325" t="s">
        <v>54</v>
      </c>
      <c r="L1325" t="s">
        <v>102</v>
      </c>
      <c r="O1325" t="s">
        <v>103</v>
      </c>
      <c r="P1325" t="s">
        <v>104</v>
      </c>
      <c r="Q1325" s="6">
        <v>15968.5</v>
      </c>
    </row>
    <row r="1326" spans="1:17">
      <c r="A1326" t="s">
        <v>2794</v>
      </c>
      <c r="B1326" s="5">
        <v>46260</v>
      </c>
      <c r="C1326" t="s">
        <v>2795</v>
      </c>
      <c r="D1326" t="s">
        <v>17</v>
      </c>
      <c r="E1326" t="s">
        <v>2</v>
      </c>
      <c r="F1326" t="s">
        <v>50</v>
      </c>
      <c r="G1326" t="s">
        <v>51</v>
      </c>
      <c r="H1326" s="6">
        <v>6.7</v>
      </c>
      <c r="I1326" t="s">
        <v>52</v>
      </c>
      <c r="J1326" t="s">
        <v>53</v>
      </c>
      <c r="K1326" t="s">
        <v>54</v>
      </c>
      <c r="L1326" t="s">
        <v>55</v>
      </c>
      <c r="O1326" t="s">
        <v>56</v>
      </c>
      <c r="P1326" t="s">
        <v>57</v>
      </c>
      <c r="Q1326" s="6">
        <v>15754.11</v>
      </c>
    </row>
    <row r="1327" spans="1:17">
      <c r="A1327" t="s">
        <v>2796</v>
      </c>
      <c r="B1327" s="5">
        <v>46260</v>
      </c>
      <c r="C1327" t="s">
        <v>2067</v>
      </c>
      <c r="D1327" t="s">
        <v>17</v>
      </c>
      <c r="E1327" t="s">
        <v>2</v>
      </c>
      <c r="F1327" t="s">
        <v>50</v>
      </c>
      <c r="G1327" t="s">
        <v>51</v>
      </c>
      <c r="H1327" s="6">
        <v>21.38</v>
      </c>
      <c r="I1327" t="s">
        <v>52</v>
      </c>
      <c r="J1327" t="s">
        <v>81</v>
      </c>
      <c r="K1327" t="s">
        <v>54</v>
      </c>
      <c r="L1327" t="s">
        <v>55</v>
      </c>
      <c r="O1327" t="s">
        <v>82</v>
      </c>
      <c r="P1327" t="s">
        <v>83</v>
      </c>
      <c r="Q1327" s="6">
        <v>15443.03</v>
      </c>
    </row>
    <row r="1328" spans="1:17">
      <c r="A1328" t="s">
        <v>2797</v>
      </c>
      <c r="B1328" s="5">
        <v>46260</v>
      </c>
      <c r="C1328" t="s">
        <v>2798</v>
      </c>
      <c r="D1328" t="s">
        <v>17</v>
      </c>
      <c r="E1328" t="s">
        <v>2</v>
      </c>
      <c r="F1328" t="s">
        <v>50</v>
      </c>
      <c r="G1328" t="s">
        <v>51</v>
      </c>
      <c r="H1328" s="6">
        <v>57.4</v>
      </c>
      <c r="I1328" t="s">
        <v>52</v>
      </c>
      <c r="J1328" t="s">
        <v>60</v>
      </c>
      <c r="K1328" t="s">
        <v>54</v>
      </c>
      <c r="L1328" t="s">
        <v>55</v>
      </c>
      <c r="O1328" t="s">
        <v>61</v>
      </c>
      <c r="P1328" t="s">
        <v>62</v>
      </c>
      <c r="Q1328" s="6">
        <v>15559.52</v>
      </c>
    </row>
    <row r="1329" spans="1:17">
      <c r="A1329" t="s">
        <v>2799</v>
      </c>
      <c r="B1329" s="5">
        <v>46260</v>
      </c>
      <c r="C1329" t="s">
        <v>2800</v>
      </c>
      <c r="D1329" t="s">
        <v>17</v>
      </c>
      <c r="E1329" t="s">
        <v>2</v>
      </c>
      <c r="F1329" t="s">
        <v>50</v>
      </c>
      <c r="G1329" t="s">
        <v>51</v>
      </c>
      <c r="H1329" s="6">
        <v>23.04</v>
      </c>
      <c r="I1329" t="s">
        <v>52</v>
      </c>
      <c r="J1329" t="s">
        <v>126</v>
      </c>
      <c r="K1329" t="s">
        <v>54</v>
      </c>
      <c r="L1329" t="s">
        <v>55</v>
      </c>
      <c r="O1329" t="s">
        <v>56</v>
      </c>
      <c r="P1329" t="s">
        <v>57</v>
      </c>
      <c r="Q1329" s="6">
        <v>15536.48</v>
      </c>
    </row>
    <row r="1330" spans="1:17">
      <c r="A1330" t="s">
        <v>2801</v>
      </c>
      <c r="B1330" s="5">
        <v>46260</v>
      </c>
      <c r="C1330" t="s">
        <v>2802</v>
      </c>
      <c r="D1330" t="s">
        <v>17</v>
      </c>
      <c r="E1330" t="s">
        <v>2</v>
      </c>
      <c r="F1330" t="s">
        <v>50</v>
      </c>
      <c r="G1330" t="s">
        <v>51</v>
      </c>
      <c r="H1330" s="6">
        <v>137.19</v>
      </c>
      <c r="I1330" t="s">
        <v>52</v>
      </c>
      <c r="J1330" t="s">
        <v>65</v>
      </c>
      <c r="K1330" t="s">
        <v>54</v>
      </c>
      <c r="L1330" t="s">
        <v>55</v>
      </c>
      <c r="O1330" t="s">
        <v>66</v>
      </c>
      <c r="P1330" t="s">
        <v>67</v>
      </c>
      <c r="Q1330" s="6">
        <v>15616.92</v>
      </c>
    </row>
    <row r="1331" spans="1:17">
      <c r="A1331" t="s">
        <v>2803</v>
      </c>
      <c r="B1331" s="5">
        <v>46260</v>
      </c>
      <c r="C1331" t="s">
        <v>2804</v>
      </c>
      <c r="D1331" t="s">
        <v>17</v>
      </c>
      <c r="E1331" t="s">
        <v>2</v>
      </c>
      <c r="F1331" t="s">
        <v>50</v>
      </c>
      <c r="G1331" t="s">
        <v>72</v>
      </c>
      <c r="H1331" s="6">
        <v>29.61</v>
      </c>
      <c r="I1331" t="s">
        <v>52</v>
      </c>
      <c r="J1331" t="s">
        <v>73</v>
      </c>
      <c r="K1331" t="s">
        <v>54</v>
      </c>
      <c r="L1331" t="s">
        <v>74</v>
      </c>
      <c r="O1331" t="s">
        <v>75</v>
      </c>
      <c r="P1331" t="s">
        <v>76</v>
      </c>
      <c r="Q1331" s="6">
        <v>15413.42</v>
      </c>
    </row>
    <row r="1332" spans="1:17">
      <c r="A1332" t="s">
        <v>2805</v>
      </c>
      <c r="B1332" s="5">
        <v>46260</v>
      </c>
      <c r="C1332" t="s">
        <v>2806</v>
      </c>
      <c r="D1332" t="s">
        <v>17</v>
      </c>
      <c r="E1332" t="s">
        <v>2</v>
      </c>
      <c r="F1332" t="s">
        <v>50</v>
      </c>
      <c r="G1332" t="s">
        <v>51</v>
      </c>
      <c r="H1332" s="6">
        <v>53.94</v>
      </c>
      <c r="I1332" t="s">
        <v>52</v>
      </c>
      <c r="J1332" t="s">
        <v>60</v>
      </c>
      <c r="K1332" t="s">
        <v>54</v>
      </c>
      <c r="L1332" t="s">
        <v>55</v>
      </c>
      <c r="O1332" t="s">
        <v>61</v>
      </c>
      <c r="P1332" t="s">
        <v>62</v>
      </c>
      <c r="Q1332" s="6">
        <v>15464.41</v>
      </c>
    </row>
    <row r="1333" spans="1:17">
      <c r="A1333" t="s">
        <v>2807</v>
      </c>
      <c r="B1333" s="5">
        <v>46260</v>
      </c>
      <c r="C1333" t="s">
        <v>2808</v>
      </c>
      <c r="D1333" t="s">
        <v>17</v>
      </c>
      <c r="E1333" t="s">
        <v>2</v>
      </c>
      <c r="F1333" t="s">
        <v>50</v>
      </c>
      <c r="G1333" t="s">
        <v>88</v>
      </c>
      <c r="H1333" s="6">
        <v>60</v>
      </c>
      <c r="I1333" t="s">
        <v>52</v>
      </c>
      <c r="J1333" t="s">
        <v>89</v>
      </c>
      <c r="K1333" t="s">
        <v>54</v>
      </c>
      <c r="L1333" t="s">
        <v>90</v>
      </c>
      <c r="M1333" t="s">
        <v>91</v>
      </c>
      <c r="N1333" t="s">
        <v>12</v>
      </c>
      <c r="O1333" t="s">
        <v>92</v>
      </c>
      <c r="P1333" t="s">
        <v>93</v>
      </c>
      <c r="Q1333" s="6">
        <v>15353.42</v>
      </c>
    </row>
    <row r="1334" spans="1:17">
      <c r="A1334" t="s">
        <v>2809</v>
      </c>
      <c r="B1334" s="5">
        <v>46260</v>
      </c>
      <c r="C1334" t="s">
        <v>2810</v>
      </c>
      <c r="D1334" t="s">
        <v>17</v>
      </c>
      <c r="E1334" t="s">
        <v>2</v>
      </c>
      <c r="F1334" t="s">
        <v>50</v>
      </c>
      <c r="G1334" t="s">
        <v>51</v>
      </c>
      <c r="H1334" s="6">
        <v>18.13</v>
      </c>
      <c r="I1334" t="s">
        <v>52</v>
      </c>
      <c r="J1334" t="s">
        <v>126</v>
      </c>
      <c r="K1334" t="s">
        <v>54</v>
      </c>
      <c r="L1334" t="s">
        <v>55</v>
      </c>
      <c r="O1334" t="s">
        <v>56</v>
      </c>
      <c r="P1334" t="s">
        <v>57</v>
      </c>
      <c r="Q1334" s="6">
        <v>15518.35</v>
      </c>
    </row>
    <row r="1335" spans="1:17">
      <c r="A1335" t="s">
        <v>2811</v>
      </c>
      <c r="B1335" s="5">
        <v>46261</v>
      </c>
      <c r="C1335" t="s">
        <v>2812</v>
      </c>
      <c r="D1335" t="s">
        <v>17</v>
      </c>
      <c r="E1335" t="s">
        <v>2</v>
      </c>
      <c r="F1335" t="s">
        <v>50</v>
      </c>
      <c r="G1335" t="s">
        <v>51</v>
      </c>
      <c r="H1335" s="6">
        <v>49.01</v>
      </c>
      <c r="I1335" t="s">
        <v>52</v>
      </c>
      <c r="J1335" t="s">
        <v>60</v>
      </c>
      <c r="K1335" t="s">
        <v>54</v>
      </c>
      <c r="L1335" t="s">
        <v>55</v>
      </c>
      <c r="O1335" t="s">
        <v>61</v>
      </c>
      <c r="P1335" t="s">
        <v>62</v>
      </c>
      <c r="Q1335" s="6">
        <v>14843.69</v>
      </c>
    </row>
    <row r="1336" spans="1:17">
      <c r="A1336" t="s">
        <v>2813</v>
      </c>
      <c r="B1336" s="5">
        <v>46261</v>
      </c>
      <c r="C1336" t="s">
        <v>2814</v>
      </c>
      <c r="D1336" t="s">
        <v>17</v>
      </c>
      <c r="E1336" t="s">
        <v>2</v>
      </c>
      <c r="F1336" t="s">
        <v>50</v>
      </c>
      <c r="G1336" t="s">
        <v>51</v>
      </c>
      <c r="H1336" s="6">
        <v>55.04</v>
      </c>
      <c r="I1336" t="s">
        <v>52</v>
      </c>
      <c r="J1336" t="s">
        <v>81</v>
      </c>
      <c r="K1336" t="s">
        <v>54</v>
      </c>
      <c r="L1336" t="s">
        <v>55</v>
      </c>
      <c r="O1336" t="s">
        <v>82</v>
      </c>
      <c r="P1336" t="s">
        <v>83</v>
      </c>
      <c r="Q1336" s="6">
        <v>14907.7</v>
      </c>
    </row>
    <row r="1337" spans="1:17">
      <c r="A1337" t="s">
        <v>2815</v>
      </c>
      <c r="B1337" s="5">
        <v>46261</v>
      </c>
      <c r="C1337" t="s">
        <v>2816</v>
      </c>
      <c r="D1337" t="s">
        <v>17</v>
      </c>
      <c r="E1337" t="s">
        <v>2</v>
      </c>
      <c r="F1337" t="s">
        <v>50</v>
      </c>
      <c r="G1337" t="s">
        <v>51</v>
      </c>
      <c r="H1337" s="6">
        <v>131.86000000000001</v>
      </c>
      <c r="I1337" t="s">
        <v>52</v>
      </c>
      <c r="J1337" t="s">
        <v>65</v>
      </c>
      <c r="K1337" t="s">
        <v>54</v>
      </c>
      <c r="L1337" t="s">
        <v>55</v>
      </c>
      <c r="O1337" t="s">
        <v>66</v>
      </c>
      <c r="P1337" t="s">
        <v>67</v>
      </c>
      <c r="Q1337" s="6">
        <v>15099.22</v>
      </c>
    </row>
    <row r="1338" spans="1:17">
      <c r="A1338" t="s">
        <v>2817</v>
      </c>
      <c r="B1338" s="5">
        <v>46261</v>
      </c>
      <c r="C1338" t="s">
        <v>2818</v>
      </c>
      <c r="D1338" t="s">
        <v>17</v>
      </c>
      <c r="E1338" t="s">
        <v>2</v>
      </c>
      <c r="F1338" t="s">
        <v>50</v>
      </c>
      <c r="G1338" t="s">
        <v>51</v>
      </c>
      <c r="H1338" s="6">
        <v>67.63</v>
      </c>
      <c r="I1338" t="s">
        <v>52</v>
      </c>
      <c r="J1338" t="s">
        <v>60</v>
      </c>
      <c r="K1338" t="s">
        <v>54</v>
      </c>
      <c r="L1338" t="s">
        <v>55</v>
      </c>
      <c r="O1338" t="s">
        <v>61</v>
      </c>
      <c r="P1338" t="s">
        <v>62</v>
      </c>
      <c r="Q1338" s="6">
        <v>15256.6</v>
      </c>
    </row>
    <row r="1339" spans="1:17">
      <c r="A1339" t="s">
        <v>2819</v>
      </c>
      <c r="B1339" s="5">
        <v>46261</v>
      </c>
      <c r="C1339" t="s">
        <v>2820</v>
      </c>
      <c r="D1339" t="s">
        <v>17</v>
      </c>
      <c r="E1339" t="s">
        <v>2</v>
      </c>
      <c r="F1339" t="s">
        <v>50</v>
      </c>
      <c r="G1339" t="s">
        <v>51</v>
      </c>
      <c r="H1339" s="6">
        <v>25.52</v>
      </c>
      <c r="I1339" t="s">
        <v>52</v>
      </c>
      <c r="J1339" t="s">
        <v>60</v>
      </c>
      <c r="K1339" t="s">
        <v>54</v>
      </c>
      <c r="L1339" t="s">
        <v>55</v>
      </c>
      <c r="O1339" t="s">
        <v>61</v>
      </c>
      <c r="P1339" t="s">
        <v>62</v>
      </c>
      <c r="Q1339" s="6">
        <v>15231.08</v>
      </c>
    </row>
    <row r="1340" spans="1:17">
      <c r="A1340" t="s">
        <v>2821</v>
      </c>
      <c r="B1340" s="5">
        <v>46261</v>
      </c>
      <c r="C1340" t="s">
        <v>2822</v>
      </c>
      <c r="D1340" t="s">
        <v>17</v>
      </c>
      <c r="E1340" t="s">
        <v>2</v>
      </c>
      <c r="F1340" t="s">
        <v>50</v>
      </c>
      <c r="G1340" t="s">
        <v>51</v>
      </c>
      <c r="H1340" s="6">
        <v>136.47999999999999</v>
      </c>
      <c r="I1340" t="s">
        <v>52</v>
      </c>
      <c r="J1340" t="s">
        <v>65</v>
      </c>
      <c r="K1340" t="s">
        <v>54</v>
      </c>
      <c r="L1340" t="s">
        <v>55</v>
      </c>
      <c r="O1340" t="s">
        <v>66</v>
      </c>
      <c r="P1340" t="s">
        <v>67</v>
      </c>
      <c r="Q1340" s="6">
        <v>14962.74</v>
      </c>
    </row>
    <row r="1341" spans="1:17">
      <c r="A1341" t="s">
        <v>2823</v>
      </c>
      <c r="B1341" s="5">
        <v>46261</v>
      </c>
      <c r="C1341" t="s">
        <v>2824</v>
      </c>
      <c r="D1341" t="s">
        <v>17</v>
      </c>
      <c r="E1341" t="s">
        <v>2</v>
      </c>
      <c r="F1341" t="s">
        <v>50</v>
      </c>
      <c r="G1341" t="s">
        <v>100</v>
      </c>
      <c r="H1341" s="6">
        <v>15</v>
      </c>
      <c r="I1341" t="s">
        <v>52</v>
      </c>
      <c r="J1341" t="s">
        <v>101</v>
      </c>
      <c r="K1341" t="s">
        <v>54</v>
      </c>
      <c r="L1341" t="s">
        <v>102</v>
      </c>
      <c r="O1341" t="s">
        <v>103</v>
      </c>
      <c r="P1341" t="s">
        <v>104</v>
      </c>
      <c r="Q1341" s="6">
        <v>14892.7</v>
      </c>
    </row>
    <row r="1342" spans="1:17">
      <c r="A1342" t="s">
        <v>2825</v>
      </c>
      <c r="B1342" s="5">
        <v>46261</v>
      </c>
      <c r="C1342" t="s">
        <v>2826</v>
      </c>
      <c r="D1342" t="s">
        <v>17</v>
      </c>
      <c r="E1342" t="s">
        <v>2</v>
      </c>
      <c r="F1342" t="s">
        <v>50</v>
      </c>
      <c r="G1342" t="s">
        <v>51</v>
      </c>
      <c r="H1342" s="6">
        <v>29.19</v>
      </c>
      <c r="I1342" t="s">
        <v>52</v>
      </c>
      <c r="J1342" t="s">
        <v>60</v>
      </c>
      <c r="K1342" t="s">
        <v>54</v>
      </c>
      <c r="L1342" t="s">
        <v>55</v>
      </c>
      <c r="O1342" t="s">
        <v>61</v>
      </c>
      <c r="P1342" t="s">
        <v>62</v>
      </c>
      <c r="Q1342" s="6">
        <v>15324.23</v>
      </c>
    </row>
    <row r="1343" spans="1:17">
      <c r="A1343" t="s">
        <v>2827</v>
      </c>
      <c r="B1343" s="5">
        <v>46262</v>
      </c>
      <c r="C1343" t="s">
        <v>2828</v>
      </c>
      <c r="D1343" t="s">
        <v>17</v>
      </c>
      <c r="E1343" t="s">
        <v>2</v>
      </c>
      <c r="F1343" t="s">
        <v>50</v>
      </c>
      <c r="G1343" t="s">
        <v>51</v>
      </c>
      <c r="H1343" s="6">
        <v>9.43</v>
      </c>
      <c r="I1343" t="s">
        <v>52</v>
      </c>
      <c r="J1343" t="s">
        <v>126</v>
      </c>
      <c r="K1343" t="s">
        <v>54</v>
      </c>
      <c r="L1343" t="s">
        <v>55</v>
      </c>
      <c r="O1343" t="s">
        <v>56</v>
      </c>
      <c r="P1343" t="s">
        <v>57</v>
      </c>
      <c r="Q1343" s="6">
        <v>14658.31</v>
      </c>
    </row>
    <row r="1344" spans="1:17">
      <c r="A1344" t="s">
        <v>2829</v>
      </c>
      <c r="B1344" s="5">
        <v>46262</v>
      </c>
      <c r="C1344" t="s">
        <v>2830</v>
      </c>
      <c r="D1344" t="s">
        <v>17</v>
      </c>
      <c r="E1344" t="s">
        <v>2</v>
      </c>
      <c r="F1344" t="s">
        <v>50</v>
      </c>
      <c r="G1344" t="s">
        <v>51</v>
      </c>
      <c r="H1344" s="6">
        <v>13.74</v>
      </c>
      <c r="I1344" t="s">
        <v>52</v>
      </c>
      <c r="J1344" t="s">
        <v>53</v>
      </c>
      <c r="K1344" t="s">
        <v>54</v>
      </c>
      <c r="L1344" t="s">
        <v>55</v>
      </c>
      <c r="O1344" t="s">
        <v>56</v>
      </c>
      <c r="P1344" t="s">
        <v>57</v>
      </c>
      <c r="Q1344" s="6">
        <v>14701.04</v>
      </c>
    </row>
    <row r="1345" spans="1:17">
      <c r="A1345" t="s">
        <v>2831</v>
      </c>
      <c r="B1345" s="5">
        <v>46262</v>
      </c>
      <c r="C1345" t="s">
        <v>2832</v>
      </c>
      <c r="D1345" t="s">
        <v>17</v>
      </c>
      <c r="E1345" t="s">
        <v>2</v>
      </c>
      <c r="F1345" t="s">
        <v>50</v>
      </c>
      <c r="G1345" t="s">
        <v>72</v>
      </c>
      <c r="H1345" s="6">
        <v>106.49</v>
      </c>
      <c r="I1345" t="s">
        <v>52</v>
      </c>
      <c r="J1345" t="s">
        <v>73</v>
      </c>
      <c r="K1345" t="s">
        <v>54</v>
      </c>
      <c r="L1345" t="s">
        <v>74</v>
      </c>
      <c r="O1345" t="s">
        <v>75</v>
      </c>
      <c r="P1345" t="s">
        <v>76</v>
      </c>
      <c r="Q1345" s="6">
        <v>14551.82</v>
      </c>
    </row>
    <row r="1346" spans="1:17">
      <c r="A1346" t="s">
        <v>2833</v>
      </c>
      <c r="B1346" s="5">
        <v>46262</v>
      </c>
      <c r="C1346" t="s">
        <v>2834</v>
      </c>
      <c r="D1346" t="s">
        <v>17</v>
      </c>
      <c r="E1346" t="s">
        <v>2</v>
      </c>
      <c r="F1346" t="s">
        <v>50</v>
      </c>
      <c r="G1346" t="s">
        <v>100</v>
      </c>
      <c r="H1346" s="6">
        <v>15</v>
      </c>
      <c r="I1346" t="s">
        <v>52</v>
      </c>
      <c r="J1346" t="s">
        <v>101</v>
      </c>
      <c r="K1346" t="s">
        <v>54</v>
      </c>
      <c r="L1346" t="s">
        <v>102</v>
      </c>
      <c r="O1346" t="s">
        <v>103</v>
      </c>
      <c r="P1346" t="s">
        <v>104</v>
      </c>
      <c r="Q1346" s="6">
        <v>14744.96</v>
      </c>
    </row>
    <row r="1347" spans="1:17">
      <c r="A1347" t="s">
        <v>2835</v>
      </c>
      <c r="B1347" s="5">
        <v>46262</v>
      </c>
      <c r="C1347" t="s">
        <v>2836</v>
      </c>
      <c r="D1347" t="s">
        <v>17</v>
      </c>
      <c r="E1347" t="s">
        <v>2</v>
      </c>
      <c r="F1347" t="s">
        <v>50</v>
      </c>
      <c r="G1347" t="s">
        <v>51</v>
      </c>
      <c r="H1347" s="6">
        <v>40.270000000000003</v>
      </c>
      <c r="I1347" t="s">
        <v>52</v>
      </c>
      <c r="J1347" t="s">
        <v>60</v>
      </c>
      <c r="K1347" t="s">
        <v>54</v>
      </c>
      <c r="L1347" t="s">
        <v>55</v>
      </c>
      <c r="O1347" t="s">
        <v>61</v>
      </c>
      <c r="P1347" t="s">
        <v>62</v>
      </c>
      <c r="Q1347" s="6">
        <v>14759.96</v>
      </c>
    </row>
    <row r="1348" spans="1:17">
      <c r="A1348" t="s">
        <v>2837</v>
      </c>
      <c r="B1348" s="5">
        <v>46262</v>
      </c>
      <c r="C1348" t="s">
        <v>2838</v>
      </c>
      <c r="D1348" t="s">
        <v>17</v>
      </c>
      <c r="E1348" t="s">
        <v>2</v>
      </c>
      <c r="F1348" t="s">
        <v>50</v>
      </c>
      <c r="G1348" t="s">
        <v>51</v>
      </c>
      <c r="H1348" s="6">
        <v>43.46</v>
      </c>
      <c r="I1348" t="s">
        <v>52</v>
      </c>
      <c r="J1348" t="s">
        <v>81</v>
      </c>
      <c r="K1348" t="s">
        <v>54</v>
      </c>
      <c r="L1348" t="s">
        <v>55</v>
      </c>
      <c r="O1348" t="s">
        <v>82</v>
      </c>
      <c r="P1348" t="s">
        <v>83</v>
      </c>
      <c r="Q1348" s="6">
        <v>14800.23</v>
      </c>
    </row>
    <row r="1349" spans="1:17">
      <c r="A1349" t="s">
        <v>2839</v>
      </c>
      <c r="B1349" s="5">
        <v>46262</v>
      </c>
      <c r="C1349" t="s">
        <v>2840</v>
      </c>
      <c r="D1349" t="s">
        <v>17</v>
      </c>
      <c r="E1349" t="s">
        <v>2</v>
      </c>
      <c r="F1349" t="s">
        <v>50</v>
      </c>
      <c r="G1349" t="s">
        <v>51</v>
      </c>
      <c r="H1349" s="6">
        <v>30.18</v>
      </c>
      <c r="I1349" t="s">
        <v>52</v>
      </c>
      <c r="J1349" t="s">
        <v>126</v>
      </c>
      <c r="K1349" t="s">
        <v>54</v>
      </c>
      <c r="L1349" t="s">
        <v>55</v>
      </c>
      <c r="O1349" t="s">
        <v>56</v>
      </c>
      <c r="P1349" t="s">
        <v>57</v>
      </c>
      <c r="Q1349" s="6">
        <v>14714.78</v>
      </c>
    </row>
    <row r="1350" spans="1:17">
      <c r="A1350" t="s">
        <v>2841</v>
      </c>
      <c r="B1350" s="5">
        <v>46262</v>
      </c>
      <c r="C1350" t="s">
        <v>2263</v>
      </c>
      <c r="D1350" t="s">
        <v>17</v>
      </c>
      <c r="E1350" t="s">
        <v>2</v>
      </c>
      <c r="F1350" t="s">
        <v>149</v>
      </c>
      <c r="G1350" t="s">
        <v>321</v>
      </c>
      <c r="H1350" s="6">
        <v>3124.7</v>
      </c>
      <c r="I1350" t="s">
        <v>52</v>
      </c>
      <c r="J1350" t="s">
        <v>9</v>
      </c>
      <c r="K1350" t="s">
        <v>54</v>
      </c>
      <c r="L1350" t="s">
        <v>102</v>
      </c>
      <c r="O1350" t="s">
        <v>322</v>
      </c>
      <c r="P1350" t="s">
        <v>323</v>
      </c>
      <c r="Q1350" s="6">
        <v>51049.23</v>
      </c>
    </row>
    <row r="1351" spans="1:17">
      <c r="A1351" t="s">
        <v>2842</v>
      </c>
      <c r="B1351" s="5">
        <v>46262</v>
      </c>
      <c r="C1351" t="s">
        <v>2843</v>
      </c>
      <c r="D1351" t="s">
        <v>17</v>
      </c>
      <c r="E1351" t="s">
        <v>2</v>
      </c>
      <c r="F1351" t="s">
        <v>50</v>
      </c>
      <c r="G1351" t="s">
        <v>51</v>
      </c>
      <c r="H1351" s="6">
        <v>33.299999999999997</v>
      </c>
      <c r="I1351" t="s">
        <v>52</v>
      </c>
      <c r="J1351" t="s">
        <v>81</v>
      </c>
      <c r="K1351" t="s">
        <v>54</v>
      </c>
      <c r="L1351" t="s">
        <v>55</v>
      </c>
      <c r="O1351" t="s">
        <v>82</v>
      </c>
      <c r="P1351" t="s">
        <v>83</v>
      </c>
      <c r="Q1351" s="6">
        <v>14667.74</v>
      </c>
    </row>
    <row r="1352" spans="1:17">
      <c r="A1352" t="s">
        <v>2844</v>
      </c>
      <c r="B1352" s="5">
        <v>46263</v>
      </c>
      <c r="C1352" t="s">
        <v>2845</v>
      </c>
      <c r="D1352" t="s">
        <v>17</v>
      </c>
      <c r="E1352" t="s">
        <v>2</v>
      </c>
      <c r="F1352" t="s">
        <v>50</v>
      </c>
      <c r="G1352" t="s">
        <v>51</v>
      </c>
      <c r="H1352" s="6">
        <v>22.7</v>
      </c>
      <c r="I1352" t="s">
        <v>52</v>
      </c>
      <c r="J1352" t="s">
        <v>65</v>
      </c>
      <c r="K1352" t="s">
        <v>54</v>
      </c>
      <c r="L1352" t="s">
        <v>55</v>
      </c>
      <c r="O1352" t="s">
        <v>66</v>
      </c>
      <c r="P1352" t="s">
        <v>67</v>
      </c>
      <c r="Q1352" s="6">
        <v>14529.12</v>
      </c>
    </row>
    <row r="1353" spans="1:17">
      <c r="A1353" t="s">
        <v>2846</v>
      </c>
      <c r="B1353" s="5">
        <v>46263</v>
      </c>
      <c r="C1353" t="s">
        <v>2847</v>
      </c>
      <c r="D1353" t="s">
        <v>17</v>
      </c>
      <c r="E1353" t="s">
        <v>2</v>
      </c>
      <c r="F1353" t="s">
        <v>50</v>
      </c>
      <c r="G1353" t="s">
        <v>51</v>
      </c>
      <c r="H1353" s="6">
        <v>176.62</v>
      </c>
      <c r="I1353" t="s">
        <v>52</v>
      </c>
      <c r="J1353" t="s">
        <v>196</v>
      </c>
      <c r="K1353" t="s">
        <v>54</v>
      </c>
      <c r="L1353" t="s">
        <v>55</v>
      </c>
      <c r="O1353" t="s">
        <v>197</v>
      </c>
      <c r="P1353" t="s">
        <v>198</v>
      </c>
      <c r="Q1353" s="6">
        <v>14266.12</v>
      </c>
    </row>
    <row r="1354" spans="1:17">
      <c r="A1354" t="s">
        <v>2848</v>
      </c>
      <c r="B1354" s="5">
        <v>46263</v>
      </c>
      <c r="C1354" t="s">
        <v>2849</v>
      </c>
      <c r="D1354" t="s">
        <v>17</v>
      </c>
      <c r="E1354" t="s">
        <v>2</v>
      </c>
      <c r="F1354" t="s">
        <v>149</v>
      </c>
      <c r="G1354" t="s">
        <v>72</v>
      </c>
      <c r="H1354" s="6">
        <v>118.5</v>
      </c>
      <c r="I1354" t="s">
        <v>52</v>
      </c>
      <c r="J1354" t="s">
        <v>73</v>
      </c>
      <c r="K1354" t="s">
        <v>54</v>
      </c>
      <c r="L1354" t="s">
        <v>74</v>
      </c>
      <c r="O1354" t="s">
        <v>75</v>
      </c>
      <c r="P1354" t="s">
        <v>76</v>
      </c>
      <c r="Q1354" s="6">
        <v>14146.5</v>
      </c>
    </row>
    <row r="1355" spans="1:17">
      <c r="A1355" t="s">
        <v>2850</v>
      </c>
      <c r="B1355" s="5">
        <v>46263</v>
      </c>
      <c r="C1355" t="s">
        <v>2851</v>
      </c>
      <c r="D1355" t="s">
        <v>17</v>
      </c>
      <c r="E1355" t="s">
        <v>2</v>
      </c>
      <c r="F1355" t="s">
        <v>50</v>
      </c>
      <c r="G1355" t="s">
        <v>51</v>
      </c>
      <c r="H1355" s="6">
        <v>41.41</v>
      </c>
      <c r="I1355" t="s">
        <v>52</v>
      </c>
      <c r="J1355" t="s">
        <v>126</v>
      </c>
      <c r="K1355" t="s">
        <v>54</v>
      </c>
      <c r="L1355" t="s">
        <v>55</v>
      </c>
      <c r="O1355" t="s">
        <v>56</v>
      </c>
      <c r="P1355" t="s">
        <v>57</v>
      </c>
      <c r="Q1355" s="6">
        <v>14028</v>
      </c>
    </row>
    <row r="1356" spans="1:17">
      <c r="A1356" t="s">
        <v>2852</v>
      </c>
      <c r="B1356" s="5">
        <v>46263</v>
      </c>
      <c r="C1356" t="s">
        <v>1359</v>
      </c>
      <c r="D1356" t="s">
        <v>17</v>
      </c>
      <c r="E1356" t="s">
        <v>2</v>
      </c>
      <c r="F1356" t="s">
        <v>50</v>
      </c>
      <c r="G1356" t="s">
        <v>51</v>
      </c>
      <c r="H1356" s="6">
        <v>132.88999999999999</v>
      </c>
      <c r="I1356" t="s">
        <v>52</v>
      </c>
      <c r="J1356" t="s">
        <v>65</v>
      </c>
      <c r="K1356" t="s">
        <v>54</v>
      </c>
      <c r="L1356" t="s">
        <v>55</v>
      </c>
      <c r="O1356" t="s">
        <v>66</v>
      </c>
      <c r="P1356" t="s">
        <v>67</v>
      </c>
      <c r="Q1356" s="6">
        <v>14069.41</v>
      </c>
    </row>
    <row r="1357" spans="1:17">
      <c r="A1357" t="s">
        <v>2853</v>
      </c>
      <c r="B1357" s="5">
        <v>46263</v>
      </c>
      <c r="C1357" t="s">
        <v>2854</v>
      </c>
      <c r="D1357" t="s">
        <v>17</v>
      </c>
      <c r="E1357" t="s">
        <v>2</v>
      </c>
      <c r="F1357" t="s">
        <v>50</v>
      </c>
      <c r="G1357" t="s">
        <v>51</v>
      </c>
      <c r="H1357" s="6">
        <v>48.82</v>
      </c>
      <c r="I1357" t="s">
        <v>52</v>
      </c>
      <c r="J1357" t="s">
        <v>65</v>
      </c>
      <c r="K1357" t="s">
        <v>54</v>
      </c>
      <c r="L1357" t="s">
        <v>55</v>
      </c>
      <c r="O1357" t="s">
        <v>66</v>
      </c>
      <c r="P1357" t="s">
        <v>67</v>
      </c>
      <c r="Q1357" s="6">
        <v>14202.3</v>
      </c>
    </row>
    <row r="1358" spans="1:17">
      <c r="A1358" t="s">
        <v>2855</v>
      </c>
      <c r="B1358" s="5">
        <v>46263</v>
      </c>
      <c r="C1358" t="s">
        <v>2856</v>
      </c>
      <c r="D1358" t="s">
        <v>17</v>
      </c>
      <c r="E1358" t="s">
        <v>2</v>
      </c>
      <c r="F1358" t="s">
        <v>50</v>
      </c>
      <c r="G1358" t="s">
        <v>100</v>
      </c>
      <c r="H1358" s="6">
        <v>16.88</v>
      </c>
      <c r="I1358" t="s">
        <v>52</v>
      </c>
      <c r="J1358" t="s">
        <v>114</v>
      </c>
      <c r="K1358" t="s">
        <v>54</v>
      </c>
      <c r="L1358" t="s">
        <v>102</v>
      </c>
      <c r="O1358" t="s">
        <v>103</v>
      </c>
      <c r="P1358" t="s">
        <v>104</v>
      </c>
      <c r="Q1358" s="6">
        <v>14442.74</v>
      </c>
    </row>
    <row r="1359" spans="1:17">
      <c r="A1359" t="s">
        <v>2857</v>
      </c>
      <c r="B1359" s="5">
        <v>46263</v>
      </c>
      <c r="C1359" t="s">
        <v>2858</v>
      </c>
      <c r="D1359" t="s">
        <v>17</v>
      </c>
      <c r="E1359" t="s">
        <v>2</v>
      </c>
      <c r="F1359" t="s">
        <v>50</v>
      </c>
      <c r="G1359" t="s">
        <v>51</v>
      </c>
      <c r="H1359" s="6">
        <v>69.5</v>
      </c>
      <c r="I1359" t="s">
        <v>52</v>
      </c>
      <c r="J1359" t="s">
        <v>65</v>
      </c>
      <c r="K1359" t="s">
        <v>54</v>
      </c>
      <c r="L1359" t="s">
        <v>55</v>
      </c>
      <c r="O1359" t="s">
        <v>66</v>
      </c>
      <c r="P1359" t="s">
        <v>67</v>
      </c>
      <c r="Q1359" s="6">
        <v>14459.62</v>
      </c>
    </row>
    <row r="1360" spans="1:17">
      <c r="A1360" t="s">
        <v>2859</v>
      </c>
      <c r="B1360" s="5">
        <v>46263</v>
      </c>
      <c r="C1360" t="s">
        <v>2860</v>
      </c>
      <c r="D1360" t="s">
        <v>17</v>
      </c>
      <c r="E1360" t="s">
        <v>2</v>
      </c>
      <c r="F1360" t="s">
        <v>50</v>
      </c>
      <c r="G1360" t="s">
        <v>100</v>
      </c>
      <c r="H1360" s="6">
        <v>15</v>
      </c>
      <c r="I1360" t="s">
        <v>52</v>
      </c>
      <c r="J1360" t="s">
        <v>101</v>
      </c>
      <c r="K1360" t="s">
        <v>54</v>
      </c>
      <c r="L1360" t="s">
        <v>102</v>
      </c>
      <c r="O1360" t="s">
        <v>103</v>
      </c>
      <c r="P1360" t="s">
        <v>104</v>
      </c>
      <c r="Q1360" s="6">
        <v>14251.12</v>
      </c>
    </row>
    <row r="1361" spans="1:17">
      <c r="A1361" t="s">
        <v>2861</v>
      </c>
      <c r="B1361" s="5">
        <v>46264</v>
      </c>
      <c r="C1361" t="s">
        <v>2862</v>
      </c>
      <c r="D1361" t="s">
        <v>17</v>
      </c>
      <c r="E1361" t="s">
        <v>2</v>
      </c>
      <c r="F1361" t="s">
        <v>50</v>
      </c>
      <c r="G1361" t="s">
        <v>72</v>
      </c>
      <c r="H1361" s="6">
        <v>170.09</v>
      </c>
      <c r="I1361" t="s">
        <v>52</v>
      </c>
      <c r="J1361" t="s">
        <v>73</v>
      </c>
      <c r="K1361" t="s">
        <v>54</v>
      </c>
      <c r="L1361" t="s">
        <v>74</v>
      </c>
      <c r="O1361" t="s">
        <v>75</v>
      </c>
      <c r="P1361" t="s">
        <v>76</v>
      </c>
      <c r="Q1361" s="6">
        <v>13516.93</v>
      </c>
    </row>
    <row r="1362" spans="1:17">
      <c r="A1362" t="s">
        <v>2863</v>
      </c>
      <c r="B1362" s="5">
        <v>46264</v>
      </c>
      <c r="C1362" t="s">
        <v>2864</v>
      </c>
      <c r="D1362" t="s">
        <v>17</v>
      </c>
      <c r="E1362" t="s">
        <v>2</v>
      </c>
      <c r="F1362" t="s">
        <v>50</v>
      </c>
      <c r="G1362" t="s">
        <v>51</v>
      </c>
      <c r="H1362" s="6">
        <v>129.71</v>
      </c>
      <c r="I1362" t="s">
        <v>52</v>
      </c>
      <c r="J1362" t="s">
        <v>65</v>
      </c>
      <c r="K1362" t="s">
        <v>54</v>
      </c>
      <c r="L1362" t="s">
        <v>55</v>
      </c>
      <c r="O1362" t="s">
        <v>66</v>
      </c>
      <c r="P1362" t="s">
        <v>67</v>
      </c>
      <c r="Q1362" s="6">
        <v>13747.07</v>
      </c>
    </row>
    <row r="1363" spans="1:17">
      <c r="A1363" t="s">
        <v>2865</v>
      </c>
      <c r="B1363" s="5">
        <v>46264</v>
      </c>
      <c r="C1363" t="s">
        <v>2866</v>
      </c>
      <c r="D1363" t="s">
        <v>17</v>
      </c>
      <c r="E1363" t="s">
        <v>2</v>
      </c>
      <c r="F1363" t="s">
        <v>50</v>
      </c>
      <c r="G1363" t="s">
        <v>51</v>
      </c>
      <c r="H1363" s="6">
        <v>14.28</v>
      </c>
      <c r="I1363" t="s">
        <v>52</v>
      </c>
      <c r="J1363" t="s">
        <v>81</v>
      </c>
      <c r="K1363" t="s">
        <v>54</v>
      </c>
      <c r="L1363" t="s">
        <v>55</v>
      </c>
      <c r="O1363" t="s">
        <v>82</v>
      </c>
      <c r="P1363" t="s">
        <v>83</v>
      </c>
      <c r="Q1363" s="6">
        <v>14132.22</v>
      </c>
    </row>
    <row r="1364" spans="1:17">
      <c r="A1364" t="s">
        <v>2867</v>
      </c>
      <c r="B1364" s="5">
        <v>46264</v>
      </c>
      <c r="C1364" t="s">
        <v>2868</v>
      </c>
      <c r="D1364" t="s">
        <v>17</v>
      </c>
      <c r="E1364" t="s">
        <v>2</v>
      </c>
      <c r="F1364" t="s">
        <v>50</v>
      </c>
      <c r="G1364" t="s">
        <v>51</v>
      </c>
      <c r="H1364" s="6">
        <v>148.03</v>
      </c>
      <c r="I1364" t="s">
        <v>52</v>
      </c>
      <c r="J1364" t="s">
        <v>196</v>
      </c>
      <c r="K1364" t="s">
        <v>54</v>
      </c>
      <c r="L1364" t="s">
        <v>55</v>
      </c>
      <c r="O1364" t="s">
        <v>197</v>
      </c>
      <c r="P1364" t="s">
        <v>198</v>
      </c>
      <c r="Q1364" s="6">
        <v>13984.19</v>
      </c>
    </row>
    <row r="1365" spans="1:17">
      <c r="A1365" t="s">
        <v>2869</v>
      </c>
      <c r="B1365" s="5">
        <v>46264</v>
      </c>
      <c r="C1365" t="s">
        <v>2870</v>
      </c>
      <c r="D1365" t="s">
        <v>17</v>
      </c>
      <c r="E1365" t="s">
        <v>2</v>
      </c>
      <c r="F1365" t="s">
        <v>50</v>
      </c>
      <c r="G1365" t="s">
        <v>100</v>
      </c>
      <c r="H1365" s="6">
        <v>15</v>
      </c>
      <c r="I1365" t="s">
        <v>52</v>
      </c>
      <c r="J1365" t="s">
        <v>101</v>
      </c>
      <c r="K1365" t="s">
        <v>54</v>
      </c>
      <c r="L1365" t="s">
        <v>102</v>
      </c>
      <c r="O1365" t="s">
        <v>103</v>
      </c>
      <c r="P1365" t="s">
        <v>104</v>
      </c>
      <c r="Q1365" s="6">
        <v>13687.02</v>
      </c>
    </row>
    <row r="1366" spans="1:17">
      <c r="A1366" t="s">
        <v>2871</v>
      </c>
      <c r="B1366" s="5">
        <v>46264</v>
      </c>
      <c r="C1366" t="s">
        <v>2872</v>
      </c>
      <c r="D1366" t="s">
        <v>17</v>
      </c>
      <c r="E1366" t="s">
        <v>2</v>
      </c>
      <c r="F1366" t="s">
        <v>50</v>
      </c>
      <c r="G1366" t="s">
        <v>51</v>
      </c>
      <c r="H1366" s="6">
        <v>45.05</v>
      </c>
      <c r="I1366" t="s">
        <v>52</v>
      </c>
      <c r="J1366" t="s">
        <v>126</v>
      </c>
      <c r="K1366" t="s">
        <v>54</v>
      </c>
      <c r="L1366" t="s">
        <v>55</v>
      </c>
      <c r="O1366" t="s">
        <v>56</v>
      </c>
      <c r="P1366" t="s">
        <v>57</v>
      </c>
      <c r="Q1366" s="6">
        <v>13702.02</v>
      </c>
    </row>
    <row r="1367" spans="1:17">
      <c r="A1367" t="s">
        <v>2873</v>
      </c>
      <c r="B1367" s="5">
        <v>46264</v>
      </c>
      <c r="C1367" t="s">
        <v>2874</v>
      </c>
      <c r="D1367" t="s">
        <v>17</v>
      </c>
      <c r="E1367" t="s">
        <v>2</v>
      </c>
      <c r="F1367" t="s">
        <v>50</v>
      </c>
      <c r="G1367" t="s">
        <v>51</v>
      </c>
      <c r="H1367" s="6">
        <v>34.94</v>
      </c>
      <c r="I1367" t="s">
        <v>52</v>
      </c>
      <c r="J1367" t="s">
        <v>65</v>
      </c>
      <c r="K1367" t="s">
        <v>54</v>
      </c>
      <c r="L1367" t="s">
        <v>55</v>
      </c>
      <c r="O1367" t="s">
        <v>66</v>
      </c>
      <c r="P1367" t="s">
        <v>67</v>
      </c>
      <c r="Q1367" s="6">
        <v>13876.78</v>
      </c>
    </row>
    <row r="1368" spans="1:17">
      <c r="A1368" t="s">
        <v>2875</v>
      </c>
      <c r="B1368" s="5">
        <v>46264</v>
      </c>
      <c r="C1368" t="s">
        <v>2876</v>
      </c>
      <c r="D1368" t="s">
        <v>17</v>
      </c>
      <c r="E1368" t="s">
        <v>2</v>
      </c>
      <c r="F1368" t="s">
        <v>50</v>
      </c>
      <c r="G1368" t="s">
        <v>51</v>
      </c>
      <c r="H1368" s="6">
        <v>35.69</v>
      </c>
      <c r="I1368" t="s">
        <v>52</v>
      </c>
      <c r="J1368" t="s">
        <v>60</v>
      </c>
      <c r="K1368" t="s">
        <v>54</v>
      </c>
      <c r="L1368" t="s">
        <v>55</v>
      </c>
      <c r="O1368" t="s">
        <v>61</v>
      </c>
      <c r="P1368" t="s">
        <v>62</v>
      </c>
      <c r="Q1368" s="6">
        <v>13948.5</v>
      </c>
    </row>
    <row r="1369" spans="1:17">
      <c r="A1369" t="s">
        <v>2877</v>
      </c>
      <c r="B1369" s="5">
        <v>46264</v>
      </c>
      <c r="C1369" t="s">
        <v>2878</v>
      </c>
      <c r="D1369" t="s">
        <v>17</v>
      </c>
      <c r="E1369" t="s">
        <v>2</v>
      </c>
      <c r="F1369" t="s">
        <v>50</v>
      </c>
      <c r="G1369" t="s">
        <v>51</v>
      </c>
      <c r="H1369" s="6">
        <v>36.78</v>
      </c>
      <c r="I1369" t="s">
        <v>52</v>
      </c>
      <c r="J1369" t="s">
        <v>81</v>
      </c>
      <c r="K1369" t="s">
        <v>54</v>
      </c>
      <c r="L1369" t="s">
        <v>55</v>
      </c>
      <c r="O1369" t="s">
        <v>82</v>
      </c>
      <c r="P1369" t="s">
        <v>83</v>
      </c>
      <c r="Q1369" s="6">
        <v>13911.72</v>
      </c>
    </row>
    <row r="1370" spans="1:17">
      <c r="A1370" t="s">
        <v>2879</v>
      </c>
      <c r="B1370" s="5">
        <v>46265</v>
      </c>
      <c r="C1370" t="s">
        <v>2880</v>
      </c>
      <c r="D1370" t="s">
        <v>17</v>
      </c>
      <c r="E1370" t="s">
        <v>2</v>
      </c>
      <c r="F1370" t="s">
        <v>50</v>
      </c>
      <c r="G1370" t="s">
        <v>51</v>
      </c>
      <c r="H1370" s="6">
        <v>8.8699999999999992</v>
      </c>
      <c r="I1370" t="s">
        <v>52</v>
      </c>
      <c r="J1370" t="s">
        <v>53</v>
      </c>
      <c r="K1370" t="s">
        <v>54</v>
      </c>
      <c r="L1370" t="s">
        <v>55</v>
      </c>
      <c r="O1370" t="s">
        <v>56</v>
      </c>
      <c r="P1370" t="s">
        <v>57</v>
      </c>
      <c r="Q1370" s="6">
        <v>13508.06</v>
      </c>
    </row>
    <row r="1371" spans="1:17">
      <c r="A1371" t="s">
        <v>2881</v>
      </c>
      <c r="B1371" s="5">
        <v>46265</v>
      </c>
      <c r="C1371" t="s">
        <v>2882</v>
      </c>
      <c r="D1371" t="s">
        <v>17</v>
      </c>
      <c r="E1371" t="s">
        <v>2</v>
      </c>
      <c r="F1371" t="s">
        <v>50</v>
      </c>
      <c r="G1371" t="s">
        <v>51</v>
      </c>
      <c r="H1371" s="6">
        <v>61.2</v>
      </c>
      <c r="I1371" t="s">
        <v>52</v>
      </c>
      <c r="J1371" t="s">
        <v>196</v>
      </c>
      <c r="K1371" t="s">
        <v>54</v>
      </c>
      <c r="L1371" t="s">
        <v>55</v>
      </c>
      <c r="O1371" t="s">
        <v>197</v>
      </c>
      <c r="P1371" t="s">
        <v>198</v>
      </c>
      <c r="Q1371" s="6">
        <v>13361.08</v>
      </c>
    </row>
    <row r="1372" spans="1:17">
      <c r="A1372" t="s">
        <v>2883</v>
      </c>
      <c r="B1372" s="5">
        <v>46265</v>
      </c>
      <c r="C1372" t="s">
        <v>2884</v>
      </c>
      <c r="D1372" t="s">
        <v>17</v>
      </c>
      <c r="E1372" t="s">
        <v>2</v>
      </c>
      <c r="F1372" t="s">
        <v>50</v>
      </c>
      <c r="G1372" t="s">
        <v>72</v>
      </c>
      <c r="H1372" s="6">
        <v>78.27</v>
      </c>
      <c r="I1372" t="s">
        <v>52</v>
      </c>
      <c r="J1372" t="s">
        <v>150</v>
      </c>
      <c r="K1372" t="s">
        <v>54</v>
      </c>
      <c r="L1372" t="s">
        <v>74</v>
      </c>
      <c r="O1372" t="s">
        <v>75</v>
      </c>
      <c r="P1372" t="s">
        <v>76</v>
      </c>
      <c r="Q1372" s="6">
        <v>13247.4</v>
      </c>
    </row>
    <row r="1373" spans="1:17">
      <c r="A1373" t="s">
        <v>2885</v>
      </c>
      <c r="B1373" s="5">
        <v>46265</v>
      </c>
      <c r="C1373" t="s">
        <v>2886</v>
      </c>
      <c r="D1373" t="s">
        <v>17</v>
      </c>
      <c r="E1373" t="s">
        <v>2</v>
      </c>
      <c r="F1373" t="s">
        <v>50</v>
      </c>
      <c r="G1373" t="s">
        <v>51</v>
      </c>
      <c r="H1373" s="6">
        <v>35.409999999999997</v>
      </c>
      <c r="I1373" t="s">
        <v>52</v>
      </c>
      <c r="J1373" t="s">
        <v>126</v>
      </c>
      <c r="K1373" t="s">
        <v>54</v>
      </c>
      <c r="L1373" t="s">
        <v>55</v>
      </c>
      <c r="O1373" t="s">
        <v>56</v>
      </c>
      <c r="P1373" t="s">
        <v>57</v>
      </c>
      <c r="Q1373" s="6">
        <v>13325.67</v>
      </c>
    </row>
    <row r="1374" spans="1:17">
      <c r="A1374" t="s">
        <v>2887</v>
      </c>
      <c r="B1374" s="5">
        <v>46265</v>
      </c>
      <c r="C1374" t="s">
        <v>2888</v>
      </c>
      <c r="D1374" t="s">
        <v>17</v>
      </c>
      <c r="E1374" t="s">
        <v>2</v>
      </c>
      <c r="F1374" t="s">
        <v>50</v>
      </c>
      <c r="G1374" t="s">
        <v>51</v>
      </c>
      <c r="H1374" s="6">
        <v>32.92</v>
      </c>
      <c r="I1374" t="s">
        <v>52</v>
      </c>
      <c r="J1374" t="s">
        <v>196</v>
      </c>
      <c r="K1374" t="s">
        <v>54</v>
      </c>
      <c r="L1374" t="s">
        <v>55</v>
      </c>
      <c r="O1374" t="s">
        <v>197</v>
      </c>
      <c r="P1374" t="s">
        <v>198</v>
      </c>
      <c r="Q1374" s="6">
        <v>13475.14</v>
      </c>
    </row>
    <row r="1375" spans="1:17">
      <c r="A1375" t="s">
        <v>2889</v>
      </c>
      <c r="B1375" s="5">
        <v>46265</v>
      </c>
      <c r="C1375" t="s">
        <v>2890</v>
      </c>
      <c r="D1375" t="s">
        <v>17</v>
      </c>
      <c r="E1375" t="s">
        <v>2</v>
      </c>
      <c r="F1375" t="s">
        <v>50</v>
      </c>
      <c r="G1375" t="s">
        <v>51</v>
      </c>
      <c r="H1375" s="6">
        <v>52.86</v>
      </c>
      <c r="I1375" t="s">
        <v>52</v>
      </c>
      <c r="J1375" t="s">
        <v>81</v>
      </c>
      <c r="K1375" t="s">
        <v>54</v>
      </c>
      <c r="L1375" t="s">
        <v>55</v>
      </c>
      <c r="O1375" t="s">
        <v>82</v>
      </c>
      <c r="P1375" t="s">
        <v>83</v>
      </c>
      <c r="Q1375" s="6">
        <v>13422.28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9FBC-24BD-481F-93A1-E04CEBA78553}">
  <dimension ref="A1:U1375"/>
  <sheetViews>
    <sheetView workbookViewId="0">
      <selection activeCell="C1385" sqref="C1385"/>
    </sheetView>
  </sheetViews>
  <sheetFormatPr defaultRowHeight="13.8"/>
  <cols>
    <col min="1" max="1" width="16" bestFit="1" customWidth="1"/>
    <col min="2" max="2" width="18.19921875" bestFit="1" customWidth="1"/>
    <col min="3" max="3" width="18.59765625" customWidth="1"/>
    <col min="4" max="4" width="12.8984375" bestFit="1" customWidth="1"/>
    <col min="5" max="5" width="14.296875" bestFit="1" customWidth="1"/>
    <col min="6" max="6" width="10.796875" bestFit="1" customWidth="1"/>
    <col min="7" max="7" width="18.59765625" customWidth="1"/>
    <col min="8" max="8" width="9.796875" bestFit="1" customWidth="1"/>
    <col min="9" max="9" width="11" bestFit="1" customWidth="1"/>
    <col min="10" max="10" width="22.796875" bestFit="1" customWidth="1"/>
    <col min="11" max="11" width="22.59765625" bestFit="1" customWidth="1"/>
    <col min="12" max="12" width="10.09765625" bestFit="1" customWidth="1"/>
    <col min="13" max="13" width="13.59765625" bestFit="1" customWidth="1"/>
    <col min="14" max="14" width="14.59765625" bestFit="1" customWidth="1"/>
    <col min="15" max="15" width="20.19921875" bestFit="1" customWidth="1"/>
    <col min="16" max="16" width="22.59765625" bestFit="1" customWidth="1"/>
    <col min="17" max="17" width="15.296875" bestFit="1" customWidth="1"/>
    <col min="18" max="18" width="16.5" bestFit="1" customWidth="1"/>
    <col min="19" max="19" width="24.09765625" bestFit="1" customWidth="1"/>
    <col min="20" max="20" width="12" bestFit="1" customWidth="1"/>
    <col min="21" max="21" width="15.796875" bestFit="1" customWidth="1"/>
    <col min="22" max="22" width="19.5" bestFit="1" customWidth="1"/>
    <col min="23" max="24" width="15.19921875" bestFit="1" customWidth="1"/>
    <col min="25" max="25" width="18.19921875" bestFit="1" customWidth="1"/>
    <col min="26" max="26" width="18.59765625" bestFit="1" customWidth="1"/>
    <col min="27" max="27" width="12.8984375" bestFit="1" customWidth="1"/>
    <col min="28" max="28" width="14.296875" bestFit="1" customWidth="1"/>
    <col min="29" max="29" width="10.796875" bestFit="1" customWidth="1"/>
    <col min="30" max="30" width="18.59765625" bestFit="1" customWidth="1"/>
    <col min="31" max="31" width="9.796875" bestFit="1" customWidth="1"/>
    <col min="32" max="32" width="11" bestFit="1" customWidth="1"/>
    <col min="33" max="33" width="22.796875" bestFit="1" customWidth="1"/>
    <col min="34" max="34" width="22.59765625" bestFit="1" customWidth="1"/>
    <col min="35" max="35" width="10.09765625" bestFit="1" customWidth="1"/>
    <col min="36" max="36" width="13.59765625" bestFit="1" customWidth="1"/>
    <col min="37" max="37" width="14.59765625" bestFit="1" customWidth="1"/>
    <col min="38" max="38" width="20.19921875" bestFit="1" customWidth="1"/>
    <col min="39" max="39" width="22.59765625" bestFit="1" customWidth="1"/>
    <col min="40" max="40" width="15.296875" bestFit="1" customWidth="1"/>
    <col min="41" max="41" width="16.5" bestFit="1" customWidth="1"/>
    <col min="42" max="42" width="24.09765625" bestFit="1" customWidth="1"/>
    <col min="43" max="43" width="12" bestFit="1" customWidth="1"/>
    <col min="44" max="44" width="15.796875" bestFit="1" customWidth="1"/>
  </cols>
  <sheetData>
    <row r="1" spans="1:21">
      <c r="A1" t="s">
        <v>33</v>
      </c>
      <c r="B1" t="s">
        <v>34</v>
      </c>
      <c r="C1" t="s">
        <v>35</v>
      </c>
      <c r="D1" t="s">
        <v>16</v>
      </c>
      <c r="E1" t="s">
        <v>1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2891</v>
      </c>
      <c r="S1" t="s">
        <v>2892</v>
      </c>
      <c r="T1" t="s">
        <v>2893</v>
      </c>
      <c r="U1" t="s">
        <v>2894</v>
      </c>
    </row>
    <row r="2" spans="1:21">
      <c r="A2" t="s">
        <v>48</v>
      </c>
      <c r="B2" s="7">
        <v>46082</v>
      </c>
      <c r="C2" s="8">
        <v>0.28392361111111108</v>
      </c>
      <c r="D2" t="s">
        <v>17</v>
      </c>
      <c r="E2" t="s">
        <v>2</v>
      </c>
      <c r="F2" t="s">
        <v>50</v>
      </c>
      <c r="G2" t="s">
        <v>51</v>
      </c>
      <c r="H2">
        <v>15.33</v>
      </c>
      <c r="I2" t="s">
        <v>52</v>
      </c>
      <c r="J2" t="s">
        <v>53</v>
      </c>
      <c r="K2" t="s">
        <v>54</v>
      </c>
      <c r="L2" t="s">
        <v>55</v>
      </c>
      <c r="O2" t="s">
        <v>56</v>
      </c>
      <c r="P2" t="s">
        <v>57</v>
      </c>
      <c r="Q2">
        <v>59705.599999999999</v>
      </c>
      <c r="R2">
        <v>-15.33</v>
      </c>
      <c r="S2" t="s">
        <v>2895</v>
      </c>
      <c r="T2" t="s">
        <v>2896</v>
      </c>
      <c r="U2" t="s">
        <v>2897</v>
      </c>
    </row>
    <row r="3" spans="1:21">
      <c r="A3" t="s">
        <v>58</v>
      </c>
      <c r="B3" s="7">
        <v>46082</v>
      </c>
      <c r="C3" s="8">
        <v>0.35934027777777777</v>
      </c>
      <c r="D3" t="s">
        <v>17</v>
      </c>
      <c r="E3" t="s">
        <v>2</v>
      </c>
      <c r="F3" t="s">
        <v>50</v>
      </c>
      <c r="G3" t="s">
        <v>51</v>
      </c>
      <c r="H3">
        <v>55.83</v>
      </c>
      <c r="I3" t="s">
        <v>52</v>
      </c>
      <c r="J3" t="s">
        <v>60</v>
      </c>
      <c r="K3" t="s">
        <v>54</v>
      </c>
      <c r="L3" t="s">
        <v>55</v>
      </c>
      <c r="O3" t="s">
        <v>61</v>
      </c>
      <c r="P3" t="s">
        <v>62</v>
      </c>
      <c r="Q3">
        <v>59831.99</v>
      </c>
      <c r="R3">
        <v>-55.83</v>
      </c>
      <c r="S3" t="s">
        <v>2895</v>
      </c>
      <c r="T3" t="s">
        <v>2896</v>
      </c>
      <c r="U3" t="s">
        <v>2897</v>
      </c>
    </row>
    <row r="4" spans="1:21">
      <c r="A4" t="s">
        <v>63</v>
      </c>
      <c r="B4" s="7">
        <v>46082</v>
      </c>
      <c r="C4" s="8">
        <v>0.51009259259259254</v>
      </c>
      <c r="D4" t="s">
        <v>17</v>
      </c>
      <c r="E4" t="s">
        <v>2</v>
      </c>
      <c r="F4" t="s">
        <v>50</v>
      </c>
      <c r="G4" t="s">
        <v>51</v>
      </c>
      <c r="H4">
        <v>21.78</v>
      </c>
      <c r="I4" t="s">
        <v>52</v>
      </c>
      <c r="J4" t="s">
        <v>65</v>
      </c>
      <c r="K4" t="s">
        <v>54</v>
      </c>
      <c r="L4" t="s">
        <v>55</v>
      </c>
      <c r="O4" t="s">
        <v>66</v>
      </c>
      <c r="P4" t="s">
        <v>67</v>
      </c>
      <c r="Q4">
        <v>59810.21</v>
      </c>
      <c r="R4">
        <v>-21.78</v>
      </c>
      <c r="S4" t="s">
        <v>2895</v>
      </c>
      <c r="T4" t="s">
        <v>2896</v>
      </c>
      <c r="U4" t="s">
        <v>2897</v>
      </c>
    </row>
    <row r="5" spans="1:21">
      <c r="A5" t="s">
        <v>68</v>
      </c>
      <c r="B5" s="7">
        <v>46082</v>
      </c>
      <c r="C5" s="8">
        <v>0.55148148148148146</v>
      </c>
      <c r="D5" t="s">
        <v>17</v>
      </c>
      <c r="E5" t="s">
        <v>2</v>
      </c>
      <c r="F5" t="s">
        <v>50</v>
      </c>
      <c r="G5" t="s">
        <v>51</v>
      </c>
      <c r="H5">
        <v>112.18</v>
      </c>
      <c r="I5" t="s">
        <v>52</v>
      </c>
      <c r="J5" t="s">
        <v>65</v>
      </c>
      <c r="K5" t="s">
        <v>54</v>
      </c>
      <c r="L5" t="s">
        <v>55</v>
      </c>
      <c r="O5" t="s">
        <v>66</v>
      </c>
      <c r="P5" t="s">
        <v>67</v>
      </c>
      <c r="Q5">
        <v>59887.82</v>
      </c>
      <c r="R5">
        <v>-112.18</v>
      </c>
      <c r="S5" t="s">
        <v>2895</v>
      </c>
      <c r="T5" t="s">
        <v>2896</v>
      </c>
      <c r="U5" t="s">
        <v>2897</v>
      </c>
    </row>
    <row r="6" spans="1:21">
      <c r="A6" t="s">
        <v>70</v>
      </c>
      <c r="B6" s="7">
        <v>46082</v>
      </c>
      <c r="C6" s="8">
        <v>0.6708912037037037</v>
      </c>
      <c r="D6" t="s">
        <v>17</v>
      </c>
      <c r="E6" t="s">
        <v>2</v>
      </c>
      <c r="F6" t="s">
        <v>50</v>
      </c>
      <c r="G6" t="s">
        <v>72</v>
      </c>
      <c r="H6">
        <v>44.88</v>
      </c>
      <c r="I6" t="s">
        <v>52</v>
      </c>
      <c r="J6" t="s">
        <v>73</v>
      </c>
      <c r="K6" t="s">
        <v>54</v>
      </c>
      <c r="L6" t="s">
        <v>74</v>
      </c>
      <c r="O6" t="s">
        <v>75</v>
      </c>
      <c r="P6" t="s">
        <v>76</v>
      </c>
      <c r="Q6">
        <v>59660.72</v>
      </c>
      <c r="R6">
        <v>-44.88</v>
      </c>
      <c r="S6" t="s">
        <v>2895</v>
      </c>
      <c r="T6" t="s">
        <v>2896</v>
      </c>
      <c r="U6" t="s">
        <v>2897</v>
      </c>
    </row>
    <row r="7" spans="1:21">
      <c r="A7" t="s">
        <v>77</v>
      </c>
      <c r="B7" s="7">
        <v>46082</v>
      </c>
      <c r="C7" s="8">
        <v>0.80171296296296302</v>
      </c>
      <c r="D7" t="s">
        <v>17</v>
      </c>
      <c r="E7" t="s">
        <v>2</v>
      </c>
      <c r="F7" t="s">
        <v>50</v>
      </c>
      <c r="G7" t="s">
        <v>51</v>
      </c>
      <c r="H7">
        <v>89.28</v>
      </c>
      <c r="I7" t="s">
        <v>52</v>
      </c>
      <c r="J7" t="s">
        <v>65</v>
      </c>
      <c r="K7" t="s">
        <v>54</v>
      </c>
      <c r="L7" t="s">
        <v>55</v>
      </c>
      <c r="O7" t="s">
        <v>66</v>
      </c>
      <c r="P7" t="s">
        <v>67</v>
      </c>
      <c r="Q7">
        <v>59720.93</v>
      </c>
      <c r="R7">
        <v>-89.28</v>
      </c>
      <c r="S7" t="s">
        <v>2895</v>
      </c>
      <c r="T7" t="s">
        <v>2896</v>
      </c>
      <c r="U7" t="s">
        <v>2897</v>
      </c>
    </row>
    <row r="8" spans="1:21">
      <c r="A8" t="s">
        <v>79</v>
      </c>
      <c r="B8" s="7">
        <v>46083</v>
      </c>
      <c r="C8" s="8">
        <v>0.32394675925925925</v>
      </c>
      <c r="D8" t="s">
        <v>17</v>
      </c>
      <c r="E8" t="s">
        <v>2</v>
      </c>
      <c r="F8" t="s">
        <v>50</v>
      </c>
      <c r="G8" t="s">
        <v>51</v>
      </c>
      <c r="H8">
        <v>39.39</v>
      </c>
      <c r="I8" t="s">
        <v>52</v>
      </c>
      <c r="J8" t="s">
        <v>81</v>
      </c>
      <c r="K8" t="s">
        <v>54</v>
      </c>
      <c r="L8" t="s">
        <v>55</v>
      </c>
      <c r="O8" t="s">
        <v>82</v>
      </c>
      <c r="P8" t="s">
        <v>83</v>
      </c>
      <c r="Q8">
        <v>59621.33</v>
      </c>
      <c r="R8">
        <v>-39.39</v>
      </c>
      <c r="S8" t="s">
        <v>2895</v>
      </c>
      <c r="T8" t="s">
        <v>2896</v>
      </c>
      <c r="U8" t="s">
        <v>2897</v>
      </c>
    </row>
    <row r="9" spans="1:21">
      <c r="A9" t="s">
        <v>84</v>
      </c>
      <c r="B9" s="7">
        <v>46083</v>
      </c>
      <c r="C9" s="8">
        <v>0.39186342592592593</v>
      </c>
      <c r="D9" t="s">
        <v>17</v>
      </c>
      <c r="E9" t="s">
        <v>2</v>
      </c>
      <c r="F9" t="s">
        <v>50</v>
      </c>
      <c r="G9" t="s">
        <v>51</v>
      </c>
      <c r="H9">
        <v>64.77</v>
      </c>
      <c r="I9" t="s">
        <v>52</v>
      </c>
      <c r="J9" t="s">
        <v>60</v>
      </c>
      <c r="K9" t="s">
        <v>54</v>
      </c>
      <c r="L9" t="s">
        <v>55</v>
      </c>
      <c r="O9" t="s">
        <v>61</v>
      </c>
      <c r="P9" t="s">
        <v>62</v>
      </c>
      <c r="Q9">
        <v>59504.79</v>
      </c>
      <c r="R9">
        <v>-64.77</v>
      </c>
      <c r="S9" t="s">
        <v>2895</v>
      </c>
      <c r="T9" t="s">
        <v>2896</v>
      </c>
      <c r="U9" t="s">
        <v>2897</v>
      </c>
    </row>
    <row r="10" spans="1:21">
      <c r="A10" t="s">
        <v>86</v>
      </c>
      <c r="B10" s="7">
        <v>46083</v>
      </c>
      <c r="C10" s="8">
        <v>0.48247685185185185</v>
      </c>
      <c r="D10" t="s">
        <v>17</v>
      </c>
      <c r="E10" t="s">
        <v>2</v>
      </c>
      <c r="F10" t="s">
        <v>50</v>
      </c>
      <c r="G10" t="s">
        <v>88</v>
      </c>
      <c r="H10">
        <v>160</v>
      </c>
      <c r="I10" t="s">
        <v>52</v>
      </c>
      <c r="J10" t="s">
        <v>89</v>
      </c>
      <c r="K10" t="s">
        <v>54</v>
      </c>
      <c r="L10" t="s">
        <v>90</v>
      </c>
      <c r="M10" t="s">
        <v>91</v>
      </c>
      <c r="N10" t="s">
        <v>12</v>
      </c>
      <c r="O10" t="s">
        <v>92</v>
      </c>
      <c r="P10" t="s">
        <v>93</v>
      </c>
      <c r="Q10">
        <v>59310.9</v>
      </c>
      <c r="R10">
        <v>-160</v>
      </c>
      <c r="S10" t="s">
        <v>2895</v>
      </c>
      <c r="T10" t="s">
        <v>2896</v>
      </c>
      <c r="U10" t="s">
        <v>2897</v>
      </c>
    </row>
    <row r="11" spans="1:21">
      <c r="A11" t="s">
        <v>94</v>
      </c>
      <c r="B11" s="7">
        <v>46083</v>
      </c>
      <c r="C11" s="8">
        <v>0.57590277777777776</v>
      </c>
      <c r="D11" t="s">
        <v>17</v>
      </c>
      <c r="E11" t="s">
        <v>2</v>
      </c>
      <c r="F11" t="s">
        <v>50</v>
      </c>
      <c r="G11" t="s">
        <v>51</v>
      </c>
      <c r="H11">
        <v>24.29</v>
      </c>
      <c r="I11" t="s">
        <v>52</v>
      </c>
      <c r="J11" t="s">
        <v>60</v>
      </c>
      <c r="K11" t="s">
        <v>54</v>
      </c>
      <c r="L11" t="s">
        <v>55</v>
      </c>
      <c r="O11" t="s">
        <v>61</v>
      </c>
      <c r="P11" t="s">
        <v>62</v>
      </c>
      <c r="Q11">
        <v>59569.56</v>
      </c>
      <c r="R11">
        <v>-24.29</v>
      </c>
      <c r="S11" t="s">
        <v>2895</v>
      </c>
      <c r="T11" t="s">
        <v>2896</v>
      </c>
      <c r="U11" t="s">
        <v>2897</v>
      </c>
    </row>
    <row r="12" spans="1:21">
      <c r="A12" t="s">
        <v>96</v>
      </c>
      <c r="B12" s="7">
        <v>46083</v>
      </c>
      <c r="C12" s="8">
        <v>0.61457175925925922</v>
      </c>
      <c r="D12" t="s">
        <v>17</v>
      </c>
      <c r="E12" t="s">
        <v>2</v>
      </c>
      <c r="F12" t="s">
        <v>50</v>
      </c>
      <c r="G12" t="s">
        <v>51</v>
      </c>
      <c r="H12">
        <v>18.89</v>
      </c>
      <c r="I12" t="s">
        <v>52</v>
      </c>
      <c r="J12" t="s">
        <v>81</v>
      </c>
      <c r="K12" t="s">
        <v>54</v>
      </c>
      <c r="L12" t="s">
        <v>55</v>
      </c>
      <c r="O12" t="s">
        <v>82</v>
      </c>
      <c r="P12" t="s">
        <v>83</v>
      </c>
      <c r="Q12">
        <v>59470.9</v>
      </c>
      <c r="R12">
        <v>-18.89</v>
      </c>
      <c r="S12" t="s">
        <v>2895</v>
      </c>
      <c r="T12" t="s">
        <v>2896</v>
      </c>
      <c r="U12" t="s">
        <v>2897</v>
      </c>
    </row>
    <row r="13" spans="1:21">
      <c r="A13" t="s">
        <v>98</v>
      </c>
      <c r="B13" s="7">
        <v>46083</v>
      </c>
      <c r="C13" s="8">
        <v>0.71554398148148146</v>
      </c>
      <c r="D13" t="s">
        <v>17</v>
      </c>
      <c r="E13" t="s">
        <v>2</v>
      </c>
      <c r="F13" t="s">
        <v>50</v>
      </c>
      <c r="G13" t="s">
        <v>100</v>
      </c>
      <c r="H13">
        <v>15</v>
      </c>
      <c r="I13" t="s">
        <v>52</v>
      </c>
      <c r="J13" t="s">
        <v>101</v>
      </c>
      <c r="K13" t="s">
        <v>54</v>
      </c>
      <c r="L13" t="s">
        <v>102</v>
      </c>
      <c r="O13" t="s">
        <v>103</v>
      </c>
      <c r="P13" t="s">
        <v>104</v>
      </c>
      <c r="Q13">
        <v>59489.79</v>
      </c>
      <c r="R13">
        <v>-15</v>
      </c>
      <c r="S13" t="s">
        <v>2895</v>
      </c>
      <c r="T13" t="s">
        <v>2896</v>
      </c>
      <c r="U13" t="s">
        <v>2897</v>
      </c>
    </row>
    <row r="14" spans="1:21">
      <c r="A14" t="s">
        <v>105</v>
      </c>
      <c r="B14" s="7">
        <v>46083</v>
      </c>
      <c r="C14" s="8">
        <v>0.72027777777777779</v>
      </c>
      <c r="D14" t="s">
        <v>17</v>
      </c>
      <c r="E14" t="s">
        <v>2</v>
      </c>
      <c r="F14" t="s">
        <v>50</v>
      </c>
      <c r="G14" t="s">
        <v>100</v>
      </c>
      <c r="H14">
        <v>1850</v>
      </c>
      <c r="I14" t="s">
        <v>52</v>
      </c>
      <c r="J14" t="s">
        <v>107</v>
      </c>
      <c r="K14" t="s">
        <v>54</v>
      </c>
      <c r="L14" t="s">
        <v>102</v>
      </c>
      <c r="O14" t="s">
        <v>108</v>
      </c>
      <c r="P14" t="s">
        <v>109</v>
      </c>
      <c r="Q14">
        <v>49199.23</v>
      </c>
      <c r="R14">
        <v>-1850</v>
      </c>
      <c r="S14" t="s">
        <v>2895</v>
      </c>
      <c r="T14" t="s">
        <v>2896</v>
      </c>
      <c r="U14" t="s">
        <v>2897</v>
      </c>
    </row>
    <row r="15" spans="1:21">
      <c r="A15" t="s">
        <v>110</v>
      </c>
      <c r="B15" s="7">
        <v>46083</v>
      </c>
      <c r="C15" s="8">
        <v>0.73347222222222219</v>
      </c>
      <c r="D15" t="s">
        <v>17</v>
      </c>
      <c r="E15" t="s">
        <v>2</v>
      </c>
      <c r="F15" t="s">
        <v>50</v>
      </c>
      <c r="G15" t="s">
        <v>51</v>
      </c>
      <c r="H15">
        <v>15.61</v>
      </c>
      <c r="I15" t="s">
        <v>52</v>
      </c>
      <c r="J15" t="s">
        <v>53</v>
      </c>
      <c r="K15" t="s">
        <v>54</v>
      </c>
      <c r="L15" t="s">
        <v>55</v>
      </c>
      <c r="O15" t="s">
        <v>56</v>
      </c>
      <c r="P15" t="s">
        <v>57</v>
      </c>
      <c r="Q15">
        <v>59593.85</v>
      </c>
      <c r="R15">
        <v>-15.61</v>
      </c>
      <c r="S15" t="s">
        <v>2895</v>
      </c>
      <c r="T15" t="s">
        <v>2896</v>
      </c>
      <c r="U15" t="s">
        <v>2897</v>
      </c>
    </row>
    <row r="16" spans="1:21">
      <c r="A16" t="s">
        <v>112</v>
      </c>
      <c r="B16" s="7">
        <v>46083</v>
      </c>
      <c r="C16" s="8">
        <v>0.75387731481481479</v>
      </c>
      <c r="D16" t="s">
        <v>17</v>
      </c>
      <c r="E16" t="s">
        <v>2</v>
      </c>
      <c r="F16" t="s">
        <v>50</v>
      </c>
      <c r="G16" t="s">
        <v>100</v>
      </c>
      <c r="H16">
        <v>11.87</v>
      </c>
      <c r="I16" t="s">
        <v>52</v>
      </c>
      <c r="J16" t="s">
        <v>114</v>
      </c>
      <c r="K16" t="s">
        <v>54</v>
      </c>
      <c r="L16" t="s">
        <v>102</v>
      </c>
      <c r="O16" t="s">
        <v>103</v>
      </c>
      <c r="P16" t="s">
        <v>104</v>
      </c>
      <c r="Q16">
        <v>59609.46</v>
      </c>
      <c r="R16">
        <v>-11.87</v>
      </c>
      <c r="S16" t="s">
        <v>2895</v>
      </c>
      <c r="T16" t="s">
        <v>2896</v>
      </c>
      <c r="U16" t="s">
        <v>2897</v>
      </c>
    </row>
    <row r="17" spans="1:21">
      <c r="A17" t="s">
        <v>115</v>
      </c>
      <c r="B17" s="7">
        <v>46084</v>
      </c>
      <c r="C17" s="8">
        <v>0.32731481481481484</v>
      </c>
      <c r="D17" t="s">
        <v>17</v>
      </c>
      <c r="E17" t="s">
        <v>2</v>
      </c>
      <c r="F17" t="s">
        <v>50</v>
      </c>
      <c r="G17" t="s">
        <v>51</v>
      </c>
      <c r="H17">
        <v>47.09</v>
      </c>
      <c r="I17" t="s">
        <v>52</v>
      </c>
      <c r="J17" t="s">
        <v>65</v>
      </c>
      <c r="K17" t="s">
        <v>54</v>
      </c>
      <c r="L17" t="s">
        <v>55</v>
      </c>
      <c r="O17" t="s">
        <v>66</v>
      </c>
      <c r="P17" t="s">
        <v>67</v>
      </c>
      <c r="Q17">
        <v>59224.03</v>
      </c>
      <c r="R17">
        <v>-47.09</v>
      </c>
      <c r="S17" t="s">
        <v>2895</v>
      </c>
      <c r="T17" t="s">
        <v>2896</v>
      </c>
      <c r="U17" t="s">
        <v>2897</v>
      </c>
    </row>
    <row r="18" spans="1:21">
      <c r="A18" t="s">
        <v>117</v>
      </c>
      <c r="B18" s="7">
        <v>46084</v>
      </c>
      <c r="C18" s="8">
        <v>0.42762731481481481</v>
      </c>
      <c r="D18" t="s">
        <v>17</v>
      </c>
      <c r="E18" t="s">
        <v>2</v>
      </c>
      <c r="F18" t="s">
        <v>50</v>
      </c>
      <c r="G18" t="s">
        <v>100</v>
      </c>
      <c r="H18">
        <v>15</v>
      </c>
      <c r="I18" t="s">
        <v>52</v>
      </c>
      <c r="J18" t="s">
        <v>101</v>
      </c>
      <c r="K18" t="s">
        <v>54</v>
      </c>
      <c r="L18" t="s">
        <v>102</v>
      </c>
      <c r="O18" t="s">
        <v>103</v>
      </c>
      <c r="P18" t="s">
        <v>104</v>
      </c>
      <c r="Q18">
        <v>59181.88</v>
      </c>
      <c r="R18">
        <v>-15</v>
      </c>
      <c r="S18" t="s">
        <v>2895</v>
      </c>
      <c r="T18" t="s">
        <v>2896</v>
      </c>
      <c r="U18" t="s">
        <v>2897</v>
      </c>
    </row>
    <row r="19" spans="1:21">
      <c r="A19" t="s">
        <v>119</v>
      </c>
      <c r="B19" s="7">
        <v>46084</v>
      </c>
      <c r="C19" s="8">
        <v>0.54069444444444448</v>
      </c>
      <c r="D19" t="s">
        <v>17</v>
      </c>
      <c r="E19" t="s">
        <v>2</v>
      </c>
      <c r="F19" t="s">
        <v>50</v>
      </c>
      <c r="G19" t="s">
        <v>51</v>
      </c>
      <c r="H19">
        <v>8.09</v>
      </c>
      <c r="I19" t="s">
        <v>52</v>
      </c>
      <c r="J19" t="s">
        <v>121</v>
      </c>
      <c r="K19" t="s">
        <v>54</v>
      </c>
      <c r="L19" t="s">
        <v>55</v>
      </c>
      <c r="O19" t="s">
        <v>122</v>
      </c>
      <c r="P19" t="s">
        <v>123</v>
      </c>
      <c r="Q19">
        <v>59215.94</v>
      </c>
      <c r="R19">
        <v>-8.09</v>
      </c>
      <c r="S19" t="s">
        <v>2895</v>
      </c>
      <c r="T19" t="s">
        <v>2896</v>
      </c>
      <c r="U19" t="s">
        <v>2897</v>
      </c>
    </row>
    <row r="20" spans="1:21">
      <c r="A20" t="s">
        <v>124</v>
      </c>
      <c r="B20" s="7">
        <v>46084</v>
      </c>
      <c r="C20" s="8">
        <v>0.62476851851851856</v>
      </c>
      <c r="D20" t="s">
        <v>17</v>
      </c>
      <c r="E20" t="s">
        <v>2</v>
      </c>
      <c r="F20" t="s">
        <v>50</v>
      </c>
      <c r="G20" t="s">
        <v>51</v>
      </c>
      <c r="H20">
        <v>26.49</v>
      </c>
      <c r="I20" t="s">
        <v>52</v>
      </c>
      <c r="J20" t="s">
        <v>126</v>
      </c>
      <c r="K20" t="s">
        <v>54</v>
      </c>
      <c r="L20" t="s">
        <v>55</v>
      </c>
      <c r="O20" t="s">
        <v>56</v>
      </c>
      <c r="P20" t="s">
        <v>57</v>
      </c>
      <c r="Q20">
        <v>59284.41</v>
      </c>
      <c r="R20">
        <v>-26.49</v>
      </c>
      <c r="S20" t="s">
        <v>2895</v>
      </c>
      <c r="T20" t="s">
        <v>2896</v>
      </c>
      <c r="U20" t="s">
        <v>2897</v>
      </c>
    </row>
    <row r="21" spans="1:21">
      <c r="A21" t="s">
        <v>127</v>
      </c>
      <c r="B21" s="7">
        <v>46084</v>
      </c>
      <c r="C21" s="8">
        <v>0.70403935185185185</v>
      </c>
      <c r="D21" t="s">
        <v>17</v>
      </c>
      <c r="E21" t="s">
        <v>2</v>
      </c>
      <c r="F21" t="s">
        <v>50</v>
      </c>
      <c r="G21" t="s">
        <v>100</v>
      </c>
      <c r="H21">
        <v>13.29</v>
      </c>
      <c r="I21" t="s">
        <v>52</v>
      </c>
      <c r="J21" t="s">
        <v>114</v>
      </c>
      <c r="K21" t="s">
        <v>54</v>
      </c>
      <c r="L21" t="s">
        <v>102</v>
      </c>
      <c r="O21" t="s">
        <v>103</v>
      </c>
      <c r="P21" t="s">
        <v>104</v>
      </c>
      <c r="Q21">
        <v>59271.12</v>
      </c>
      <c r="R21">
        <v>-13.29</v>
      </c>
      <c r="S21" t="s">
        <v>2895</v>
      </c>
      <c r="T21" t="s">
        <v>2896</v>
      </c>
      <c r="U21" t="s">
        <v>2897</v>
      </c>
    </row>
    <row r="22" spans="1:21">
      <c r="A22" t="s">
        <v>129</v>
      </c>
      <c r="B22" s="7">
        <v>46084</v>
      </c>
      <c r="C22" s="8">
        <v>0.89300925925925922</v>
      </c>
      <c r="D22" t="s">
        <v>17</v>
      </c>
      <c r="E22" t="s">
        <v>2</v>
      </c>
      <c r="F22" t="s">
        <v>50</v>
      </c>
      <c r="G22" t="s">
        <v>51</v>
      </c>
      <c r="H22">
        <v>19.059999999999999</v>
      </c>
      <c r="I22" t="s">
        <v>52</v>
      </c>
      <c r="J22" t="s">
        <v>81</v>
      </c>
      <c r="K22" t="s">
        <v>54</v>
      </c>
      <c r="L22" t="s">
        <v>55</v>
      </c>
      <c r="O22" t="s">
        <v>82</v>
      </c>
      <c r="P22" t="s">
        <v>83</v>
      </c>
      <c r="Q22">
        <v>59196.88</v>
      </c>
      <c r="R22">
        <v>-19.059999999999999</v>
      </c>
      <c r="S22" t="s">
        <v>2895</v>
      </c>
      <c r="T22" t="s">
        <v>2896</v>
      </c>
      <c r="U22" t="s">
        <v>2897</v>
      </c>
    </row>
    <row r="23" spans="1:21">
      <c r="A23" t="s">
        <v>131</v>
      </c>
      <c r="B23" s="7">
        <v>46085</v>
      </c>
      <c r="C23" s="8">
        <v>0.28039351851851851</v>
      </c>
      <c r="D23" t="s">
        <v>17</v>
      </c>
      <c r="E23" t="s">
        <v>2</v>
      </c>
      <c r="F23" t="s">
        <v>50</v>
      </c>
      <c r="G23" t="s">
        <v>100</v>
      </c>
      <c r="H23">
        <v>22.91</v>
      </c>
      <c r="I23" t="s">
        <v>52</v>
      </c>
      <c r="J23" t="s">
        <v>114</v>
      </c>
      <c r="K23" t="s">
        <v>54</v>
      </c>
      <c r="L23" t="s">
        <v>102</v>
      </c>
      <c r="O23" t="s">
        <v>103</v>
      </c>
      <c r="P23" t="s">
        <v>104</v>
      </c>
      <c r="Q23">
        <v>59039.37</v>
      </c>
      <c r="R23">
        <v>-22.91</v>
      </c>
      <c r="S23" t="s">
        <v>2895</v>
      </c>
      <c r="T23" t="s">
        <v>2896</v>
      </c>
      <c r="U23" t="s">
        <v>2897</v>
      </c>
    </row>
    <row r="24" spans="1:21">
      <c r="A24" t="s">
        <v>133</v>
      </c>
      <c r="B24" s="7">
        <v>46085</v>
      </c>
      <c r="C24" s="8">
        <v>0.38171296296296298</v>
      </c>
      <c r="D24" t="s">
        <v>17</v>
      </c>
      <c r="E24" t="s">
        <v>2</v>
      </c>
      <c r="F24" t="s">
        <v>50</v>
      </c>
      <c r="G24" t="s">
        <v>51</v>
      </c>
      <c r="H24">
        <v>59.79</v>
      </c>
      <c r="I24" t="s">
        <v>52</v>
      </c>
      <c r="J24" t="s">
        <v>60</v>
      </c>
      <c r="K24" t="s">
        <v>54</v>
      </c>
      <c r="L24" t="s">
        <v>55</v>
      </c>
      <c r="O24" t="s">
        <v>61</v>
      </c>
      <c r="P24" t="s">
        <v>62</v>
      </c>
      <c r="Q24">
        <v>59112.21</v>
      </c>
      <c r="R24">
        <v>-59.79</v>
      </c>
      <c r="S24" t="s">
        <v>2895</v>
      </c>
      <c r="T24" t="s">
        <v>2896</v>
      </c>
      <c r="U24" t="s">
        <v>2897</v>
      </c>
    </row>
    <row r="25" spans="1:21">
      <c r="A25" t="s">
        <v>135</v>
      </c>
      <c r="B25" s="7">
        <v>46085</v>
      </c>
      <c r="C25" s="8">
        <v>0.4392476851851852</v>
      </c>
      <c r="D25" t="s">
        <v>17</v>
      </c>
      <c r="E25" t="s">
        <v>2</v>
      </c>
      <c r="F25" t="s">
        <v>50</v>
      </c>
      <c r="G25" t="s">
        <v>51</v>
      </c>
      <c r="H25">
        <v>9.8800000000000008</v>
      </c>
      <c r="I25" t="s">
        <v>52</v>
      </c>
      <c r="J25" t="s">
        <v>121</v>
      </c>
      <c r="K25" t="s">
        <v>54</v>
      </c>
      <c r="L25" t="s">
        <v>55</v>
      </c>
      <c r="O25" t="s">
        <v>122</v>
      </c>
      <c r="P25" t="s">
        <v>123</v>
      </c>
      <c r="Q25">
        <v>59172</v>
      </c>
      <c r="R25">
        <v>-9.8800000000000008</v>
      </c>
      <c r="S25" t="s">
        <v>2895</v>
      </c>
      <c r="T25" t="s">
        <v>2896</v>
      </c>
      <c r="U25" t="s">
        <v>2897</v>
      </c>
    </row>
    <row r="26" spans="1:21">
      <c r="A26" t="s">
        <v>137</v>
      </c>
      <c r="B26" s="7">
        <v>46085</v>
      </c>
      <c r="C26" s="8">
        <v>0.60611111111111116</v>
      </c>
      <c r="D26" t="s">
        <v>17</v>
      </c>
      <c r="E26" t="s">
        <v>2</v>
      </c>
      <c r="F26" t="s">
        <v>50</v>
      </c>
      <c r="G26" t="s">
        <v>51</v>
      </c>
      <c r="H26">
        <v>139.13</v>
      </c>
      <c r="I26" t="s">
        <v>52</v>
      </c>
      <c r="J26" t="s">
        <v>65</v>
      </c>
      <c r="K26" t="s">
        <v>54</v>
      </c>
      <c r="L26" t="s">
        <v>55</v>
      </c>
      <c r="O26" t="s">
        <v>66</v>
      </c>
      <c r="P26" t="s">
        <v>67</v>
      </c>
      <c r="Q26">
        <v>58830.35</v>
      </c>
      <c r="R26">
        <v>-139.13</v>
      </c>
      <c r="S26" t="s">
        <v>2895</v>
      </c>
      <c r="T26" t="s">
        <v>2896</v>
      </c>
      <c r="U26" t="s">
        <v>2897</v>
      </c>
    </row>
    <row r="27" spans="1:21">
      <c r="A27" t="s">
        <v>139</v>
      </c>
      <c r="B27" s="7">
        <v>46085</v>
      </c>
      <c r="C27" s="8">
        <v>0.61783564814814818</v>
      </c>
      <c r="D27" t="s">
        <v>17</v>
      </c>
      <c r="E27" t="s">
        <v>2</v>
      </c>
      <c r="F27" t="s">
        <v>50</v>
      </c>
      <c r="G27" t="s">
        <v>51</v>
      </c>
      <c r="H27">
        <v>56.09</v>
      </c>
      <c r="I27" t="s">
        <v>52</v>
      </c>
      <c r="J27" t="s">
        <v>60</v>
      </c>
      <c r="K27" t="s">
        <v>54</v>
      </c>
      <c r="L27" t="s">
        <v>55</v>
      </c>
      <c r="O27" t="s">
        <v>61</v>
      </c>
      <c r="P27" t="s">
        <v>62</v>
      </c>
      <c r="Q27">
        <v>58983.28</v>
      </c>
      <c r="R27">
        <v>-56.09</v>
      </c>
      <c r="S27" t="s">
        <v>2895</v>
      </c>
      <c r="T27" t="s">
        <v>2896</v>
      </c>
      <c r="U27" t="s">
        <v>2897</v>
      </c>
    </row>
    <row r="28" spans="1:21">
      <c r="A28" t="s">
        <v>141</v>
      </c>
      <c r="B28" s="7">
        <v>46085</v>
      </c>
      <c r="C28" s="8">
        <v>0.79894675925925929</v>
      </c>
      <c r="D28" t="s">
        <v>17</v>
      </c>
      <c r="E28" t="s">
        <v>2</v>
      </c>
      <c r="F28" t="s">
        <v>50</v>
      </c>
      <c r="G28" t="s">
        <v>51</v>
      </c>
      <c r="H28">
        <v>13.8</v>
      </c>
      <c r="I28" t="s">
        <v>52</v>
      </c>
      <c r="J28" t="s">
        <v>81</v>
      </c>
      <c r="K28" t="s">
        <v>54</v>
      </c>
      <c r="L28" t="s">
        <v>55</v>
      </c>
      <c r="O28" t="s">
        <v>82</v>
      </c>
      <c r="P28" t="s">
        <v>83</v>
      </c>
      <c r="Q28">
        <v>58969.48</v>
      </c>
      <c r="R28">
        <v>-13.8</v>
      </c>
      <c r="S28" t="s">
        <v>2895</v>
      </c>
      <c r="T28" t="s">
        <v>2896</v>
      </c>
      <c r="U28" t="s">
        <v>2897</v>
      </c>
    </row>
    <row r="29" spans="1:21">
      <c r="A29" t="s">
        <v>143</v>
      </c>
      <c r="B29" s="7">
        <v>46085</v>
      </c>
      <c r="C29" s="8">
        <v>0.8181018518518518</v>
      </c>
      <c r="D29" t="s">
        <v>17</v>
      </c>
      <c r="E29" t="s">
        <v>2</v>
      </c>
      <c r="F29" t="s">
        <v>50</v>
      </c>
      <c r="G29" t="s">
        <v>51</v>
      </c>
      <c r="H29">
        <v>39.68</v>
      </c>
      <c r="I29" t="s">
        <v>52</v>
      </c>
      <c r="J29" t="s">
        <v>126</v>
      </c>
      <c r="K29" t="s">
        <v>54</v>
      </c>
      <c r="L29" t="s">
        <v>55</v>
      </c>
      <c r="O29" t="s">
        <v>56</v>
      </c>
      <c r="P29" t="s">
        <v>57</v>
      </c>
      <c r="Q29">
        <v>59072.53</v>
      </c>
      <c r="R29">
        <v>-39.68</v>
      </c>
      <c r="S29" t="s">
        <v>2895</v>
      </c>
      <c r="T29" t="s">
        <v>2896</v>
      </c>
      <c r="U29" t="s">
        <v>2897</v>
      </c>
    </row>
    <row r="30" spans="1:21">
      <c r="A30" t="s">
        <v>145</v>
      </c>
      <c r="B30" s="7">
        <v>46085</v>
      </c>
      <c r="C30" s="8">
        <v>0.85643518518518513</v>
      </c>
      <c r="D30" t="s">
        <v>17</v>
      </c>
      <c r="E30" t="s">
        <v>2</v>
      </c>
      <c r="F30" t="s">
        <v>50</v>
      </c>
      <c r="G30" t="s">
        <v>51</v>
      </c>
      <c r="H30">
        <v>10.25</v>
      </c>
      <c r="I30" t="s">
        <v>52</v>
      </c>
      <c r="J30" t="s">
        <v>121</v>
      </c>
      <c r="K30" t="s">
        <v>54</v>
      </c>
      <c r="L30" t="s">
        <v>55</v>
      </c>
      <c r="O30" t="s">
        <v>122</v>
      </c>
      <c r="P30" t="s">
        <v>123</v>
      </c>
      <c r="Q30">
        <v>59062.28</v>
      </c>
      <c r="R30">
        <v>-10.25</v>
      </c>
      <c r="S30" t="s">
        <v>2895</v>
      </c>
      <c r="T30" t="s">
        <v>2896</v>
      </c>
      <c r="U30" t="s">
        <v>2897</v>
      </c>
    </row>
    <row r="31" spans="1:21">
      <c r="A31" t="s">
        <v>147</v>
      </c>
      <c r="B31" s="7">
        <v>46085</v>
      </c>
      <c r="C31" s="8">
        <v>0.94319444444444445</v>
      </c>
      <c r="D31" t="s">
        <v>17</v>
      </c>
      <c r="E31" t="s">
        <v>2</v>
      </c>
      <c r="F31" t="s">
        <v>149</v>
      </c>
      <c r="G31" t="s">
        <v>72</v>
      </c>
      <c r="H31">
        <v>67.75</v>
      </c>
      <c r="I31" t="s">
        <v>52</v>
      </c>
      <c r="J31" t="s">
        <v>150</v>
      </c>
      <c r="K31" t="s">
        <v>54</v>
      </c>
      <c r="L31" t="s">
        <v>74</v>
      </c>
      <c r="O31" t="s">
        <v>75</v>
      </c>
      <c r="P31" t="s">
        <v>76</v>
      </c>
      <c r="Q31">
        <v>58898.1</v>
      </c>
      <c r="R31">
        <v>67.75</v>
      </c>
      <c r="S31" t="s">
        <v>2895</v>
      </c>
      <c r="T31" t="s">
        <v>2896</v>
      </c>
      <c r="U31" t="s">
        <v>2897</v>
      </c>
    </row>
    <row r="32" spans="1:21">
      <c r="A32" t="s">
        <v>151</v>
      </c>
      <c r="B32" s="7">
        <v>46086</v>
      </c>
      <c r="C32" s="8">
        <v>0.41623842592592591</v>
      </c>
      <c r="D32" t="s">
        <v>17</v>
      </c>
      <c r="E32" t="s">
        <v>2</v>
      </c>
      <c r="F32" t="s">
        <v>50</v>
      </c>
      <c r="G32" t="s">
        <v>51</v>
      </c>
      <c r="H32">
        <v>33.409999999999997</v>
      </c>
      <c r="I32" t="s">
        <v>52</v>
      </c>
      <c r="J32" t="s">
        <v>81</v>
      </c>
      <c r="K32" t="s">
        <v>54</v>
      </c>
      <c r="L32" t="s">
        <v>55</v>
      </c>
      <c r="O32" t="s">
        <v>82</v>
      </c>
      <c r="P32" t="s">
        <v>83</v>
      </c>
      <c r="Q32">
        <v>58840.39</v>
      </c>
      <c r="R32">
        <v>-33.409999999999997</v>
      </c>
      <c r="S32" t="s">
        <v>2895</v>
      </c>
      <c r="T32" t="s">
        <v>2896</v>
      </c>
      <c r="U32" t="s">
        <v>2897</v>
      </c>
    </row>
    <row r="33" spans="1:21">
      <c r="A33" t="s">
        <v>153</v>
      </c>
      <c r="B33" s="7">
        <v>46086</v>
      </c>
      <c r="C33" s="8">
        <v>0.44618055555555558</v>
      </c>
      <c r="D33" t="s">
        <v>17</v>
      </c>
      <c r="E33" t="s">
        <v>2</v>
      </c>
      <c r="F33" t="s">
        <v>50</v>
      </c>
      <c r="G33" t="s">
        <v>100</v>
      </c>
      <c r="H33">
        <v>21.49</v>
      </c>
      <c r="I33" t="s">
        <v>52</v>
      </c>
      <c r="J33" t="s">
        <v>114</v>
      </c>
      <c r="K33" t="s">
        <v>54</v>
      </c>
      <c r="L33" t="s">
        <v>102</v>
      </c>
      <c r="O33" t="s">
        <v>103</v>
      </c>
      <c r="P33" t="s">
        <v>104</v>
      </c>
      <c r="Q33">
        <v>58785.27</v>
      </c>
      <c r="R33">
        <v>-21.49</v>
      </c>
      <c r="S33" t="s">
        <v>2895</v>
      </c>
      <c r="T33" t="s">
        <v>2896</v>
      </c>
      <c r="U33" t="s">
        <v>2897</v>
      </c>
    </row>
    <row r="34" spans="1:21">
      <c r="A34" t="s">
        <v>155</v>
      </c>
      <c r="B34" s="7">
        <v>46086</v>
      </c>
      <c r="C34" s="8">
        <v>0.58097222222222222</v>
      </c>
      <c r="D34" t="s">
        <v>17</v>
      </c>
      <c r="E34" t="s">
        <v>2</v>
      </c>
      <c r="F34" t="s">
        <v>50</v>
      </c>
      <c r="G34" t="s">
        <v>51</v>
      </c>
      <c r="H34">
        <v>7.35</v>
      </c>
      <c r="I34" t="s">
        <v>52</v>
      </c>
      <c r="J34" t="s">
        <v>53</v>
      </c>
      <c r="K34" t="s">
        <v>54</v>
      </c>
      <c r="L34" t="s">
        <v>55</v>
      </c>
      <c r="O34" t="s">
        <v>56</v>
      </c>
      <c r="P34" t="s">
        <v>57</v>
      </c>
      <c r="Q34">
        <v>58833.04</v>
      </c>
      <c r="R34">
        <v>-7.35</v>
      </c>
      <c r="S34" t="s">
        <v>2895</v>
      </c>
      <c r="T34" t="s">
        <v>2896</v>
      </c>
      <c r="U34" t="s">
        <v>2897</v>
      </c>
    </row>
    <row r="35" spans="1:21">
      <c r="A35" t="s">
        <v>157</v>
      </c>
      <c r="B35" s="7">
        <v>46086</v>
      </c>
      <c r="C35" s="8">
        <v>0.91115740740740736</v>
      </c>
      <c r="D35" t="s">
        <v>17</v>
      </c>
      <c r="E35" t="s">
        <v>2</v>
      </c>
      <c r="F35" t="s">
        <v>50</v>
      </c>
      <c r="G35" t="s">
        <v>51</v>
      </c>
      <c r="H35">
        <v>26.28</v>
      </c>
      <c r="I35" t="s">
        <v>52</v>
      </c>
      <c r="J35" t="s">
        <v>60</v>
      </c>
      <c r="K35" t="s">
        <v>54</v>
      </c>
      <c r="L35" t="s">
        <v>55</v>
      </c>
      <c r="O35" t="s">
        <v>61</v>
      </c>
      <c r="P35" t="s">
        <v>62</v>
      </c>
      <c r="Q35">
        <v>58806.76</v>
      </c>
      <c r="R35">
        <v>-26.28</v>
      </c>
      <c r="S35" t="s">
        <v>2895</v>
      </c>
      <c r="T35" t="s">
        <v>2896</v>
      </c>
      <c r="U35" t="s">
        <v>2897</v>
      </c>
    </row>
    <row r="36" spans="1:21">
      <c r="A36" t="s">
        <v>159</v>
      </c>
      <c r="B36" s="7">
        <v>46086</v>
      </c>
      <c r="C36" s="8">
        <v>0.95530092592592597</v>
      </c>
      <c r="D36" t="s">
        <v>17</v>
      </c>
      <c r="E36" t="s">
        <v>2</v>
      </c>
      <c r="F36" t="s">
        <v>50</v>
      </c>
      <c r="G36" t="s">
        <v>100</v>
      </c>
      <c r="H36">
        <v>12.48</v>
      </c>
      <c r="I36" t="s">
        <v>52</v>
      </c>
      <c r="J36" t="s">
        <v>114</v>
      </c>
      <c r="K36" t="s">
        <v>54</v>
      </c>
      <c r="L36" t="s">
        <v>102</v>
      </c>
      <c r="O36" t="s">
        <v>103</v>
      </c>
      <c r="P36" t="s">
        <v>104</v>
      </c>
      <c r="Q36">
        <v>58772.79</v>
      </c>
      <c r="R36">
        <v>-12.48</v>
      </c>
      <c r="S36" t="s">
        <v>2895</v>
      </c>
      <c r="T36" t="s">
        <v>2896</v>
      </c>
      <c r="U36" t="s">
        <v>2897</v>
      </c>
    </row>
    <row r="37" spans="1:21">
      <c r="A37" t="s">
        <v>161</v>
      </c>
      <c r="B37" s="7">
        <v>46086</v>
      </c>
      <c r="C37" s="8">
        <v>0.95694444444444449</v>
      </c>
      <c r="D37" t="s">
        <v>17</v>
      </c>
      <c r="E37" t="s">
        <v>2</v>
      </c>
      <c r="F37" t="s">
        <v>50</v>
      </c>
      <c r="G37" t="s">
        <v>100</v>
      </c>
      <c r="H37">
        <v>24.3</v>
      </c>
      <c r="I37" t="s">
        <v>52</v>
      </c>
      <c r="J37" t="s">
        <v>114</v>
      </c>
      <c r="K37" t="s">
        <v>54</v>
      </c>
      <c r="L37" t="s">
        <v>102</v>
      </c>
      <c r="O37" t="s">
        <v>103</v>
      </c>
      <c r="P37" t="s">
        <v>104</v>
      </c>
      <c r="Q37">
        <v>58873.8</v>
      </c>
      <c r="R37">
        <v>-24.3</v>
      </c>
      <c r="S37" t="s">
        <v>2895</v>
      </c>
      <c r="T37" t="s">
        <v>2896</v>
      </c>
      <c r="U37" t="s">
        <v>2897</v>
      </c>
    </row>
    <row r="38" spans="1:21">
      <c r="A38" t="s">
        <v>163</v>
      </c>
      <c r="B38" s="7">
        <v>46087</v>
      </c>
      <c r="C38" s="8">
        <v>0.30143518518518519</v>
      </c>
      <c r="D38" t="s">
        <v>17</v>
      </c>
      <c r="E38" t="s">
        <v>2</v>
      </c>
      <c r="F38" t="s">
        <v>50</v>
      </c>
      <c r="G38" t="s">
        <v>51</v>
      </c>
      <c r="H38">
        <v>27.02</v>
      </c>
      <c r="I38" t="s">
        <v>52</v>
      </c>
      <c r="J38" t="s">
        <v>65</v>
      </c>
      <c r="K38" t="s">
        <v>54</v>
      </c>
      <c r="L38" t="s">
        <v>55</v>
      </c>
      <c r="O38" t="s">
        <v>66</v>
      </c>
      <c r="P38" t="s">
        <v>67</v>
      </c>
      <c r="Q38">
        <v>58710.32</v>
      </c>
      <c r="R38">
        <v>-27.02</v>
      </c>
      <c r="S38" t="s">
        <v>2895</v>
      </c>
      <c r="T38" t="s">
        <v>2896</v>
      </c>
      <c r="U38" t="s">
        <v>2897</v>
      </c>
    </row>
    <row r="39" spans="1:21">
      <c r="A39" t="s">
        <v>165</v>
      </c>
      <c r="B39" s="7">
        <v>46087</v>
      </c>
      <c r="C39" s="8">
        <v>0.35572916666666665</v>
      </c>
      <c r="D39" t="s">
        <v>17</v>
      </c>
      <c r="E39" t="s">
        <v>2</v>
      </c>
      <c r="F39" t="s">
        <v>50</v>
      </c>
      <c r="G39" t="s">
        <v>51</v>
      </c>
      <c r="H39">
        <v>127.17</v>
      </c>
      <c r="I39" t="s">
        <v>52</v>
      </c>
      <c r="J39" t="s">
        <v>65</v>
      </c>
      <c r="K39" t="s">
        <v>54</v>
      </c>
      <c r="L39" t="s">
        <v>55</v>
      </c>
      <c r="O39" t="s">
        <v>66</v>
      </c>
      <c r="P39" t="s">
        <v>67</v>
      </c>
      <c r="Q39">
        <v>58583.15</v>
      </c>
      <c r="R39">
        <v>-127.17</v>
      </c>
      <c r="S39" t="s">
        <v>2895</v>
      </c>
      <c r="T39" t="s">
        <v>2896</v>
      </c>
      <c r="U39" t="s">
        <v>2897</v>
      </c>
    </row>
    <row r="40" spans="1:21">
      <c r="A40" t="s">
        <v>167</v>
      </c>
      <c r="B40" s="7">
        <v>46087</v>
      </c>
      <c r="C40" s="8">
        <v>0.52370370370370367</v>
      </c>
      <c r="D40" t="s">
        <v>17</v>
      </c>
      <c r="E40" t="s">
        <v>2</v>
      </c>
      <c r="F40" t="s">
        <v>50</v>
      </c>
      <c r="G40" t="s">
        <v>51</v>
      </c>
      <c r="H40">
        <v>13.37</v>
      </c>
      <c r="I40" t="s">
        <v>52</v>
      </c>
      <c r="J40" t="s">
        <v>53</v>
      </c>
      <c r="K40" t="s">
        <v>54</v>
      </c>
      <c r="L40" t="s">
        <v>55</v>
      </c>
      <c r="O40" t="s">
        <v>56</v>
      </c>
      <c r="P40" t="s">
        <v>57</v>
      </c>
      <c r="Q40">
        <v>58569.78</v>
      </c>
      <c r="R40">
        <v>-13.37</v>
      </c>
      <c r="S40" t="s">
        <v>2895</v>
      </c>
      <c r="T40" t="s">
        <v>2896</v>
      </c>
      <c r="U40" t="s">
        <v>2897</v>
      </c>
    </row>
    <row r="41" spans="1:21">
      <c r="A41" t="s">
        <v>169</v>
      </c>
      <c r="B41" s="7">
        <v>46087</v>
      </c>
      <c r="C41" s="8">
        <v>0.55143518518518519</v>
      </c>
      <c r="D41" t="s">
        <v>17</v>
      </c>
      <c r="E41" t="s">
        <v>2</v>
      </c>
      <c r="F41" t="s">
        <v>50</v>
      </c>
      <c r="G41" t="s">
        <v>100</v>
      </c>
      <c r="H41">
        <v>16.77</v>
      </c>
      <c r="I41" t="s">
        <v>52</v>
      </c>
      <c r="J41" t="s">
        <v>114</v>
      </c>
      <c r="K41" t="s">
        <v>54</v>
      </c>
      <c r="L41" t="s">
        <v>102</v>
      </c>
      <c r="O41" t="s">
        <v>103</v>
      </c>
      <c r="P41" t="s">
        <v>104</v>
      </c>
      <c r="Q41">
        <v>58746.43</v>
      </c>
      <c r="R41">
        <v>-16.77</v>
      </c>
      <c r="S41" t="s">
        <v>2895</v>
      </c>
      <c r="T41" t="s">
        <v>2896</v>
      </c>
      <c r="U41" t="s">
        <v>2897</v>
      </c>
    </row>
    <row r="42" spans="1:21">
      <c r="A42" t="s">
        <v>171</v>
      </c>
      <c r="B42" s="7">
        <v>46087</v>
      </c>
      <c r="C42" s="8">
        <v>0.56752314814814819</v>
      </c>
      <c r="D42" t="s">
        <v>17</v>
      </c>
      <c r="E42" t="s">
        <v>2</v>
      </c>
      <c r="F42" t="s">
        <v>50</v>
      </c>
      <c r="G42" t="s">
        <v>51</v>
      </c>
      <c r="H42">
        <v>9.09</v>
      </c>
      <c r="I42" t="s">
        <v>52</v>
      </c>
      <c r="J42" t="s">
        <v>81</v>
      </c>
      <c r="K42" t="s">
        <v>54</v>
      </c>
      <c r="L42" t="s">
        <v>55</v>
      </c>
      <c r="O42" t="s">
        <v>82</v>
      </c>
      <c r="P42" t="s">
        <v>83</v>
      </c>
      <c r="Q42">
        <v>58737.34</v>
      </c>
      <c r="R42">
        <v>-9.09</v>
      </c>
      <c r="S42" t="s">
        <v>2895</v>
      </c>
      <c r="T42" t="s">
        <v>2896</v>
      </c>
      <c r="U42" t="s">
        <v>2897</v>
      </c>
    </row>
    <row r="43" spans="1:21">
      <c r="A43" t="s">
        <v>173</v>
      </c>
      <c r="B43" s="7">
        <v>46087</v>
      </c>
      <c r="C43" s="8">
        <v>0.72843749999999996</v>
      </c>
      <c r="D43" t="s">
        <v>17</v>
      </c>
      <c r="E43" t="s">
        <v>2</v>
      </c>
      <c r="F43" t="s">
        <v>50</v>
      </c>
      <c r="G43" t="s">
        <v>51</v>
      </c>
      <c r="H43">
        <v>9.59</v>
      </c>
      <c r="I43" t="s">
        <v>52</v>
      </c>
      <c r="J43" t="s">
        <v>53</v>
      </c>
      <c r="K43" t="s">
        <v>54</v>
      </c>
      <c r="L43" t="s">
        <v>55</v>
      </c>
      <c r="O43" t="s">
        <v>56</v>
      </c>
      <c r="P43" t="s">
        <v>57</v>
      </c>
      <c r="Q43">
        <v>58763.199999999997</v>
      </c>
      <c r="R43">
        <v>-9.59</v>
      </c>
      <c r="S43" t="s">
        <v>2895</v>
      </c>
      <c r="T43" t="s">
        <v>2896</v>
      </c>
      <c r="U43" t="s">
        <v>2897</v>
      </c>
    </row>
    <row r="44" spans="1:21">
      <c r="A44" t="s">
        <v>175</v>
      </c>
      <c r="B44" s="7">
        <v>46088</v>
      </c>
      <c r="C44" s="8">
        <v>0.30356481481481479</v>
      </c>
      <c r="D44" t="s">
        <v>17</v>
      </c>
      <c r="E44" t="s">
        <v>2</v>
      </c>
      <c r="F44" t="s">
        <v>50</v>
      </c>
      <c r="G44" t="s">
        <v>100</v>
      </c>
      <c r="H44">
        <v>120.18</v>
      </c>
      <c r="I44" t="s">
        <v>52</v>
      </c>
      <c r="J44" t="s">
        <v>177</v>
      </c>
      <c r="K44" t="s">
        <v>54</v>
      </c>
      <c r="L44" t="s">
        <v>102</v>
      </c>
      <c r="O44" t="s">
        <v>178</v>
      </c>
      <c r="P44" t="s">
        <v>179</v>
      </c>
      <c r="Q44">
        <v>49079.05</v>
      </c>
      <c r="R44">
        <v>-120.18</v>
      </c>
      <c r="S44" t="s">
        <v>2895</v>
      </c>
      <c r="T44" t="s">
        <v>2896</v>
      </c>
      <c r="U44" t="s">
        <v>2897</v>
      </c>
    </row>
    <row r="45" spans="1:21">
      <c r="A45" t="s">
        <v>180</v>
      </c>
      <c r="B45" s="7">
        <v>46088</v>
      </c>
      <c r="C45" s="8">
        <v>0.32200231481481484</v>
      </c>
      <c r="D45" t="s">
        <v>17</v>
      </c>
      <c r="E45" t="s">
        <v>2</v>
      </c>
      <c r="F45" t="s">
        <v>50</v>
      </c>
      <c r="G45" t="s">
        <v>100</v>
      </c>
      <c r="H45">
        <v>15</v>
      </c>
      <c r="I45" t="s">
        <v>52</v>
      </c>
      <c r="J45" t="s">
        <v>101</v>
      </c>
      <c r="K45" t="s">
        <v>54</v>
      </c>
      <c r="L45" t="s">
        <v>102</v>
      </c>
      <c r="O45" t="s">
        <v>103</v>
      </c>
      <c r="P45" t="s">
        <v>104</v>
      </c>
      <c r="Q45">
        <v>58348.17</v>
      </c>
      <c r="R45">
        <v>-15</v>
      </c>
      <c r="S45" t="s">
        <v>2895</v>
      </c>
      <c r="T45" t="s">
        <v>2896</v>
      </c>
      <c r="U45" t="s">
        <v>2897</v>
      </c>
    </row>
    <row r="46" spans="1:21">
      <c r="A46" t="s">
        <v>182</v>
      </c>
      <c r="B46" s="7">
        <v>46088</v>
      </c>
      <c r="C46" s="8">
        <v>0.37486111111111109</v>
      </c>
      <c r="D46" t="s">
        <v>17</v>
      </c>
      <c r="E46" t="s">
        <v>2</v>
      </c>
      <c r="F46" t="s">
        <v>50</v>
      </c>
      <c r="G46" t="s">
        <v>100</v>
      </c>
      <c r="H46">
        <v>22.54</v>
      </c>
      <c r="I46" t="s">
        <v>52</v>
      </c>
      <c r="J46" t="s">
        <v>114</v>
      </c>
      <c r="K46" t="s">
        <v>54</v>
      </c>
      <c r="L46" t="s">
        <v>102</v>
      </c>
      <c r="O46" t="s">
        <v>103</v>
      </c>
      <c r="P46" t="s">
        <v>104</v>
      </c>
      <c r="Q46">
        <v>58197.13</v>
      </c>
      <c r="R46">
        <v>-22.54</v>
      </c>
      <c r="S46" t="s">
        <v>2895</v>
      </c>
      <c r="T46" t="s">
        <v>2896</v>
      </c>
      <c r="U46" t="s">
        <v>2897</v>
      </c>
    </row>
    <row r="47" spans="1:21">
      <c r="A47" t="s">
        <v>184</v>
      </c>
      <c r="B47" s="7">
        <v>46088</v>
      </c>
      <c r="C47" s="8">
        <v>0.37755787037037036</v>
      </c>
      <c r="D47" t="s">
        <v>17</v>
      </c>
      <c r="E47" t="s">
        <v>2</v>
      </c>
      <c r="F47" t="s">
        <v>50</v>
      </c>
      <c r="G47" t="s">
        <v>51</v>
      </c>
      <c r="H47">
        <v>44.16</v>
      </c>
      <c r="I47" t="s">
        <v>52</v>
      </c>
      <c r="J47" t="s">
        <v>60</v>
      </c>
      <c r="K47" t="s">
        <v>54</v>
      </c>
      <c r="L47" t="s">
        <v>55</v>
      </c>
      <c r="O47" t="s">
        <v>61</v>
      </c>
      <c r="P47" t="s">
        <v>62</v>
      </c>
      <c r="Q47">
        <v>58219.67</v>
      </c>
      <c r="R47">
        <v>-44.16</v>
      </c>
      <c r="S47" t="s">
        <v>2895</v>
      </c>
      <c r="T47" t="s">
        <v>2896</v>
      </c>
      <c r="U47" t="s">
        <v>2897</v>
      </c>
    </row>
    <row r="48" spans="1:21">
      <c r="A48" t="s">
        <v>186</v>
      </c>
      <c r="B48" s="7">
        <v>46088</v>
      </c>
      <c r="C48" s="8">
        <v>0.52393518518518523</v>
      </c>
      <c r="D48" t="s">
        <v>17</v>
      </c>
      <c r="E48" t="s">
        <v>2</v>
      </c>
      <c r="F48" t="s">
        <v>50</v>
      </c>
      <c r="G48" t="s">
        <v>51</v>
      </c>
      <c r="H48">
        <v>34.43</v>
      </c>
      <c r="I48" t="s">
        <v>52</v>
      </c>
      <c r="J48" t="s">
        <v>60</v>
      </c>
      <c r="K48" t="s">
        <v>54</v>
      </c>
      <c r="L48" t="s">
        <v>55</v>
      </c>
      <c r="O48" t="s">
        <v>61</v>
      </c>
      <c r="P48" t="s">
        <v>62</v>
      </c>
      <c r="Q48">
        <v>58288.71</v>
      </c>
      <c r="R48">
        <v>-34.43</v>
      </c>
      <c r="S48" t="s">
        <v>2895</v>
      </c>
      <c r="T48" t="s">
        <v>2896</v>
      </c>
      <c r="U48" t="s">
        <v>2897</v>
      </c>
    </row>
    <row r="49" spans="1:21">
      <c r="A49" t="s">
        <v>188</v>
      </c>
      <c r="B49" s="7">
        <v>46088</v>
      </c>
      <c r="C49" s="8">
        <v>0.60364583333333333</v>
      </c>
      <c r="D49" t="s">
        <v>17</v>
      </c>
      <c r="E49" t="s">
        <v>2</v>
      </c>
      <c r="F49" t="s">
        <v>50</v>
      </c>
      <c r="G49" t="s">
        <v>51</v>
      </c>
      <c r="H49">
        <v>24.88</v>
      </c>
      <c r="I49" t="s">
        <v>52</v>
      </c>
      <c r="J49" t="s">
        <v>126</v>
      </c>
      <c r="K49" t="s">
        <v>54</v>
      </c>
      <c r="L49" t="s">
        <v>55</v>
      </c>
      <c r="O49" t="s">
        <v>56</v>
      </c>
      <c r="P49" t="s">
        <v>57</v>
      </c>
      <c r="Q49">
        <v>58263.83</v>
      </c>
      <c r="R49">
        <v>-24.88</v>
      </c>
      <c r="S49" t="s">
        <v>2895</v>
      </c>
      <c r="T49" t="s">
        <v>2896</v>
      </c>
      <c r="U49" t="s">
        <v>2897</v>
      </c>
    </row>
    <row r="50" spans="1:21">
      <c r="A50" t="s">
        <v>190</v>
      </c>
      <c r="B50" s="7">
        <v>46088</v>
      </c>
      <c r="C50" s="8">
        <v>0.70271990740740742</v>
      </c>
      <c r="D50" t="s">
        <v>17</v>
      </c>
      <c r="E50" t="s">
        <v>2</v>
      </c>
      <c r="F50" t="s">
        <v>50</v>
      </c>
      <c r="G50" t="s">
        <v>51</v>
      </c>
      <c r="H50">
        <v>25.03</v>
      </c>
      <c r="I50" t="s">
        <v>52</v>
      </c>
      <c r="J50" t="s">
        <v>60</v>
      </c>
      <c r="K50" t="s">
        <v>54</v>
      </c>
      <c r="L50" t="s">
        <v>55</v>
      </c>
      <c r="O50" t="s">
        <v>61</v>
      </c>
      <c r="P50" t="s">
        <v>62</v>
      </c>
      <c r="Q50">
        <v>58323.14</v>
      </c>
      <c r="R50">
        <v>-25.03</v>
      </c>
      <c r="S50" t="s">
        <v>2895</v>
      </c>
      <c r="T50" t="s">
        <v>2896</v>
      </c>
      <c r="U50" t="s">
        <v>2897</v>
      </c>
    </row>
    <row r="51" spans="1:21">
      <c r="A51" t="s">
        <v>192</v>
      </c>
      <c r="B51" s="7">
        <v>46088</v>
      </c>
      <c r="C51" s="8">
        <v>0.72738425925925931</v>
      </c>
      <c r="D51" t="s">
        <v>17</v>
      </c>
      <c r="E51" t="s">
        <v>2</v>
      </c>
      <c r="F51" t="s">
        <v>50</v>
      </c>
      <c r="G51" t="s">
        <v>51</v>
      </c>
      <c r="H51">
        <v>54.95</v>
      </c>
      <c r="I51" t="s">
        <v>52</v>
      </c>
      <c r="J51" t="s">
        <v>60</v>
      </c>
      <c r="K51" t="s">
        <v>54</v>
      </c>
      <c r="L51" t="s">
        <v>55</v>
      </c>
      <c r="O51" t="s">
        <v>61</v>
      </c>
      <c r="P51" t="s">
        <v>62</v>
      </c>
      <c r="Q51">
        <v>58363.17</v>
      </c>
      <c r="R51">
        <v>-54.95</v>
      </c>
      <c r="S51" t="s">
        <v>2895</v>
      </c>
      <c r="T51" t="s">
        <v>2896</v>
      </c>
      <c r="U51" t="s">
        <v>2897</v>
      </c>
    </row>
    <row r="52" spans="1:21">
      <c r="A52" t="s">
        <v>194</v>
      </c>
      <c r="B52" s="7">
        <v>46088</v>
      </c>
      <c r="C52" s="8">
        <v>0.8000694444444445</v>
      </c>
      <c r="D52" t="s">
        <v>17</v>
      </c>
      <c r="E52" t="s">
        <v>2</v>
      </c>
      <c r="F52" t="s">
        <v>50</v>
      </c>
      <c r="G52" t="s">
        <v>51</v>
      </c>
      <c r="H52">
        <v>151.66</v>
      </c>
      <c r="I52" t="s">
        <v>52</v>
      </c>
      <c r="J52" t="s">
        <v>196</v>
      </c>
      <c r="K52" t="s">
        <v>54</v>
      </c>
      <c r="L52" t="s">
        <v>55</v>
      </c>
      <c r="O52" t="s">
        <v>197</v>
      </c>
      <c r="P52" t="s">
        <v>198</v>
      </c>
      <c r="Q52">
        <v>58418.12</v>
      </c>
      <c r="R52">
        <v>-151.66</v>
      </c>
      <c r="S52" t="s">
        <v>2895</v>
      </c>
      <c r="T52" t="s">
        <v>2896</v>
      </c>
      <c r="U52" t="s">
        <v>2897</v>
      </c>
    </row>
    <row r="53" spans="1:21">
      <c r="A53" t="s">
        <v>199</v>
      </c>
      <c r="B53" s="7">
        <v>46089</v>
      </c>
      <c r="C53" s="8">
        <v>0.31790509259259259</v>
      </c>
      <c r="D53" t="s">
        <v>17</v>
      </c>
      <c r="E53" t="s">
        <v>2</v>
      </c>
      <c r="F53" t="s">
        <v>50</v>
      </c>
      <c r="G53" t="s">
        <v>51</v>
      </c>
      <c r="H53">
        <v>7.05</v>
      </c>
      <c r="I53" t="s">
        <v>52</v>
      </c>
      <c r="J53" t="s">
        <v>53</v>
      </c>
      <c r="K53" t="s">
        <v>54</v>
      </c>
      <c r="L53" t="s">
        <v>55</v>
      </c>
      <c r="O53" t="s">
        <v>56</v>
      </c>
      <c r="P53" t="s">
        <v>57</v>
      </c>
      <c r="Q53">
        <v>58136.92</v>
      </c>
      <c r="R53">
        <v>-7.05</v>
      </c>
      <c r="S53" t="s">
        <v>2895</v>
      </c>
      <c r="T53" t="s">
        <v>2896</v>
      </c>
      <c r="U53" t="s">
        <v>2897</v>
      </c>
    </row>
    <row r="54" spans="1:21">
      <c r="A54" t="s">
        <v>201</v>
      </c>
      <c r="B54" s="7">
        <v>46089</v>
      </c>
      <c r="C54" s="8">
        <v>0.46155092592592595</v>
      </c>
      <c r="D54" t="s">
        <v>17</v>
      </c>
      <c r="E54" t="s">
        <v>2</v>
      </c>
      <c r="F54" t="s">
        <v>50</v>
      </c>
      <c r="G54" t="s">
        <v>100</v>
      </c>
      <c r="H54">
        <v>11.2</v>
      </c>
      <c r="I54" t="s">
        <v>52</v>
      </c>
      <c r="J54" t="s">
        <v>114</v>
      </c>
      <c r="K54" t="s">
        <v>54</v>
      </c>
      <c r="L54" t="s">
        <v>102</v>
      </c>
      <c r="O54" t="s">
        <v>103</v>
      </c>
      <c r="P54" t="s">
        <v>104</v>
      </c>
      <c r="Q54">
        <v>58099.81</v>
      </c>
      <c r="R54">
        <v>-11.2</v>
      </c>
      <c r="S54" t="s">
        <v>2895</v>
      </c>
      <c r="T54" t="s">
        <v>2896</v>
      </c>
      <c r="U54" t="s">
        <v>2897</v>
      </c>
    </row>
    <row r="55" spans="1:21">
      <c r="A55" t="s">
        <v>203</v>
      </c>
      <c r="B55" s="7">
        <v>46089</v>
      </c>
      <c r="C55" s="8">
        <v>0.55910879629629628</v>
      </c>
      <c r="D55" t="s">
        <v>17</v>
      </c>
      <c r="E55" t="s">
        <v>2</v>
      </c>
      <c r="F55" t="s">
        <v>50</v>
      </c>
      <c r="G55" t="s">
        <v>51</v>
      </c>
      <c r="H55">
        <v>55.76</v>
      </c>
      <c r="I55" t="s">
        <v>52</v>
      </c>
      <c r="J55" t="s">
        <v>60</v>
      </c>
      <c r="K55" t="s">
        <v>54</v>
      </c>
      <c r="L55" t="s">
        <v>55</v>
      </c>
      <c r="O55" t="s">
        <v>61</v>
      </c>
      <c r="P55" t="s">
        <v>62</v>
      </c>
      <c r="Q55">
        <v>58044.05</v>
      </c>
      <c r="R55">
        <v>-55.76</v>
      </c>
      <c r="S55" t="s">
        <v>2895</v>
      </c>
      <c r="T55" t="s">
        <v>2896</v>
      </c>
      <c r="U55" t="s">
        <v>2897</v>
      </c>
    </row>
    <row r="56" spans="1:21">
      <c r="A56" t="s">
        <v>205</v>
      </c>
      <c r="B56" s="7">
        <v>46089</v>
      </c>
      <c r="C56" s="8">
        <v>0.66878472222222218</v>
      </c>
      <c r="D56" t="s">
        <v>17</v>
      </c>
      <c r="E56" t="s">
        <v>2</v>
      </c>
      <c r="F56" t="s">
        <v>50</v>
      </c>
      <c r="G56" t="s">
        <v>100</v>
      </c>
      <c r="H56">
        <v>10.91</v>
      </c>
      <c r="I56" t="s">
        <v>52</v>
      </c>
      <c r="J56" t="s">
        <v>114</v>
      </c>
      <c r="K56" t="s">
        <v>54</v>
      </c>
      <c r="L56" t="s">
        <v>102</v>
      </c>
      <c r="O56" t="s">
        <v>103</v>
      </c>
      <c r="P56" t="s">
        <v>104</v>
      </c>
      <c r="Q56">
        <v>58126.01</v>
      </c>
      <c r="R56">
        <v>-10.91</v>
      </c>
      <c r="S56" t="s">
        <v>2895</v>
      </c>
      <c r="T56" t="s">
        <v>2896</v>
      </c>
      <c r="U56" t="s">
        <v>2897</v>
      </c>
    </row>
    <row r="57" spans="1:21">
      <c r="A57" t="s">
        <v>207</v>
      </c>
      <c r="B57" s="7">
        <v>46089</v>
      </c>
      <c r="C57" s="8">
        <v>0.76179398148148147</v>
      </c>
      <c r="D57" t="s">
        <v>17</v>
      </c>
      <c r="E57" t="s">
        <v>2</v>
      </c>
      <c r="F57" t="s">
        <v>50</v>
      </c>
      <c r="G57" t="s">
        <v>51</v>
      </c>
      <c r="H57">
        <v>23.16</v>
      </c>
      <c r="I57" t="s">
        <v>52</v>
      </c>
      <c r="J57" t="s">
        <v>126</v>
      </c>
      <c r="K57" t="s">
        <v>54</v>
      </c>
      <c r="L57" t="s">
        <v>55</v>
      </c>
      <c r="O57" t="s">
        <v>56</v>
      </c>
      <c r="P57" t="s">
        <v>57</v>
      </c>
      <c r="Q57">
        <v>58158.97</v>
      </c>
      <c r="R57">
        <v>-23.16</v>
      </c>
      <c r="S57" t="s">
        <v>2895</v>
      </c>
      <c r="T57" t="s">
        <v>2896</v>
      </c>
      <c r="U57" t="s">
        <v>2897</v>
      </c>
    </row>
    <row r="58" spans="1:21">
      <c r="A58" t="s">
        <v>209</v>
      </c>
      <c r="B58" s="7">
        <v>46089</v>
      </c>
      <c r="C58" s="8">
        <v>0.78961805555555553</v>
      </c>
      <c r="D58" t="s">
        <v>17</v>
      </c>
      <c r="E58" t="s">
        <v>2</v>
      </c>
      <c r="F58" t="s">
        <v>50</v>
      </c>
      <c r="G58" t="s">
        <v>100</v>
      </c>
      <c r="H58">
        <v>15</v>
      </c>
      <c r="I58" t="s">
        <v>52</v>
      </c>
      <c r="J58" t="s">
        <v>101</v>
      </c>
      <c r="K58" t="s">
        <v>54</v>
      </c>
      <c r="L58" t="s">
        <v>102</v>
      </c>
      <c r="O58" t="s">
        <v>103</v>
      </c>
      <c r="P58" t="s">
        <v>104</v>
      </c>
      <c r="Q58">
        <v>58182.13</v>
      </c>
      <c r="R58">
        <v>-15</v>
      </c>
      <c r="S58" t="s">
        <v>2895</v>
      </c>
      <c r="T58" t="s">
        <v>2896</v>
      </c>
      <c r="U58" t="s">
        <v>2897</v>
      </c>
    </row>
    <row r="59" spans="1:21">
      <c r="A59" t="s">
        <v>211</v>
      </c>
      <c r="B59" s="7">
        <v>46089</v>
      </c>
      <c r="C59" s="8">
        <v>0.88138888888888889</v>
      </c>
      <c r="D59" t="s">
        <v>17</v>
      </c>
      <c r="E59" t="s">
        <v>2</v>
      </c>
      <c r="F59" t="s">
        <v>50</v>
      </c>
      <c r="G59" t="s">
        <v>100</v>
      </c>
      <c r="H59">
        <v>15</v>
      </c>
      <c r="I59" t="s">
        <v>52</v>
      </c>
      <c r="J59" t="s">
        <v>101</v>
      </c>
      <c r="K59" t="s">
        <v>54</v>
      </c>
      <c r="L59" t="s">
        <v>102</v>
      </c>
      <c r="O59" t="s">
        <v>103</v>
      </c>
      <c r="P59" t="s">
        <v>104</v>
      </c>
      <c r="Q59">
        <v>58143.97</v>
      </c>
      <c r="R59">
        <v>-15</v>
      </c>
      <c r="S59" t="s">
        <v>2895</v>
      </c>
      <c r="T59" t="s">
        <v>2896</v>
      </c>
      <c r="U59" t="s">
        <v>2897</v>
      </c>
    </row>
    <row r="60" spans="1:21">
      <c r="A60" t="s">
        <v>213</v>
      </c>
      <c r="B60" s="7">
        <v>46089</v>
      </c>
      <c r="C60" s="8">
        <v>0.92364583333333339</v>
      </c>
      <c r="D60" t="s">
        <v>17</v>
      </c>
      <c r="E60" t="s">
        <v>2</v>
      </c>
      <c r="F60" t="s">
        <v>50</v>
      </c>
      <c r="G60" t="s">
        <v>100</v>
      </c>
      <c r="H60">
        <v>15</v>
      </c>
      <c r="I60" t="s">
        <v>52</v>
      </c>
      <c r="J60" t="s">
        <v>101</v>
      </c>
      <c r="K60" t="s">
        <v>54</v>
      </c>
      <c r="L60" t="s">
        <v>102</v>
      </c>
      <c r="O60" t="s">
        <v>103</v>
      </c>
      <c r="P60" t="s">
        <v>104</v>
      </c>
      <c r="Q60">
        <v>58111.01</v>
      </c>
      <c r="R60">
        <v>-15</v>
      </c>
      <c r="S60" t="s">
        <v>2895</v>
      </c>
      <c r="T60" t="s">
        <v>2896</v>
      </c>
      <c r="U60" t="s">
        <v>2897</v>
      </c>
    </row>
    <row r="61" spans="1:21">
      <c r="A61" t="s">
        <v>215</v>
      </c>
      <c r="B61" s="7">
        <v>46090</v>
      </c>
      <c r="C61" s="8">
        <v>0.37817129629629631</v>
      </c>
      <c r="D61" t="s">
        <v>17</v>
      </c>
      <c r="E61" t="s">
        <v>2</v>
      </c>
      <c r="F61" t="s">
        <v>50</v>
      </c>
      <c r="G61" t="s">
        <v>51</v>
      </c>
      <c r="H61">
        <v>22.47</v>
      </c>
      <c r="I61" t="s">
        <v>52</v>
      </c>
      <c r="J61" t="s">
        <v>60</v>
      </c>
      <c r="K61" t="s">
        <v>54</v>
      </c>
      <c r="L61" t="s">
        <v>55</v>
      </c>
      <c r="O61" t="s">
        <v>61</v>
      </c>
      <c r="P61" t="s">
        <v>62</v>
      </c>
      <c r="Q61">
        <v>57966.27</v>
      </c>
      <c r="R61">
        <v>-22.47</v>
      </c>
      <c r="S61" t="s">
        <v>2895</v>
      </c>
      <c r="T61" t="s">
        <v>2896</v>
      </c>
      <c r="U61" t="s">
        <v>2897</v>
      </c>
    </row>
    <row r="62" spans="1:21">
      <c r="A62" t="s">
        <v>217</v>
      </c>
      <c r="B62" s="7">
        <v>46090</v>
      </c>
      <c r="C62" s="8">
        <v>0.45789351851851851</v>
      </c>
      <c r="D62" t="s">
        <v>17</v>
      </c>
      <c r="E62" t="s">
        <v>2</v>
      </c>
      <c r="F62" t="s">
        <v>50</v>
      </c>
      <c r="G62" t="s">
        <v>51</v>
      </c>
      <c r="H62">
        <v>102.05</v>
      </c>
      <c r="I62" t="s">
        <v>52</v>
      </c>
      <c r="J62" t="s">
        <v>196</v>
      </c>
      <c r="K62" t="s">
        <v>54</v>
      </c>
      <c r="L62" t="s">
        <v>55</v>
      </c>
      <c r="O62" t="s">
        <v>197</v>
      </c>
      <c r="P62" t="s">
        <v>198</v>
      </c>
      <c r="Q62">
        <v>57864.22</v>
      </c>
      <c r="R62">
        <v>-102.05</v>
      </c>
      <c r="S62" t="s">
        <v>2895</v>
      </c>
      <c r="T62" t="s">
        <v>2896</v>
      </c>
      <c r="U62" t="s">
        <v>2897</v>
      </c>
    </row>
    <row r="63" spans="1:21">
      <c r="A63" t="s">
        <v>219</v>
      </c>
      <c r="B63" s="7">
        <v>46090</v>
      </c>
      <c r="C63" s="8">
        <v>0.64537037037037037</v>
      </c>
      <c r="D63" t="s">
        <v>17</v>
      </c>
      <c r="E63" t="s">
        <v>2</v>
      </c>
      <c r="F63" t="s">
        <v>50</v>
      </c>
      <c r="G63" t="s">
        <v>51</v>
      </c>
      <c r="H63">
        <v>5.49</v>
      </c>
      <c r="I63" t="s">
        <v>52</v>
      </c>
      <c r="J63" t="s">
        <v>121</v>
      </c>
      <c r="K63" t="s">
        <v>54</v>
      </c>
      <c r="L63" t="s">
        <v>55</v>
      </c>
      <c r="O63" t="s">
        <v>122</v>
      </c>
      <c r="P63" t="s">
        <v>123</v>
      </c>
      <c r="Q63">
        <v>57988.74</v>
      </c>
      <c r="R63">
        <v>-5.49</v>
      </c>
      <c r="S63" t="s">
        <v>2895</v>
      </c>
      <c r="T63" t="s">
        <v>2896</v>
      </c>
      <c r="U63" t="s">
        <v>2897</v>
      </c>
    </row>
    <row r="64" spans="1:21">
      <c r="A64" t="s">
        <v>221</v>
      </c>
      <c r="B64" s="7">
        <v>46090</v>
      </c>
      <c r="C64" s="8">
        <v>0.67726851851851855</v>
      </c>
      <c r="D64" t="s">
        <v>17</v>
      </c>
      <c r="E64" t="s">
        <v>2</v>
      </c>
      <c r="F64" t="s">
        <v>50</v>
      </c>
      <c r="G64" t="s">
        <v>51</v>
      </c>
      <c r="H64">
        <v>6.86</v>
      </c>
      <c r="I64" t="s">
        <v>52</v>
      </c>
      <c r="J64" t="s">
        <v>53</v>
      </c>
      <c r="K64" t="s">
        <v>54</v>
      </c>
      <c r="L64" t="s">
        <v>55</v>
      </c>
      <c r="O64" t="s">
        <v>56</v>
      </c>
      <c r="P64" t="s">
        <v>57</v>
      </c>
      <c r="Q64">
        <v>57994.23</v>
      </c>
      <c r="R64">
        <v>-6.86</v>
      </c>
      <c r="S64" t="s">
        <v>2895</v>
      </c>
      <c r="T64" t="s">
        <v>2896</v>
      </c>
      <c r="U64" t="s">
        <v>2897</v>
      </c>
    </row>
    <row r="65" spans="1:21">
      <c r="A65" t="s">
        <v>223</v>
      </c>
      <c r="B65" s="7">
        <v>46090</v>
      </c>
      <c r="C65" s="8">
        <v>0.93123842592592587</v>
      </c>
      <c r="D65" t="s">
        <v>17</v>
      </c>
      <c r="E65" t="s">
        <v>2</v>
      </c>
      <c r="F65" t="s">
        <v>50</v>
      </c>
      <c r="G65" t="s">
        <v>51</v>
      </c>
      <c r="H65">
        <v>42.96</v>
      </c>
      <c r="I65" t="s">
        <v>52</v>
      </c>
      <c r="J65" t="s">
        <v>60</v>
      </c>
      <c r="K65" t="s">
        <v>54</v>
      </c>
      <c r="L65" t="s">
        <v>55</v>
      </c>
      <c r="O65" t="s">
        <v>61</v>
      </c>
      <c r="P65" t="s">
        <v>62</v>
      </c>
      <c r="Q65">
        <v>58001.09</v>
      </c>
      <c r="R65">
        <v>-42.96</v>
      </c>
      <c r="S65" t="s">
        <v>2895</v>
      </c>
      <c r="T65" t="s">
        <v>2896</v>
      </c>
      <c r="U65" t="s">
        <v>2897</v>
      </c>
    </row>
    <row r="66" spans="1:21">
      <c r="A66" t="s">
        <v>225</v>
      </c>
      <c r="B66" s="7">
        <v>46091</v>
      </c>
      <c r="C66" s="8">
        <v>0.42785879629629631</v>
      </c>
      <c r="D66" t="s">
        <v>17</v>
      </c>
      <c r="E66" t="s">
        <v>2</v>
      </c>
      <c r="F66" t="s">
        <v>50</v>
      </c>
      <c r="G66" t="s">
        <v>51</v>
      </c>
      <c r="H66">
        <v>68.95</v>
      </c>
      <c r="I66" t="s">
        <v>52</v>
      </c>
      <c r="J66" t="s">
        <v>60</v>
      </c>
      <c r="K66" t="s">
        <v>54</v>
      </c>
      <c r="L66" t="s">
        <v>55</v>
      </c>
      <c r="O66" t="s">
        <v>61</v>
      </c>
      <c r="P66" t="s">
        <v>62</v>
      </c>
      <c r="Q66">
        <v>57778.94</v>
      </c>
      <c r="R66">
        <v>-68.95</v>
      </c>
      <c r="S66" t="s">
        <v>2895</v>
      </c>
      <c r="T66" t="s">
        <v>2896</v>
      </c>
      <c r="U66" t="s">
        <v>2897</v>
      </c>
    </row>
    <row r="67" spans="1:21">
      <c r="A67" t="s">
        <v>227</v>
      </c>
      <c r="B67" s="7">
        <v>46091</v>
      </c>
      <c r="C67" s="8">
        <v>0.42868055555555556</v>
      </c>
      <c r="D67" t="s">
        <v>17</v>
      </c>
      <c r="E67" t="s">
        <v>2</v>
      </c>
      <c r="F67" t="s">
        <v>50</v>
      </c>
      <c r="G67" t="s">
        <v>51</v>
      </c>
      <c r="H67">
        <v>59.12</v>
      </c>
      <c r="I67" t="s">
        <v>52</v>
      </c>
      <c r="J67" t="s">
        <v>60</v>
      </c>
      <c r="K67" t="s">
        <v>54</v>
      </c>
      <c r="L67" t="s">
        <v>55</v>
      </c>
      <c r="O67" t="s">
        <v>61</v>
      </c>
      <c r="P67" t="s">
        <v>62</v>
      </c>
      <c r="Q67">
        <v>57719.82</v>
      </c>
      <c r="R67">
        <v>-59.12</v>
      </c>
      <c r="S67" t="s">
        <v>2895</v>
      </c>
      <c r="T67" t="s">
        <v>2896</v>
      </c>
      <c r="U67" t="s">
        <v>2897</v>
      </c>
    </row>
    <row r="68" spans="1:21">
      <c r="A68" t="s">
        <v>229</v>
      </c>
      <c r="B68" s="7">
        <v>46091</v>
      </c>
      <c r="C68" s="8">
        <v>0.53032407407407411</v>
      </c>
      <c r="D68" t="s">
        <v>17</v>
      </c>
      <c r="E68" t="s">
        <v>2</v>
      </c>
      <c r="F68" t="s">
        <v>50</v>
      </c>
      <c r="G68" t="s">
        <v>51</v>
      </c>
      <c r="H68">
        <v>139.72999999999999</v>
      </c>
      <c r="I68" t="s">
        <v>52</v>
      </c>
      <c r="J68" t="s">
        <v>196</v>
      </c>
      <c r="K68" t="s">
        <v>54</v>
      </c>
      <c r="L68" t="s">
        <v>55</v>
      </c>
      <c r="O68" t="s">
        <v>197</v>
      </c>
      <c r="P68" t="s">
        <v>198</v>
      </c>
      <c r="Q68">
        <v>57580.09</v>
      </c>
      <c r="R68">
        <v>-139.72999999999999</v>
      </c>
      <c r="S68" t="s">
        <v>2895</v>
      </c>
      <c r="T68" t="s">
        <v>2896</v>
      </c>
      <c r="U68" t="s">
        <v>2897</v>
      </c>
    </row>
    <row r="69" spans="1:21">
      <c r="A69" t="s">
        <v>231</v>
      </c>
      <c r="B69" s="7">
        <v>46091</v>
      </c>
      <c r="C69" s="8">
        <v>0.59082175925925928</v>
      </c>
      <c r="D69" t="s">
        <v>17</v>
      </c>
      <c r="E69" t="s">
        <v>2</v>
      </c>
      <c r="F69" t="s">
        <v>149</v>
      </c>
      <c r="G69" t="s">
        <v>72</v>
      </c>
      <c r="H69">
        <v>121.94</v>
      </c>
      <c r="I69" t="s">
        <v>52</v>
      </c>
      <c r="J69" t="s">
        <v>233</v>
      </c>
      <c r="K69" t="s">
        <v>54</v>
      </c>
      <c r="L69" t="s">
        <v>74</v>
      </c>
      <c r="O69" t="s">
        <v>75</v>
      </c>
      <c r="P69" t="s">
        <v>76</v>
      </c>
      <c r="Q69">
        <v>57661.23</v>
      </c>
      <c r="R69">
        <v>121.94</v>
      </c>
      <c r="S69" t="s">
        <v>2895</v>
      </c>
      <c r="T69" t="s">
        <v>2896</v>
      </c>
      <c r="U69" t="s">
        <v>2897</v>
      </c>
    </row>
    <row r="70" spans="1:21">
      <c r="A70" t="s">
        <v>234</v>
      </c>
      <c r="B70" s="7">
        <v>46091</v>
      </c>
      <c r="C70" s="8">
        <v>0.62358796296296293</v>
      </c>
      <c r="D70" t="s">
        <v>17</v>
      </c>
      <c r="E70" t="s">
        <v>2</v>
      </c>
      <c r="F70" t="s">
        <v>50</v>
      </c>
      <c r="G70" t="s">
        <v>51</v>
      </c>
      <c r="H70">
        <v>11.08</v>
      </c>
      <c r="I70" t="s">
        <v>52</v>
      </c>
      <c r="J70" t="s">
        <v>53</v>
      </c>
      <c r="K70" t="s">
        <v>54</v>
      </c>
      <c r="L70" t="s">
        <v>55</v>
      </c>
      <c r="O70" t="s">
        <v>56</v>
      </c>
      <c r="P70" t="s">
        <v>57</v>
      </c>
      <c r="Q70">
        <v>57569.01</v>
      </c>
      <c r="R70">
        <v>-11.08</v>
      </c>
      <c r="S70" t="s">
        <v>2895</v>
      </c>
      <c r="T70" t="s">
        <v>2896</v>
      </c>
      <c r="U70" t="s">
        <v>2897</v>
      </c>
    </row>
    <row r="71" spans="1:21">
      <c r="A71" t="s">
        <v>236</v>
      </c>
      <c r="B71" s="7">
        <v>46091</v>
      </c>
      <c r="C71" s="8">
        <v>0.65267361111111111</v>
      </c>
      <c r="D71" t="s">
        <v>17</v>
      </c>
      <c r="E71" t="s">
        <v>2</v>
      </c>
      <c r="F71" t="s">
        <v>50</v>
      </c>
      <c r="G71" t="s">
        <v>51</v>
      </c>
      <c r="H71">
        <v>6.21</v>
      </c>
      <c r="I71" t="s">
        <v>52</v>
      </c>
      <c r="J71" t="s">
        <v>53</v>
      </c>
      <c r="K71" t="s">
        <v>54</v>
      </c>
      <c r="L71" t="s">
        <v>55</v>
      </c>
      <c r="O71" t="s">
        <v>56</v>
      </c>
      <c r="P71" t="s">
        <v>57</v>
      </c>
      <c r="Q71">
        <v>57858.01</v>
      </c>
      <c r="R71">
        <v>-6.21</v>
      </c>
      <c r="S71" t="s">
        <v>2895</v>
      </c>
      <c r="T71" t="s">
        <v>2896</v>
      </c>
      <c r="U71" t="s">
        <v>2897</v>
      </c>
    </row>
    <row r="72" spans="1:21">
      <c r="A72" t="s">
        <v>238</v>
      </c>
      <c r="B72" s="7">
        <v>46091</v>
      </c>
      <c r="C72" s="8">
        <v>0.66645833333333337</v>
      </c>
      <c r="D72" t="s">
        <v>17</v>
      </c>
      <c r="E72" t="s">
        <v>2</v>
      </c>
      <c r="F72" t="s">
        <v>50</v>
      </c>
      <c r="G72" t="s">
        <v>100</v>
      </c>
      <c r="H72">
        <v>10.119999999999999</v>
      </c>
      <c r="I72" t="s">
        <v>52</v>
      </c>
      <c r="J72" t="s">
        <v>114</v>
      </c>
      <c r="K72" t="s">
        <v>54</v>
      </c>
      <c r="L72" t="s">
        <v>102</v>
      </c>
      <c r="O72" t="s">
        <v>103</v>
      </c>
      <c r="P72" t="s">
        <v>104</v>
      </c>
      <c r="Q72">
        <v>57847.89</v>
      </c>
      <c r="R72">
        <v>-10.119999999999999</v>
      </c>
      <c r="S72" t="s">
        <v>2895</v>
      </c>
      <c r="T72" t="s">
        <v>2896</v>
      </c>
      <c r="U72" t="s">
        <v>2897</v>
      </c>
    </row>
    <row r="73" spans="1:21">
      <c r="A73" t="s">
        <v>240</v>
      </c>
      <c r="B73" s="7">
        <v>46091</v>
      </c>
      <c r="C73" s="8">
        <v>0.82866898148148149</v>
      </c>
      <c r="D73" t="s">
        <v>17</v>
      </c>
      <c r="E73" t="s">
        <v>2</v>
      </c>
      <c r="F73" t="s">
        <v>50</v>
      </c>
      <c r="G73" t="s">
        <v>51</v>
      </c>
      <c r="H73">
        <v>29.72</v>
      </c>
      <c r="I73" t="s">
        <v>52</v>
      </c>
      <c r="J73" t="s">
        <v>65</v>
      </c>
      <c r="K73" t="s">
        <v>54</v>
      </c>
      <c r="L73" t="s">
        <v>55</v>
      </c>
      <c r="O73" t="s">
        <v>66</v>
      </c>
      <c r="P73" t="s">
        <v>67</v>
      </c>
      <c r="Q73">
        <v>57539.29</v>
      </c>
      <c r="R73">
        <v>-29.72</v>
      </c>
      <c r="S73" t="s">
        <v>2895</v>
      </c>
      <c r="T73" t="s">
        <v>2896</v>
      </c>
      <c r="U73" t="s">
        <v>2897</v>
      </c>
    </row>
    <row r="74" spans="1:21">
      <c r="A74" t="s">
        <v>242</v>
      </c>
      <c r="B74" s="7">
        <v>46091</v>
      </c>
      <c r="C74" s="8">
        <v>0.85150462962962958</v>
      </c>
      <c r="D74" t="s">
        <v>17</v>
      </c>
      <c r="E74" t="s">
        <v>2</v>
      </c>
      <c r="F74" t="s">
        <v>50</v>
      </c>
      <c r="G74" t="s">
        <v>100</v>
      </c>
      <c r="H74">
        <v>84.81</v>
      </c>
      <c r="I74" t="s">
        <v>52</v>
      </c>
      <c r="J74" t="s">
        <v>244</v>
      </c>
      <c r="K74" t="s">
        <v>54</v>
      </c>
      <c r="L74" t="s">
        <v>102</v>
      </c>
      <c r="O74" t="s">
        <v>178</v>
      </c>
      <c r="P74" t="s">
        <v>245</v>
      </c>
      <c r="Q74">
        <v>48994.239999999998</v>
      </c>
      <c r="R74">
        <v>-84.81</v>
      </c>
      <c r="S74" t="s">
        <v>2895</v>
      </c>
      <c r="T74" t="s">
        <v>2896</v>
      </c>
      <c r="U74" t="s">
        <v>2897</v>
      </c>
    </row>
    <row r="75" spans="1:21">
      <c r="A75" t="s">
        <v>246</v>
      </c>
      <c r="B75" s="7">
        <v>46092</v>
      </c>
      <c r="C75" s="8">
        <v>0.25818287037037035</v>
      </c>
      <c r="D75" t="s">
        <v>17</v>
      </c>
      <c r="E75" t="s">
        <v>2</v>
      </c>
      <c r="F75" t="s">
        <v>50</v>
      </c>
      <c r="G75" t="s">
        <v>51</v>
      </c>
      <c r="H75">
        <v>43.26</v>
      </c>
      <c r="I75" t="s">
        <v>52</v>
      </c>
      <c r="J75" t="s">
        <v>126</v>
      </c>
      <c r="K75" t="s">
        <v>54</v>
      </c>
      <c r="L75" t="s">
        <v>55</v>
      </c>
      <c r="O75" t="s">
        <v>56</v>
      </c>
      <c r="P75" t="s">
        <v>57</v>
      </c>
      <c r="Q75">
        <v>57335.94</v>
      </c>
      <c r="R75">
        <v>-43.26</v>
      </c>
      <c r="S75" t="s">
        <v>2895</v>
      </c>
      <c r="T75" t="s">
        <v>2896</v>
      </c>
      <c r="U75" t="s">
        <v>2897</v>
      </c>
    </row>
    <row r="76" spans="1:21">
      <c r="A76" t="s">
        <v>248</v>
      </c>
      <c r="B76" s="7">
        <v>46092</v>
      </c>
      <c r="C76" s="8">
        <v>0.30512731481481481</v>
      </c>
      <c r="D76" t="s">
        <v>17</v>
      </c>
      <c r="E76" t="s">
        <v>2</v>
      </c>
      <c r="F76" t="s">
        <v>50</v>
      </c>
      <c r="G76" t="s">
        <v>51</v>
      </c>
      <c r="H76">
        <v>25.19</v>
      </c>
      <c r="I76" t="s">
        <v>52</v>
      </c>
      <c r="J76" t="s">
        <v>126</v>
      </c>
      <c r="K76" t="s">
        <v>54</v>
      </c>
      <c r="L76" t="s">
        <v>55</v>
      </c>
      <c r="O76" t="s">
        <v>56</v>
      </c>
      <c r="P76" t="s">
        <v>57</v>
      </c>
      <c r="Q76">
        <v>57596.07</v>
      </c>
      <c r="R76">
        <v>-25.19</v>
      </c>
      <c r="S76" t="s">
        <v>2895</v>
      </c>
      <c r="T76" t="s">
        <v>2896</v>
      </c>
      <c r="U76" t="s">
        <v>2897</v>
      </c>
    </row>
    <row r="77" spans="1:21">
      <c r="A77" t="s">
        <v>250</v>
      </c>
      <c r="B77" s="7">
        <v>46092</v>
      </c>
      <c r="C77" s="8">
        <v>0.3727314814814815</v>
      </c>
      <c r="D77" t="s">
        <v>17</v>
      </c>
      <c r="E77" t="s">
        <v>2</v>
      </c>
      <c r="F77" t="s">
        <v>50</v>
      </c>
      <c r="G77" t="s">
        <v>100</v>
      </c>
      <c r="H77">
        <v>10.15</v>
      </c>
      <c r="I77" t="s">
        <v>52</v>
      </c>
      <c r="J77" t="s">
        <v>114</v>
      </c>
      <c r="K77" t="s">
        <v>54</v>
      </c>
      <c r="L77" t="s">
        <v>102</v>
      </c>
      <c r="O77" t="s">
        <v>103</v>
      </c>
      <c r="P77" t="s">
        <v>104</v>
      </c>
      <c r="Q77">
        <v>57651.08</v>
      </c>
      <c r="R77">
        <v>-10.15</v>
      </c>
      <c r="S77" t="s">
        <v>2895</v>
      </c>
      <c r="T77" t="s">
        <v>2896</v>
      </c>
      <c r="U77" t="s">
        <v>2897</v>
      </c>
    </row>
    <row r="78" spans="1:21">
      <c r="A78" t="s">
        <v>252</v>
      </c>
      <c r="B78" s="7">
        <v>46092</v>
      </c>
      <c r="C78" s="8">
        <v>0.53003472222222225</v>
      </c>
      <c r="D78" t="s">
        <v>17</v>
      </c>
      <c r="E78" t="s">
        <v>2</v>
      </c>
      <c r="F78" t="s">
        <v>50</v>
      </c>
      <c r="G78" t="s">
        <v>51</v>
      </c>
      <c r="H78">
        <v>132.16</v>
      </c>
      <c r="I78" t="s">
        <v>52</v>
      </c>
      <c r="J78" t="s">
        <v>65</v>
      </c>
      <c r="K78" t="s">
        <v>54</v>
      </c>
      <c r="L78" t="s">
        <v>55</v>
      </c>
      <c r="O78" t="s">
        <v>66</v>
      </c>
      <c r="P78" t="s">
        <v>67</v>
      </c>
      <c r="Q78">
        <v>57463.91</v>
      </c>
      <c r="R78">
        <v>-132.16</v>
      </c>
      <c r="S78" t="s">
        <v>2895</v>
      </c>
      <c r="T78" t="s">
        <v>2896</v>
      </c>
      <c r="U78" t="s">
        <v>2897</v>
      </c>
    </row>
    <row r="79" spans="1:21">
      <c r="A79" t="s">
        <v>254</v>
      </c>
      <c r="B79" s="7">
        <v>46092</v>
      </c>
      <c r="C79" s="8">
        <v>0.57997685185185188</v>
      </c>
      <c r="D79" t="s">
        <v>17</v>
      </c>
      <c r="E79" t="s">
        <v>2</v>
      </c>
      <c r="F79" t="s">
        <v>50</v>
      </c>
      <c r="G79" t="s">
        <v>51</v>
      </c>
      <c r="H79">
        <v>45.03</v>
      </c>
      <c r="I79" t="s">
        <v>52</v>
      </c>
      <c r="J79" t="s">
        <v>126</v>
      </c>
      <c r="K79" t="s">
        <v>54</v>
      </c>
      <c r="L79" t="s">
        <v>55</v>
      </c>
      <c r="O79" t="s">
        <v>56</v>
      </c>
      <c r="P79" t="s">
        <v>57</v>
      </c>
      <c r="Q79">
        <v>57379.199999999997</v>
      </c>
      <c r="R79">
        <v>-45.03</v>
      </c>
      <c r="S79" t="s">
        <v>2895</v>
      </c>
      <c r="T79" t="s">
        <v>2896</v>
      </c>
      <c r="U79" t="s">
        <v>2897</v>
      </c>
    </row>
    <row r="80" spans="1:21">
      <c r="A80" t="s">
        <v>256</v>
      </c>
      <c r="B80" s="7">
        <v>46092</v>
      </c>
      <c r="C80" s="8">
        <v>0.73443287037037042</v>
      </c>
      <c r="D80" t="s">
        <v>17</v>
      </c>
      <c r="E80" t="s">
        <v>2</v>
      </c>
      <c r="F80" t="s">
        <v>50</v>
      </c>
      <c r="G80" t="s">
        <v>51</v>
      </c>
      <c r="H80">
        <v>29.82</v>
      </c>
      <c r="I80" t="s">
        <v>52</v>
      </c>
      <c r="J80" t="s">
        <v>126</v>
      </c>
      <c r="K80" t="s">
        <v>54</v>
      </c>
      <c r="L80" t="s">
        <v>55</v>
      </c>
      <c r="O80" t="s">
        <v>56</v>
      </c>
      <c r="P80" t="s">
        <v>57</v>
      </c>
      <c r="Q80">
        <v>57621.26</v>
      </c>
      <c r="R80">
        <v>-29.82</v>
      </c>
      <c r="S80" t="s">
        <v>2895</v>
      </c>
      <c r="T80" t="s">
        <v>2896</v>
      </c>
      <c r="U80" t="s">
        <v>2897</v>
      </c>
    </row>
    <row r="81" spans="1:21">
      <c r="A81" t="s">
        <v>258</v>
      </c>
      <c r="B81" s="7">
        <v>46092</v>
      </c>
      <c r="C81" s="8">
        <v>0.81929398148148147</v>
      </c>
      <c r="D81" t="s">
        <v>17</v>
      </c>
      <c r="E81" t="s">
        <v>2</v>
      </c>
      <c r="F81" t="s">
        <v>50</v>
      </c>
      <c r="G81" t="s">
        <v>51</v>
      </c>
      <c r="H81">
        <v>39.68</v>
      </c>
      <c r="I81" t="s">
        <v>52</v>
      </c>
      <c r="J81" t="s">
        <v>60</v>
      </c>
      <c r="K81" t="s">
        <v>54</v>
      </c>
      <c r="L81" t="s">
        <v>55</v>
      </c>
      <c r="O81" t="s">
        <v>61</v>
      </c>
      <c r="P81" t="s">
        <v>62</v>
      </c>
      <c r="Q81">
        <v>57424.23</v>
      </c>
      <c r="R81">
        <v>-39.68</v>
      </c>
      <c r="S81" t="s">
        <v>2895</v>
      </c>
      <c r="T81" t="s">
        <v>2896</v>
      </c>
      <c r="U81" t="s">
        <v>2897</v>
      </c>
    </row>
    <row r="82" spans="1:21">
      <c r="A82" t="s">
        <v>260</v>
      </c>
      <c r="B82" s="7">
        <v>46092</v>
      </c>
      <c r="C82" s="8">
        <v>0.82756944444444447</v>
      </c>
      <c r="D82" t="s">
        <v>17</v>
      </c>
      <c r="E82" t="s">
        <v>2</v>
      </c>
      <c r="F82" t="s">
        <v>50</v>
      </c>
      <c r="G82" t="s">
        <v>51</v>
      </c>
      <c r="H82">
        <v>48.68</v>
      </c>
      <c r="I82" t="s">
        <v>52</v>
      </c>
      <c r="J82" t="s">
        <v>81</v>
      </c>
      <c r="K82" t="s">
        <v>54</v>
      </c>
      <c r="L82" t="s">
        <v>55</v>
      </c>
      <c r="O82" t="s">
        <v>82</v>
      </c>
      <c r="P82" t="s">
        <v>83</v>
      </c>
      <c r="Q82">
        <v>57287.26</v>
      </c>
      <c r="R82">
        <v>-48.68</v>
      </c>
      <c r="S82" t="s">
        <v>2895</v>
      </c>
      <c r="T82" t="s">
        <v>2896</v>
      </c>
      <c r="U82" t="s">
        <v>2897</v>
      </c>
    </row>
    <row r="83" spans="1:21">
      <c r="A83" t="s">
        <v>262</v>
      </c>
      <c r="B83" s="7">
        <v>46093</v>
      </c>
      <c r="C83" s="8">
        <v>0.25550925925925927</v>
      </c>
      <c r="D83" t="s">
        <v>17</v>
      </c>
      <c r="E83" t="s">
        <v>2</v>
      </c>
      <c r="F83" t="s">
        <v>50</v>
      </c>
      <c r="G83" t="s">
        <v>100</v>
      </c>
      <c r="H83">
        <v>14.97</v>
      </c>
      <c r="I83" t="s">
        <v>52</v>
      </c>
      <c r="J83" t="s">
        <v>114</v>
      </c>
      <c r="K83" t="s">
        <v>54</v>
      </c>
      <c r="L83" t="s">
        <v>102</v>
      </c>
      <c r="O83" t="s">
        <v>103</v>
      </c>
      <c r="P83" t="s">
        <v>104</v>
      </c>
      <c r="Q83">
        <v>56998.91</v>
      </c>
      <c r="R83">
        <v>-14.97</v>
      </c>
      <c r="S83" t="s">
        <v>2895</v>
      </c>
      <c r="T83" t="s">
        <v>2896</v>
      </c>
      <c r="U83" t="s">
        <v>2897</v>
      </c>
    </row>
    <row r="84" spans="1:21">
      <c r="A84" t="s">
        <v>264</v>
      </c>
      <c r="B84" s="7">
        <v>46093</v>
      </c>
      <c r="C84" s="8">
        <v>0.39230324074074074</v>
      </c>
      <c r="D84" t="s">
        <v>17</v>
      </c>
      <c r="E84" t="s">
        <v>2</v>
      </c>
      <c r="F84" t="s">
        <v>50</v>
      </c>
      <c r="G84" t="s">
        <v>51</v>
      </c>
      <c r="H84">
        <v>39.49</v>
      </c>
      <c r="I84" t="s">
        <v>52</v>
      </c>
      <c r="J84" t="s">
        <v>126</v>
      </c>
      <c r="K84" t="s">
        <v>54</v>
      </c>
      <c r="L84" t="s">
        <v>55</v>
      </c>
      <c r="O84" t="s">
        <v>56</v>
      </c>
      <c r="P84" t="s">
        <v>57</v>
      </c>
      <c r="Q84">
        <v>57247.77</v>
      </c>
      <c r="R84">
        <v>-39.49</v>
      </c>
      <c r="S84" t="s">
        <v>2895</v>
      </c>
      <c r="T84" t="s">
        <v>2896</v>
      </c>
      <c r="U84" t="s">
        <v>2897</v>
      </c>
    </row>
    <row r="85" spans="1:21">
      <c r="A85" t="s">
        <v>266</v>
      </c>
      <c r="B85" s="7">
        <v>46093</v>
      </c>
      <c r="C85" s="8">
        <v>0.55060185185185184</v>
      </c>
      <c r="D85" t="s">
        <v>17</v>
      </c>
      <c r="E85" t="s">
        <v>2</v>
      </c>
      <c r="F85" t="s">
        <v>50</v>
      </c>
      <c r="G85" t="s">
        <v>51</v>
      </c>
      <c r="H85">
        <v>127.04</v>
      </c>
      <c r="I85" t="s">
        <v>52</v>
      </c>
      <c r="J85" t="s">
        <v>65</v>
      </c>
      <c r="K85" t="s">
        <v>54</v>
      </c>
      <c r="L85" t="s">
        <v>55</v>
      </c>
      <c r="O85" t="s">
        <v>66</v>
      </c>
      <c r="P85" t="s">
        <v>67</v>
      </c>
      <c r="Q85">
        <v>57120.73</v>
      </c>
      <c r="R85">
        <v>-127.04</v>
      </c>
      <c r="S85" t="s">
        <v>2895</v>
      </c>
      <c r="T85" t="s">
        <v>2896</v>
      </c>
      <c r="U85" t="s">
        <v>2897</v>
      </c>
    </row>
    <row r="86" spans="1:21">
      <c r="A86" t="s">
        <v>268</v>
      </c>
      <c r="B86" s="7">
        <v>46093</v>
      </c>
      <c r="C86" s="8">
        <v>0.55140046296296297</v>
      </c>
      <c r="D86" t="s">
        <v>17</v>
      </c>
      <c r="E86" t="s">
        <v>2</v>
      </c>
      <c r="F86" t="s">
        <v>50</v>
      </c>
      <c r="G86" t="s">
        <v>100</v>
      </c>
      <c r="H86">
        <v>15</v>
      </c>
      <c r="I86" t="s">
        <v>52</v>
      </c>
      <c r="J86" t="s">
        <v>101</v>
      </c>
      <c r="K86" t="s">
        <v>54</v>
      </c>
      <c r="L86" t="s">
        <v>102</v>
      </c>
      <c r="O86" t="s">
        <v>103</v>
      </c>
      <c r="P86" t="s">
        <v>104</v>
      </c>
      <c r="Q86">
        <v>57105.73</v>
      </c>
      <c r="R86">
        <v>-15</v>
      </c>
      <c r="S86" t="s">
        <v>2895</v>
      </c>
      <c r="T86" t="s">
        <v>2896</v>
      </c>
      <c r="U86" t="s">
        <v>2897</v>
      </c>
    </row>
    <row r="87" spans="1:21">
      <c r="A87" t="s">
        <v>270</v>
      </c>
      <c r="B87" s="7">
        <v>46093</v>
      </c>
      <c r="C87" s="8">
        <v>0.58479166666666671</v>
      </c>
      <c r="D87" t="s">
        <v>17</v>
      </c>
      <c r="E87" t="s">
        <v>2</v>
      </c>
      <c r="F87" t="s">
        <v>50</v>
      </c>
      <c r="G87" t="s">
        <v>51</v>
      </c>
      <c r="H87">
        <v>6.5</v>
      </c>
      <c r="I87" t="s">
        <v>52</v>
      </c>
      <c r="J87" t="s">
        <v>53</v>
      </c>
      <c r="K87" t="s">
        <v>54</v>
      </c>
      <c r="L87" t="s">
        <v>55</v>
      </c>
      <c r="O87" t="s">
        <v>56</v>
      </c>
      <c r="P87" t="s">
        <v>57</v>
      </c>
      <c r="Q87">
        <v>56992.41</v>
      </c>
      <c r="R87">
        <v>-6.5</v>
      </c>
      <c r="S87" t="s">
        <v>2895</v>
      </c>
      <c r="T87" t="s">
        <v>2896</v>
      </c>
      <c r="U87" t="s">
        <v>2897</v>
      </c>
    </row>
    <row r="88" spans="1:21">
      <c r="A88" t="s">
        <v>272</v>
      </c>
      <c r="B88" s="7">
        <v>46093</v>
      </c>
      <c r="C88" s="8">
        <v>0.62157407407407406</v>
      </c>
      <c r="D88" t="s">
        <v>17</v>
      </c>
      <c r="E88" t="s">
        <v>2</v>
      </c>
      <c r="F88" t="s">
        <v>50</v>
      </c>
      <c r="G88" t="s">
        <v>51</v>
      </c>
      <c r="H88">
        <v>82.93</v>
      </c>
      <c r="I88" t="s">
        <v>52</v>
      </c>
      <c r="J88" t="s">
        <v>196</v>
      </c>
      <c r="K88" t="s">
        <v>54</v>
      </c>
      <c r="L88" t="s">
        <v>55</v>
      </c>
      <c r="O88" t="s">
        <v>197</v>
      </c>
      <c r="P88" t="s">
        <v>198</v>
      </c>
      <c r="Q88">
        <v>57022.8</v>
      </c>
      <c r="R88">
        <v>-82.93</v>
      </c>
      <c r="S88" t="s">
        <v>2895</v>
      </c>
      <c r="T88" t="s">
        <v>2896</v>
      </c>
      <c r="U88" t="s">
        <v>2897</v>
      </c>
    </row>
    <row r="89" spans="1:21">
      <c r="A89" t="s">
        <v>274</v>
      </c>
      <c r="B89" s="7">
        <v>46093</v>
      </c>
      <c r="C89" s="8">
        <v>0.93452546296296302</v>
      </c>
      <c r="D89" t="s">
        <v>17</v>
      </c>
      <c r="E89" t="s">
        <v>2</v>
      </c>
      <c r="F89" t="s">
        <v>50</v>
      </c>
      <c r="G89" t="s">
        <v>51</v>
      </c>
      <c r="H89">
        <v>8.92</v>
      </c>
      <c r="I89" t="s">
        <v>52</v>
      </c>
      <c r="J89" t="s">
        <v>53</v>
      </c>
      <c r="K89" t="s">
        <v>54</v>
      </c>
      <c r="L89" t="s">
        <v>55</v>
      </c>
      <c r="O89" t="s">
        <v>56</v>
      </c>
      <c r="P89" t="s">
        <v>57</v>
      </c>
      <c r="Q89">
        <v>57013.88</v>
      </c>
      <c r="R89">
        <v>-8.92</v>
      </c>
      <c r="S89" t="s">
        <v>2895</v>
      </c>
      <c r="T89" t="s">
        <v>2896</v>
      </c>
      <c r="U89" t="s">
        <v>2897</v>
      </c>
    </row>
    <row r="90" spans="1:21">
      <c r="A90" t="s">
        <v>276</v>
      </c>
      <c r="B90" s="7">
        <v>46094</v>
      </c>
      <c r="C90" s="8">
        <v>0.51628472222222221</v>
      </c>
      <c r="D90" t="s">
        <v>17</v>
      </c>
      <c r="E90" t="s">
        <v>2</v>
      </c>
      <c r="F90" t="s">
        <v>50</v>
      </c>
      <c r="G90" t="s">
        <v>100</v>
      </c>
      <c r="H90">
        <v>20.3</v>
      </c>
      <c r="I90" t="s">
        <v>52</v>
      </c>
      <c r="J90" t="s">
        <v>114</v>
      </c>
      <c r="K90" t="s">
        <v>54</v>
      </c>
      <c r="L90" t="s">
        <v>102</v>
      </c>
      <c r="O90" t="s">
        <v>103</v>
      </c>
      <c r="P90" t="s">
        <v>104</v>
      </c>
      <c r="Q90">
        <v>56900.25</v>
      </c>
      <c r="R90">
        <v>-20.3</v>
      </c>
      <c r="S90" t="s">
        <v>2895</v>
      </c>
      <c r="T90" t="s">
        <v>2896</v>
      </c>
      <c r="U90" t="s">
        <v>2897</v>
      </c>
    </row>
    <row r="91" spans="1:21">
      <c r="A91" t="s">
        <v>278</v>
      </c>
      <c r="B91" s="7">
        <v>46094</v>
      </c>
      <c r="C91" s="8">
        <v>0.64744212962962966</v>
      </c>
      <c r="D91" t="s">
        <v>17</v>
      </c>
      <c r="E91" t="s">
        <v>2</v>
      </c>
      <c r="F91" t="s">
        <v>50</v>
      </c>
      <c r="G91" t="s">
        <v>51</v>
      </c>
      <c r="H91">
        <v>57.99</v>
      </c>
      <c r="I91" t="s">
        <v>52</v>
      </c>
      <c r="J91" t="s">
        <v>60</v>
      </c>
      <c r="K91" t="s">
        <v>54</v>
      </c>
      <c r="L91" t="s">
        <v>55</v>
      </c>
      <c r="O91" t="s">
        <v>61</v>
      </c>
      <c r="P91" t="s">
        <v>62</v>
      </c>
      <c r="Q91">
        <v>56772.82</v>
      </c>
      <c r="R91">
        <v>-57.99</v>
      </c>
      <c r="S91" t="s">
        <v>2895</v>
      </c>
      <c r="T91" t="s">
        <v>2896</v>
      </c>
      <c r="U91" t="s">
        <v>2897</v>
      </c>
    </row>
    <row r="92" spans="1:21">
      <c r="A92" t="s">
        <v>280</v>
      </c>
      <c r="B92" s="7">
        <v>46094</v>
      </c>
      <c r="C92" s="8">
        <v>0.64939814814814811</v>
      </c>
      <c r="D92" t="s">
        <v>17</v>
      </c>
      <c r="E92" t="s">
        <v>2</v>
      </c>
      <c r="F92" t="s">
        <v>50</v>
      </c>
      <c r="G92" t="s">
        <v>51</v>
      </c>
      <c r="H92">
        <v>9.1999999999999993</v>
      </c>
      <c r="I92" t="s">
        <v>52</v>
      </c>
      <c r="J92" t="s">
        <v>121</v>
      </c>
      <c r="K92" t="s">
        <v>54</v>
      </c>
      <c r="L92" t="s">
        <v>55</v>
      </c>
      <c r="O92" t="s">
        <v>122</v>
      </c>
      <c r="P92" t="s">
        <v>123</v>
      </c>
      <c r="Q92">
        <v>56763.62</v>
      </c>
      <c r="R92">
        <v>-9.1999999999999993</v>
      </c>
      <c r="S92" t="s">
        <v>2895</v>
      </c>
      <c r="T92" t="s">
        <v>2896</v>
      </c>
      <c r="U92" t="s">
        <v>2897</v>
      </c>
    </row>
    <row r="93" spans="1:21">
      <c r="A93" t="s">
        <v>282</v>
      </c>
      <c r="B93" s="7">
        <v>46094</v>
      </c>
      <c r="C93" s="8">
        <v>0.69398148148148153</v>
      </c>
      <c r="D93" t="s">
        <v>17</v>
      </c>
      <c r="E93" t="s">
        <v>2</v>
      </c>
      <c r="F93" t="s">
        <v>50</v>
      </c>
      <c r="G93" t="s">
        <v>51</v>
      </c>
      <c r="H93">
        <v>69.44</v>
      </c>
      <c r="I93" t="s">
        <v>52</v>
      </c>
      <c r="J93" t="s">
        <v>60</v>
      </c>
      <c r="K93" t="s">
        <v>54</v>
      </c>
      <c r="L93" t="s">
        <v>55</v>
      </c>
      <c r="O93" t="s">
        <v>61</v>
      </c>
      <c r="P93" t="s">
        <v>62</v>
      </c>
      <c r="Q93">
        <v>56830.81</v>
      </c>
      <c r="R93">
        <v>-69.44</v>
      </c>
      <c r="S93" t="s">
        <v>2895</v>
      </c>
      <c r="T93" t="s">
        <v>2896</v>
      </c>
      <c r="U93" t="s">
        <v>2897</v>
      </c>
    </row>
    <row r="94" spans="1:21">
      <c r="A94" t="s">
        <v>284</v>
      </c>
      <c r="B94" s="7">
        <v>46094</v>
      </c>
      <c r="C94" s="8">
        <v>0.78040509259259261</v>
      </c>
      <c r="D94" t="s">
        <v>17</v>
      </c>
      <c r="E94" t="s">
        <v>2</v>
      </c>
      <c r="F94" t="s">
        <v>50</v>
      </c>
      <c r="G94" t="s">
        <v>51</v>
      </c>
      <c r="H94">
        <v>86.84</v>
      </c>
      <c r="I94" t="s">
        <v>52</v>
      </c>
      <c r="J94" t="s">
        <v>196</v>
      </c>
      <c r="K94" t="s">
        <v>54</v>
      </c>
      <c r="L94" t="s">
        <v>55</v>
      </c>
      <c r="O94" t="s">
        <v>197</v>
      </c>
      <c r="P94" t="s">
        <v>198</v>
      </c>
      <c r="Q94">
        <v>56676.78</v>
      </c>
      <c r="R94">
        <v>-86.84</v>
      </c>
      <c r="S94" t="s">
        <v>2895</v>
      </c>
      <c r="T94" t="s">
        <v>2896</v>
      </c>
      <c r="U94" t="s">
        <v>2897</v>
      </c>
    </row>
    <row r="95" spans="1:21">
      <c r="A95" t="s">
        <v>286</v>
      </c>
      <c r="B95" s="7">
        <v>46094</v>
      </c>
      <c r="C95" s="8">
        <v>0.79204861111111113</v>
      </c>
      <c r="D95" t="s">
        <v>17</v>
      </c>
      <c r="E95" t="s">
        <v>2</v>
      </c>
      <c r="F95" t="s">
        <v>50</v>
      </c>
      <c r="G95" t="s">
        <v>51</v>
      </c>
      <c r="H95">
        <v>57.34</v>
      </c>
      <c r="I95" t="s">
        <v>52</v>
      </c>
      <c r="J95" t="s">
        <v>196</v>
      </c>
      <c r="K95" t="s">
        <v>54</v>
      </c>
      <c r="L95" t="s">
        <v>55</v>
      </c>
      <c r="O95" t="s">
        <v>197</v>
      </c>
      <c r="P95" t="s">
        <v>198</v>
      </c>
      <c r="Q95">
        <v>56920.55</v>
      </c>
      <c r="R95">
        <v>-57.34</v>
      </c>
      <c r="S95" t="s">
        <v>2895</v>
      </c>
      <c r="T95" t="s">
        <v>2896</v>
      </c>
      <c r="U95" t="s">
        <v>2897</v>
      </c>
    </row>
    <row r="96" spans="1:21">
      <c r="A96" t="s">
        <v>288</v>
      </c>
      <c r="B96" s="7">
        <v>46094</v>
      </c>
      <c r="C96" s="8">
        <v>0.92180555555555554</v>
      </c>
      <c r="D96" t="s">
        <v>17</v>
      </c>
      <c r="E96" t="s">
        <v>2</v>
      </c>
      <c r="F96" t="s">
        <v>50</v>
      </c>
      <c r="G96" t="s">
        <v>51</v>
      </c>
      <c r="H96">
        <v>14.52</v>
      </c>
      <c r="I96" t="s">
        <v>52</v>
      </c>
      <c r="J96" t="s">
        <v>121</v>
      </c>
      <c r="K96" t="s">
        <v>54</v>
      </c>
      <c r="L96" t="s">
        <v>55</v>
      </c>
      <c r="O96" t="s">
        <v>122</v>
      </c>
      <c r="P96" t="s">
        <v>123</v>
      </c>
      <c r="Q96">
        <v>56977.89</v>
      </c>
      <c r="R96">
        <v>-14.52</v>
      </c>
      <c r="S96" t="s">
        <v>2895</v>
      </c>
      <c r="T96" t="s">
        <v>2896</v>
      </c>
      <c r="U96" t="s">
        <v>2897</v>
      </c>
    </row>
    <row r="97" spans="1:21">
      <c r="A97" t="s">
        <v>290</v>
      </c>
      <c r="B97" s="7">
        <v>46095</v>
      </c>
      <c r="C97" s="8">
        <v>0.26340277777777776</v>
      </c>
      <c r="D97" t="s">
        <v>17</v>
      </c>
      <c r="E97" t="s">
        <v>2</v>
      </c>
      <c r="F97" t="s">
        <v>50</v>
      </c>
      <c r="G97" t="s">
        <v>51</v>
      </c>
      <c r="H97">
        <v>13.41</v>
      </c>
      <c r="I97" t="s">
        <v>52</v>
      </c>
      <c r="J97" t="s">
        <v>121</v>
      </c>
      <c r="K97" t="s">
        <v>54</v>
      </c>
      <c r="L97" t="s">
        <v>55</v>
      </c>
      <c r="O97" t="s">
        <v>122</v>
      </c>
      <c r="P97" t="s">
        <v>123</v>
      </c>
      <c r="Q97">
        <v>56663.37</v>
      </c>
      <c r="R97">
        <v>-13.41</v>
      </c>
      <c r="S97" t="s">
        <v>2895</v>
      </c>
      <c r="T97" t="s">
        <v>2896</v>
      </c>
      <c r="U97" t="s">
        <v>2897</v>
      </c>
    </row>
    <row r="98" spans="1:21">
      <c r="A98" t="s">
        <v>292</v>
      </c>
      <c r="B98" s="7">
        <v>46095</v>
      </c>
      <c r="C98" s="8">
        <v>0.35377314814814814</v>
      </c>
      <c r="D98" t="s">
        <v>17</v>
      </c>
      <c r="E98" t="s">
        <v>2</v>
      </c>
      <c r="F98" t="s">
        <v>50</v>
      </c>
      <c r="G98" t="s">
        <v>51</v>
      </c>
      <c r="H98">
        <v>187.14</v>
      </c>
      <c r="I98" t="s">
        <v>52</v>
      </c>
      <c r="J98" t="s">
        <v>196</v>
      </c>
      <c r="K98" t="s">
        <v>54</v>
      </c>
      <c r="L98" t="s">
        <v>55</v>
      </c>
      <c r="O98" t="s">
        <v>197</v>
      </c>
      <c r="P98" t="s">
        <v>198</v>
      </c>
      <c r="Q98">
        <v>56169.93</v>
      </c>
      <c r="R98">
        <v>-187.14</v>
      </c>
      <c r="S98" t="s">
        <v>2895</v>
      </c>
      <c r="T98" t="s">
        <v>2896</v>
      </c>
      <c r="U98" t="s">
        <v>2897</v>
      </c>
    </row>
    <row r="99" spans="1:21">
      <c r="A99" t="s">
        <v>294</v>
      </c>
      <c r="B99" s="7">
        <v>46095</v>
      </c>
      <c r="C99" s="8">
        <v>0.41738425925925926</v>
      </c>
      <c r="D99" t="s">
        <v>17</v>
      </c>
      <c r="E99" t="s">
        <v>2</v>
      </c>
      <c r="F99" t="s">
        <v>50</v>
      </c>
      <c r="G99" t="s">
        <v>51</v>
      </c>
      <c r="H99">
        <v>155.57</v>
      </c>
      <c r="I99" t="s">
        <v>52</v>
      </c>
      <c r="J99" t="s">
        <v>196</v>
      </c>
      <c r="K99" t="s">
        <v>54</v>
      </c>
      <c r="L99" t="s">
        <v>55</v>
      </c>
      <c r="O99" t="s">
        <v>197</v>
      </c>
      <c r="P99" t="s">
        <v>198</v>
      </c>
      <c r="Q99">
        <v>56357.07</v>
      </c>
      <c r="R99">
        <v>-155.57</v>
      </c>
      <c r="S99" t="s">
        <v>2895</v>
      </c>
      <c r="T99" t="s">
        <v>2896</v>
      </c>
      <c r="U99" t="s">
        <v>2897</v>
      </c>
    </row>
    <row r="100" spans="1:21">
      <c r="A100" t="s">
        <v>296</v>
      </c>
      <c r="B100" s="7">
        <v>46095</v>
      </c>
      <c r="C100" s="8">
        <v>0.57174768518518515</v>
      </c>
      <c r="D100" t="s">
        <v>17</v>
      </c>
      <c r="E100" t="s">
        <v>2</v>
      </c>
      <c r="F100" t="s">
        <v>50</v>
      </c>
      <c r="G100" t="s">
        <v>51</v>
      </c>
      <c r="H100">
        <v>12.86</v>
      </c>
      <c r="I100" t="s">
        <v>52</v>
      </c>
      <c r="J100" t="s">
        <v>81</v>
      </c>
      <c r="K100" t="s">
        <v>54</v>
      </c>
      <c r="L100" t="s">
        <v>55</v>
      </c>
      <c r="O100" t="s">
        <v>82</v>
      </c>
      <c r="P100" t="s">
        <v>83</v>
      </c>
      <c r="Q100">
        <v>56512.639999999999</v>
      </c>
      <c r="R100">
        <v>-12.86</v>
      </c>
      <c r="S100" t="s">
        <v>2895</v>
      </c>
      <c r="T100" t="s">
        <v>2896</v>
      </c>
      <c r="U100" t="s">
        <v>2897</v>
      </c>
    </row>
    <row r="101" spans="1:21">
      <c r="A101" t="s">
        <v>298</v>
      </c>
      <c r="B101" s="7">
        <v>46095</v>
      </c>
      <c r="C101" s="8">
        <v>0.64770833333333333</v>
      </c>
      <c r="D101" t="s">
        <v>17</v>
      </c>
      <c r="E101" t="s">
        <v>2</v>
      </c>
      <c r="F101" t="s">
        <v>50</v>
      </c>
      <c r="G101" t="s">
        <v>51</v>
      </c>
      <c r="H101">
        <v>34.35</v>
      </c>
      <c r="I101" t="s">
        <v>52</v>
      </c>
      <c r="J101" t="s">
        <v>126</v>
      </c>
      <c r="K101" t="s">
        <v>54</v>
      </c>
      <c r="L101" t="s">
        <v>55</v>
      </c>
      <c r="O101" t="s">
        <v>56</v>
      </c>
      <c r="P101" t="s">
        <v>57</v>
      </c>
      <c r="Q101">
        <v>56525.5</v>
      </c>
      <c r="R101">
        <v>-34.35</v>
      </c>
      <c r="S101" t="s">
        <v>2895</v>
      </c>
      <c r="T101" t="s">
        <v>2896</v>
      </c>
      <c r="U101" t="s">
        <v>2897</v>
      </c>
    </row>
    <row r="102" spans="1:21">
      <c r="A102" t="s">
        <v>300</v>
      </c>
      <c r="B102" s="7">
        <v>46095</v>
      </c>
      <c r="C102" s="8">
        <v>0.68712962962962965</v>
      </c>
      <c r="D102" t="s">
        <v>17</v>
      </c>
      <c r="E102" t="s">
        <v>2</v>
      </c>
      <c r="F102" t="s">
        <v>50</v>
      </c>
      <c r="G102" t="s">
        <v>51</v>
      </c>
      <c r="H102">
        <v>88.52</v>
      </c>
      <c r="I102" t="s">
        <v>52</v>
      </c>
      <c r="J102" t="s">
        <v>196</v>
      </c>
      <c r="K102" t="s">
        <v>54</v>
      </c>
      <c r="L102" t="s">
        <v>55</v>
      </c>
      <c r="O102" t="s">
        <v>197</v>
      </c>
      <c r="P102" t="s">
        <v>198</v>
      </c>
      <c r="Q102">
        <v>56574.85</v>
      </c>
      <c r="R102">
        <v>-88.52</v>
      </c>
      <c r="S102" t="s">
        <v>2895</v>
      </c>
      <c r="T102" t="s">
        <v>2896</v>
      </c>
      <c r="U102" t="s">
        <v>2897</v>
      </c>
    </row>
    <row r="103" spans="1:21">
      <c r="A103" t="s">
        <v>302</v>
      </c>
      <c r="B103" s="7">
        <v>46095</v>
      </c>
      <c r="C103" s="8">
        <v>0.93807870370370372</v>
      </c>
      <c r="D103" t="s">
        <v>17</v>
      </c>
      <c r="E103" t="s">
        <v>2</v>
      </c>
      <c r="F103" t="s">
        <v>50</v>
      </c>
      <c r="G103" t="s">
        <v>100</v>
      </c>
      <c r="H103">
        <v>15</v>
      </c>
      <c r="I103" t="s">
        <v>52</v>
      </c>
      <c r="J103" t="s">
        <v>101</v>
      </c>
      <c r="K103" t="s">
        <v>54</v>
      </c>
      <c r="L103" t="s">
        <v>102</v>
      </c>
      <c r="O103" t="s">
        <v>103</v>
      </c>
      <c r="P103" t="s">
        <v>104</v>
      </c>
      <c r="Q103">
        <v>56559.85</v>
      </c>
      <c r="R103">
        <v>-15</v>
      </c>
      <c r="S103" t="s">
        <v>2895</v>
      </c>
      <c r="T103" t="s">
        <v>2896</v>
      </c>
      <c r="U103" t="s">
        <v>2897</v>
      </c>
    </row>
    <row r="104" spans="1:21">
      <c r="A104" t="s">
        <v>304</v>
      </c>
      <c r="B104" s="7">
        <v>46096</v>
      </c>
      <c r="C104" s="8">
        <v>0.39523148148148146</v>
      </c>
      <c r="D104" t="s">
        <v>17</v>
      </c>
      <c r="E104" t="s">
        <v>2</v>
      </c>
      <c r="F104" t="s">
        <v>50</v>
      </c>
      <c r="G104" t="s">
        <v>100</v>
      </c>
      <c r="H104">
        <v>13.74</v>
      </c>
      <c r="I104" t="s">
        <v>52</v>
      </c>
      <c r="J104" t="s">
        <v>114</v>
      </c>
      <c r="K104" t="s">
        <v>54</v>
      </c>
      <c r="L104" t="s">
        <v>102</v>
      </c>
      <c r="O104" t="s">
        <v>103</v>
      </c>
      <c r="P104" t="s">
        <v>104</v>
      </c>
      <c r="Q104">
        <v>55966.51</v>
      </c>
      <c r="R104">
        <v>-13.74</v>
      </c>
      <c r="S104" t="s">
        <v>2895</v>
      </c>
      <c r="T104" t="s">
        <v>2896</v>
      </c>
      <c r="U104" t="s">
        <v>2897</v>
      </c>
    </row>
    <row r="105" spans="1:21">
      <c r="A105" t="s">
        <v>306</v>
      </c>
      <c r="B105" s="7">
        <v>46096</v>
      </c>
      <c r="C105" s="8">
        <v>0.40934027777777776</v>
      </c>
      <c r="D105" t="s">
        <v>17</v>
      </c>
      <c r="E105" t="s">
        <v>2</v>
      </c>
      <c r="F105" t="s">
        <v>50</v>
      </c>
      <c r="G105" t="s">
        <v>51</v>
      </c>
      <c r="H105">
        <v>131.37</v>
      </c>
      <c r="I105" t="s">
        <v>52</v>
      </c>
      <c r="J105" t="s">
        <v>65</v>
      </c>
      <c r="K105" t="s">
        <v>54</v>
      </c>
      <c r="L105" t="s">
        <v>55</v>
      </c>
      <c r="O105" t="s">
        <v>66</v>
      </c>
      <c r="P105" t="s">
        <v>67</v>
      </c>
      <c r="Q105">
        <v>56023.56</v>
      </c>
      <c r="R105">
        <v>-131.37</v>
      </c>
      <c r="S105" t="s">
        <v>2895</v>
      </c>
      <c r="T105" t="s">
        <v>2896</v>
      </c>
      <c r="U105" t="s">
        <v>2897</v>
      </c>
    </row>
    <row r="106" spans="1:21">
      <c r="A106" t="s">
        <v>308</v>
      </c>
      <c r="B106" s="7">
        <v>46096</v>
      </c>
      <c r="C106" s="8">
        <v>0.44564814814814813</v>
      </c>
      <c r="D106" t="s">
        <v>17</v>
      </c>
      <c r="E106" t="s">
        <v>2</v>
      </c>
      <c r="F106" t="s">
        <v>50</v>
      </c>
      <c r="G106" t="s">
        <v>100</v>
      </c>
      <c r="H106">
        <v>15</v>
      </c>
      <c r="I106" t="s">
        <v>52</v>
      </c>
      <c r="J106" t="s">
        <v>101</v>
      </c>
      <c r="K106" t="s">
        <v>54</v>
      </c>
      <c r="L106" t="s">
        <v>102</v>
      </c>
      <c r="O106" t="s">
        <v>103</v>
      </c>
      <c r="P106" t="s">
        <v>104</v>
      </c>
      <c r="Q106">
        <v>56154.93</v>
      </c>
      <c r="R106">
        <v>-15</v>
      </c>
      <c r="S106" t="s">
        <v>2895</v>
      </c>
      <c r="T106" t="s">
        <v>2896</v>
      </c>
      <c r="U106" t="s">
        <v>2897</v>
      </c>
    </row>
    <row r="107" spans="1:21">
      <c r="A107" t="s">
        <v>310</v>
      </c>
      <c r="B107" s="7">
        <v>46096</v>
      </c>
      <c r="C107" s="8">
        <v>0.49160879629629628</v>
      </c>
      <c r="D107" t="s">
        <v>17</v>
      </c>
      <c r="E107" t="s">
        <v>2</v>
      </c>
      <c r="F107" t="s">
        <v>50</v>
      </c>
      <c r="G107" t="s">
        <v>100</v>
      </c>
      <c r="H107">
        <v>16.690000000000001</v>
      </c>
      <c r="I107" t="s">
        <v>52</v>
      </c>
      <c r="J107" t="s">
        <v>114</v>
      </c>
      <c r="K107" t="s">
        <v>54</v>
      </c>
      <c r="L107" t="s">
        <v>102</v>
      </c>
      <c r="O107" t="s">
        <v>103</v>
      </c>
      <c r="P107" t="s">
        <v>104</v>
      </c>
      <c r="Q107">
        <v>55919.82</v>
      </c>
      <c r="R107">
        <v>-16.690000000000001</v>
      </c>
      <c r="S107" t="s">
        <v>2895</v>
      </c>
      <c r="T107" t="s">
        <v>2896</v>
      </c>
      <c r="U107" t="s">
        <v>2897</v>
      </c>
    </row>
    <row r="108" spans="1:21">
      <c r="A108" t="s">
        <v>312</v>
      </c>
      <c r="B108" s="7">
        <v>46096</v>
      </c>
      <c r="C108" s="8">
        <v>0.57893518518518516</v>
      </c>
      <c r="D108" t="s">
        <v>17</v>
      </c>
      <c r="E108" t="s">
        <v>2</v>
      </c>
      <c r="F108" t="s">
        <v>50</v>
      </c>
      <c r="G108" t="s">
        <v>100</v>
      </c>
      <c r="H108">
        <v>15</v>
      </c>
      <c r="I108" t="s">
        <v>52</v>
      </c>
      <c r="J108" t="s">
        <v>101</v>
      </c>
      <c r="K108" t="s">
        <v>54</v>
      </c>
      <c r="L108" t="s">
        <v>102</v>
      </c>
      <c r="O108" t="s">
        <v>103</v>
      </c>
      <c r="P108" t="s">
        <v>104</v>
      </c>
      <c r="Q108">
        <v>55904.82</v>
      </c>
      <c r="R108">
        <v>-15</v>
      </c>
      <c r="S108" t="s">
        <v>2895</v>
      </c>
      <c r="T108" t="s">
        <v>2896</v>
      </c>
      <c r="U108" t="s">
        <v>2897</v>
      </c>
    </row>
    <row r="109" spans="1:21">
      <c r="A109" t="s">
        <v>314</v>
      </c>
      <c r="B109" s="7">
        <v>46096</v>
      </c>
      <c r="C109" s="8">
        <v>0.60282407407407412</v>
      </c>
      <c r="D109" t="s">
        <v>17</v>
      </c>
      <c r="E109" t="s">
        <v>2</v>
      </c>
      <c r="F109" t="s">
        <v>50</v>
      </c>
      <c r="G109" t="s">
        <v>72</v>
      </c>
      <c r="H109">
        <v>120.28</v>
      </c>
      <c r="I109" t="s">
        <v>52</v>
      </c>
      <c r="J109" t="s">
        <v>316</v>
      </c>
      <c r="K109" t="s">
        <v>54</v>
      </c>
      <c r="L109" t="s">
        <v>74</v>
      </c>
      <c r="O109" t="s">
        <v>75</v>
      </c>
      <c r="P109" t="s">
        <v>76</v>
      </c>
      <c r="Q109">
        <v>55784.54</v>
      </c>
      <c r="R109">
        <v>-120.28</v>
      </c>
      <c r="S109" t="s">
        <v>2895</v>
      </c>
      <c r="T109" t="s">
        <v>2896</v>
      </c>
      <c r="U109" t="s">
        <v>2897</v>
      </c>
    </row>
    <row r="110" spans="1:21">
      <c r="A110" t="s">
        <v>317</v>
      </c>
      <c r="B110" s="7">
        <v>46096</v>
      </c>
      <c r="C110" s="8">
        <v>0.70065972222222217</v>
      </c>
      <c r="D110" t="s">
        <v>17</v>
      </c>
      <c r="E110" t="s">
        <v>2</v>
      </c>
      <c r="F110" t="s">
        <v>50</v>
      </c>
      <c r="G110" t="s">
        <v>100</v>
      </c>
      <c r="H110">
        <v>15</v>
      </c>
      <c r="I110" t="s">
        <v>52</v>
      </c>
      <c r="J110" t="s">
        <v>101</v>
      </c>
      <c r="K110" t="s">
        <v>54</v>
      </c>
      <c r="L110" t="s">
        <v>102</v>
      </c>
      <c r="O110" t="s">
        <v>103</v>
      </c>
      <c r="P110" t="s">
        <v>104</v>
      </c>
      <c r="Q110">
        <v>55951.51</v>
      </c>
      <c r="R110">
        <v>-15</v>
      </c>
      <c r="S110" t="s">
        <v>2895</v>
      </c>
      <c r="T110" t="s">
        <v>2896</v>
      </c>
      <c r="U110" t="s">
        <v>2897</v>
      </c>
    </row>
    <row r="111" spans="1:21">
      <c r="A111" t="s">
        <v>319</v>
      </c>
      <c r="B111" s="7">
        <v>46096</v>
      </c>
      <c r="C111" s="8">
        <v>0.83479166666666671</v>
      </c>
      <c r="D111" t="s">
        <v>17</v>
      </c>
      <c r="E111" t="s">
        <v>2</v>
      </c>
      <c r="F111" t="s">
        <v>149</v>
      </c>
      <c r="G111" t="s">
        <v>321</v>
      </c>
      <c r="H111">
        <v>3211.03</v>
      </c>
      <c r="I111" t="s">
        <v>52</v>
      </c>
      <c r="J111" t="s">
        <v>9</v>
      </c>
      <c r="K111" t="s">
        <v>54</v>
      </c>
      <c r="L111" t="s">
        <v>102</v>
      </c>
      <c r="O111" t="s">
        <v>322</v>
      </c>
      <c r="P111" t="s">
        <v>323</v>
      </c>
      <c r="Q111">
        <v>16458.43</v>
      </c>
      <c r="R111">
        <v>3211.03</v>
      </c>
      <c r="S111" t="s">
        <v>2895</v>
      </c>
      <c r="T111" t="s">
        <v>2896</v>
      </c>
      <c r="U111" t="s">
        <v>2897</v>
      </c>
    </row>
    <row r="112" spans="1:21">
      <c r="A112" t="s">
        <v>324</v>
      </c>
      <c r="B112" s="7">
        <v>46096</v>
      </c>
      <c r="C112" s="8">
        <v>0.93603009259259262</v>
      </c>
      <c r="D112" t="s">
        <v>17</v>
      </c>
      <c r="E112" t="s">
        <v>2</v>
      </c>
      <c r="F112" t="s">
        <v>50</v>
      </c>
      <c r="G112" t="s">
        <v>100</v>
      </c>
      <c r="H112">
        <v>15</v>
      </c>
      <c r="I112" t="s">
        <v>52</v>
      </c>
      <c r="J112" t="s">
        <v>101</v>
      </c>
      <c r="K112" t="s">
        <v>54</v>
      </c>
      <c r="L112" t="s">
        <v>102</v>
      </c>
      <c r="O112" t="s">
        <v>103</v>
      </c>
      <c r="P112" t="s">
        <v>104</v>
      </c>
      <c r="Q112">
        <v>55936.51</v>
      </c>
      <c r="R112">
        <v>-15</v>
      </c>
      <c r="S112" t="s">
        <v>2895</v>
      </c>
      <c r="T112" t="s">
        <v>2896</v>
      </c>
      <c r="U112" t="s">
        <v>2897</v>
      </c>
    </row>
    <row r="113" spans="1:21">
      <c r="A113" t="s">
        <v>326</v>
      </c>
      <c r="B113" s="7">
        <v>46096</v>
      </c>
      <c r="C113" s="8">
        <v>0.93684027777777779</v>
      </c>
      <c r="D113" t="s">
        <v>17</v>
      </c>
      <c r="E113" t="s">
        <v>2</v>
      </c>
      <c r="F113" t="s">
        <v>50</v>
      </c>
      <c r="G113" t="s">
        <v>51</v>
      </c>
      <c r="H113">
        <v>43.31</v>
      </c>
      <c r="I113" t="s">
        <v>52</v>
      </c>
      <c r="J113" t="s">
        <v>196</v>
      </c>
      <c r="K113" t="s">
        <v>54</v>
      </c>
      <c r="L113" t="s">
        <v>55</v>
      </c>
      <c r="O113" t="s">
        <v>197</v>
      </c>
      <c r="P113" t="s">
        <v>198</v>
      </c>
      <c r="Q113">
        <v>55980.25</v>
      </c>
      <c r="R113">
        <v>-43.31</v>
      </c>
      <c r="S113" t="s">
        <v>2895</v>
      </c>
      <c r="T113" t="s">
        <v>2896</v>
      </c>
      <c r="U113" t="s">
        <v>2897</v>
      </c>
    </row>
    <row r="114" spans="1:21">
      <c r="A114" t="s">
        <v>328</v>
      </c>
      <c r="B114" s="7">
        <v>46097</v>
      </c>
      <c r="C114" s="8">
        <v>0.33899305555555553</v>
      </c>
      <c r="D114" t="s">
        <v>17</v>
      </c>
      <c r="E114" t="s">
        <v>2</v>
      </c>
      <c r="F114" t="s">
        <v>50</v>
      </c>
      <c r="G114" t="s">
        <v>51</v>
      </c>
      <c r="H114">
        <v>8.6999999999999993</v>
      </c>
      <c r="I114" t="s">
        <v>52</v>
      </c>
      <c r="J114" t="s">
        <v>53</v>
      </c>
      <c r="K114" t="s">
        <v>54</v>
      </c>
      <c r="L114" t="s">
        <v>55</v>
      </c>
      <c r="O114" t="s">
        <v>56</v>
      </c>
      <c r="P114" t="s">
        <v>57</v>
      </c>
      <c r="Q114">
        <v>55775.839999999997</v>
      </c>
      <c r="R114">
        <v>-8.6999999999999993</v>
      </c>
      <c r="S114" t="s">
        <v>2895</v>
      </c>
      <c r="T114" t="s">
        <v>2896</v>
      </c>
      <c r="U114" t="s">
        <v>2897</v>
      </c>
    </row>
    <row r="115" spans="1:21">
      <c r="A115" t="s">
        <v>330</v>
      </c>
      <c r="B115" s="7">
        <v>46097</v>
      </c>
      <c r="C115" s="8">
        <v>0.44806712962962963</v>
      </c>
      <c r="D115" t="s">
        <v>17</v>
      </c>
      <c r="E115" t="s">
        <v>2</v>
      </c>
      <c r="F115" t="s">
        <v>50</v>
      </c>
      <c r="G115" t="s">
        <v>51</v>
      </c>
      <c r="H115">
        <v>80.180000000000007</v>
      </c>
      <c r="I115" t="s">
        <v>52</v>
      </c>
      <c r="J115" t="s">
        <v>196</v>
      </c>
      <c r="K115" t="s">
        <v>54</v>
      </c>
      <c r="L115" t="s">
        <v>55</v>
      </c>
      <c r="O115" t="s">
        <v>197</v>
      </c>
      <c r="P115" t="s">
        <v>198</v>
      </c>
      <c r="Q115">
        <v>55695.66</v>
      </c>
      <c r="R115">
        <v>-80.180000000000007</v>
      </c>
      <c r="S115" t="s">
        <v>2895</v>
      </c>
      <c r="T115" t="s">
        <v>2896</v>
      </c>
      <c r="U115" t="s">
        <v>2897</v>
      </c>
    </row>
    <row r="116" spans="1:21">
      <c r="A116" t="s">
        <v>332</v>
      </c>
      <c r="B116" s="7">
        <v>46097</v>
      </c>
      <c r="C116" s="8">
        <v>0.69061342592592589</v>
      </c>
      <c r="D116" t="s">
        <v>17</v>
      </c>
      <c r="E116" t="s">
        <v>2</v>
      </c>
      <c r="F116" t="s">
        <v>50</v>
      </c>
      <c r="G116" t="s">
        <v>51</v>
      </c>
      <c r="H116">
        <v>42.74</v>
      </c>
      <c r="I116" t="s">
        <v>52</v>
      </c>
      <c r="J116" t="s">
        <v>60</v>
      </c>
      <c r="K116" t="s">
        <v>54</v>
      </c>
      <c r="L116" t="s">
        <v>55</v>
      </c>
      <c r="O116" t="s">
        <v>61</v>
      </c>
      <c r="P116" t="s">
        <v>62</v>
      </c>
      <c r="Q116">
        <v>55652.92</v>
      </c>
      <c r="R116">
        <v>-42.74</v>
      </c>
      <c r="S116" t="s">
        <v>2895</v>
      </c>
      <c r="T116" t="s">
        <v>2896</v>
      </c>
      <c r="U116" t="s">
        <v>2897</v>
      </c>
    </row>
    <row r="117" spans="1:21">
      <c r="A117" t="s">
        <v>334</v>
      </c>
      <c r="B117" s="7">
        <v>46097</v>
      </c>
      <c r="C117" s="8">
        <v>0.77083333333333337</v>
      </c>
      <c r="D117" t="s">
        <v>17</v>
      </c>
      <c r="E117" t="s">
        <v>2</v>
      </c>
      <c r="F117" t="s">
        <v>50</v>
      </c>
      <c r="G117" t="s">
        <v>51</v>
      </c>
      <c r="H117">
        <v>126.8</v>
      </c>
      <c r="I117" t="s">
        <v>52</v>
      </c>
      <c r="J117" t="s">
        <v>65</v>
      </c>
      <c r="K117" t="s">
        <v>54</v>
      </c>
      <c r="L117" t="s">
        <v>55</v>
      </c>
      <c r="O117" t="s">
        <v>66</v>
      </c>
      <c r="P117" t="s">
        <v>67</v>
      </c>
      <c r="Q117">
        <v>55521.94</v>
      </c>
      <c r="R117">
        <v>-126.8</v>
      </c>
      <c r="S117" t="s">
        <v>2895</v>
      </c>
      <c r="T117" t="s">
        <v>2896</v>
      </c>
      <c r="U117" t="s">
        <v>2897</v>
      </c>
    </row>
    <row r="118" spans="1:21">
      <c r="A118" t="s">
        <v>336</v>
      </c>
      <c r="B118" s="7">
        <v>46097</v>
      </c>
      <c r="C118" s="8">
        <v>0.78815972222222219</v>
      </c>
      <c r="D118" t="s">
        <v>17</v>
      </c>
      <c r="E118" t="s">
        <v>2</v>
      </c>
      <c r="F118" t="s">
        <v>50</v>
      </c>
      <c r="G118" t="s">
        <v>51</v>
      </c>
      <c r="H118">
        <v>23.53</v>
      </c>
      <c r="I118" t="s">
        <v>52</v>
      </c>
      <c r="J118" t="s">
        <v>81</v>
      </c>
      <c r="K118" t="s">
        <v>54</v>
      </c>
      <c r="L118" t="s">
        <v>55</v>
      </c>
      <c r="O118" t="s">
        <v>82</v>
      </c>
      <c r="P118" t="s">
        <v>83</v>
      </c>
      <c r="Q118">
        <v>55498.41</v>
      </c>
      <c r="R118">
        <v>-23.53</v>
      </c>
      <c r="S118" t="s">
        <v>2895</v>
      </c>
      <c r="T118" t="s">
        <v>2896</v>
      </c>
      <c r="U118" t="s">
        <v>2897</v>
      </c>
    </row>
    <row r="119" spans="1:21">
      <c r="A119" t="s">
        <v>338</v>
      </c>
      <c r="B119" s="7">
        <v>46097</v>
      </c>
      <c r="C119" s="8">
        <v>0.80899305555555556</v>
      </c>
      <c r="D119" t="s">
        <v>17</v>
      </c>
      <c r="E119" t="s">
        <v>2</v>
      </c>
      <c r="F119" t="s">
        <v>50</v>
      </c>
      <c r="G119" t="s">
        <v>51</v>
      </c>
      <c r="H119">
        <v>4.18</v>
      </c>
      <c r="I119" t="s">
        <v>52</v>
      </c>
      <c r="J119" t="s">
        <v>121</v>
      </c>
      <c r="K119" t="s">
        <v>54</v>
      </c>
      <c r="L119" t="s">
        <v>55</v>
      </c>
      <c r="O119" t="s">
        <v>122</v>
      </c>
      <c r="P119" t="s">
        <v>123</v>
      </c>
      <c r="Q119">
        <v>55648.74</v>
      </c>
      <c r="R119">
        <v>-4.18</v>
      </c>
      <c r="S119" t="s">
        <v>2895</v>
      </c>
      <c r="T119" t="s">
        <v>2896</v>
      </c>
      <c r="U119" t="s">
        <v>2897</v>
      </c>
    </row>
    <row r="120" spans="1:21">
      <c r="A120" t="s">
        <v>340</v>
      </c>
      <c r="B120" s="7">
        <v>46098</v>
      </c>
      <c r="C120" s="8">
        <v>0.29056712962962961</v>
      </c>
      <c r="D120" t="s">
        <v>17</v>
      </c>
      <c r="E120" t="s">
        <v>2</v>
      </c>
      <c r="F120" t="s">
        <v>50</v>
      </c>
      <c r="G120" t="s">
        <v>100</v>
      </c>
      <c r="H120">
        <v>15</v>
      </c>
      <c r="I120" t="s">
        <v>52</v>
      </c>
      <c r="J120" t="s">
        <v>101</v>
      </c>
      <c r="K120" t="s">
        <v>54</v>
      </c>
      <c r="L120" t="s">
        <v>102</v>
      </c>
      <c r="O120" t="s">
        <v>103</v>
      </c>
      <c r="P120" t="s">
        <v>104</v>
      </c>
      <c r="Q120">
        <v>55459.02</v>
      </c>
      <c r="R120">
        <v>-15</v>
      </c>
      <c r="S120" t="s">
        <v>2895</v>
      </c>
      <c r="T120" t="s">
        <v>2896</v>
      </c>
      <c r="U120" t="s">
        <v>2897</v>
      </c>
    </row>
    <row r="121" spans="1:21">
      <c r="A121" t="s">
        <v>342</v>
      </c>
      <c r="B121" s="7">
        <v>46098</v>
      </c>
      <c r="C121" s="8">
        <v>0.35417824074074072</v>
      </c>
      <c r="D121" t="s">
        <v>17</v>
      </c>
      <c r="E121" t="s">
        <v>2</v>
      </c>
      <c r="F121" t="s">
        <v>149</v>
      </c>
      <c r="G121" t="s">
        <v>72</v>
      </c>
      <c r="H121">
        <v>87.45</v>
      </c>
      <c r="I121" t="s">
        <v>52</v>
      </c>
      <c r="J121" t="s">
        <v>316</v>
      </c>
      <c r="K121" t="s">
        <v>54</v>
      </c>
      <c r="L121" t="s">
        <v>74</v>
      </c>
      <c r="O121" t="s">
        <v>75</v>
      </c>
      <c r="P121" t="s">
        <v>76</v>
      </c>
      <c r="Q121">
        <v>55409.87</v>
      </c>
      <c r="R121">
        <v>87.45</v>
      </c>
      <c r="S121" t="s">
        <v>2895</v>
      </c>
      <c r="T121" t="s">
        <v>2896</v>
      </c>
      <c r="U121" t="s">
        <v>2897</v>
      </c>
    </row>
    <row r="122" spans="1:21">
      <c r="A122" t="s">
        <v>344</v>
      </c>
      <c r="B122" s="7">
        <v>46098</v>
      </c>
      <c r="C122" s="8">
        <v>0.60023148148148153</v>
      </c>
      <c r="D122" t="s">
        <v>17</v>
      </c>
      <c r="E122" t="s">
        <v>2</v>
      </c>
      <c r="F122" t="s">
        <v>50</v>
      </c>
      <c r="G122" t="s">
        <v>100</v>
      </c>
      <c r="H122">
        <v>15</v>
      </c>
      <c r="I122" t="s">
        <v>52</v>
      </c>
      <c r="J122" t="s">
        <v>101</v>
      </c>
      <c r="K122" t="s">
        <v>54</v>
      </c>
      <c r="L122" t="s">
        <v>102</v>
      </c>
      <c r="O122" t="s">
        <v>103</v>
      </c>
      <c r="P122" t="s">
        <v>104</v>
      </c>
      <c r="Q122">
        <v>55415.360000000001</v>
      </c>
      <c r="R122">
        <v>-15</v>
      </c>
      <c r="S122" t="s">
        <v>2895</v>
      </c>
      <c r="T122" t="s">
        <v>2896</v>
      </c>
      <c r="U122" t="s">
        <v>2897</v>
      </c>
    </row>
    <row r="123" spans="1:21">
      <c r="A123" t="s">
        <v>346</v>
      </c>
      <c r="B123" s="7">
        <v>46098</v>
      </c>
      <c r="C123" s="8">
        <v>0.70064814814814813</v>
      </c>
      <c r="D123" t="s">
        <v>17</v>
      </c>
      <c r="E123" t="s">
        <v>2</v>
      </c>
      <c r="F123" t="s">
        <v>50</v>
      </c>
      <c r="G123" t="s">
        <v>51</v>
      </c>
      <c r="H123">
        <v>92.94</v>
      </c>
      <c r="I123" t="s">
        <v>52</v>
      </c>
      <c r="J123" t="s">
        <v>196</v>
      </c>
      <c r="K123" t="s">
        <v>54</v>
      </c>
      <c r="L123" t="s">
        <v>55</v>
      </c>
      <c r="O123" t="s">
        <v>197</v>
      </c>
      <c r="P123" t="s">
        <v>198</v>
      </c>
      <c r="Q123">
        <v>55322.42</v>
      </c>
      <c r="R123">
        <v>-92.94</v>
      </c>
      <c r="S123" t="s">
        <v>2895</v>
      </c>
      <c r="T123" t="s">
        <v>2896</v>
      </c>
      <c r="U123" t="s">
        <v>2897</v>
      </c>
    </row>
    <row r="124" spans="1:21">
      <c r="A124" t="s">
        <v>348</v>
      </c>
      <c r="B124" s="7">
        <v>46098</v>
      </c>
      <c r="C124" s="8">
        <v>0.78206018518518516</v>
      </c>
      <c r="D124" t="s">
        <v>17</v>
      </c>
      <c r="E124" t="s">
        <v>2</v>
      </c>
      <c r="F124" t="s">
        <v>50</v>
      </c>
      <c r="G124" t="s">
        <v>51</v>
      </c>
      <c r="H124">
        <v>9.39</v>
      </c>
      <c r="I124" t="s">
        <v>52</v>
      </c>
      <c r="J124" t="s">
        <v>121</v>
      </c>
      <c r="K124" t="s">
        <v>54</v>
      </c>
      <c r="L124" t="s">
        <v>55</v>
      </c>
      <c r="O124" t="s">
        <v>122</v>
      </c>
      <c r="P124" t="s">
        <v>123</v>
      </c>
      <c r="Q124">
        <v>55474.02</v>
      </c>
      <c r="R124">
        <v>-9.39</v>
      </c>
      <c r="S124" t="s">
        <v>2895</v>
      </c>
      <c r="T124" t="s">
        <v>2896</v>
      </c>
      <c r="U124" t="s">
        <v>2897</v>
      </c>
    </row>
    <row r="125" spans="1:21">
      <c r="A125" t="s">
        <v>350</v>
      </c>
      <c r="B125" s="7">
        <v>46098</v>
      </c>
      <c r="C125" s="8">
        <v>0.7978587962962963</v>
      </c>
      <c r="D125" t="s">
        <v>17</v>
      </c>
      <c r="E125" t="s">
        <v>2</v>
      </c>
      <c r="F125" t="s">
        <v>50</v>
      </c>
      <c r="G125" t="s">
        <v>51</v>
      </c>
      <c r="H125">
        <v>28.66</v>
      </c>
      <c r="I125" t="s">
        <v>52</v>
      </c>
      <c r="J125" t="s">
        <v>65</v>
      </c>
      <c r="K125" t="s">
        <v>54</v>
      </c>
      <c r="L125" t="s">
        <v>55</v>
      </c>
      <c r="O125" t="s">
        <v>66</v>
      </c>
      <c r="P125" t="s">
        <v>67</v>
      </c>
      <c r="Q125">
        <v>55430.36</v>
      </c>
      <c r="R125">
        <v>-28.66</v>
      </c>
      <c r="S125" t="s">
        <v>2895</v>
      </c>
      <c r="T125" t="s">
        <v>2896</v>
      </c>
      <c r="U125" t="s">
        <v>2897</v>
      </c>
    </row>
    <row r="126" spans="1:21">
      <c r="A126" t="s">
        <v>352</v>
      </c>
      <c r="B126" s="7">
        <v>46098</v>
      </c>
      <c r="C126" s="8">
        <v>0.81320601851851848</v>
      </c>
      <c r="D126" t="s">
        <v>17</v>
      </c>
      <c r="E126" t="s">
        <v>2</v>
      </c>
      <c r="F126" t="s">
        <v>50</v>
      </c>
      <c r="G126" t="s">
        <v>100</v>
      </c>
      <c r="H126">
        <v>15</v>
      </c>
      <c r="I126" t="s">
        <v>52</v>
      </c>
      <c r="J126" t="s">
        <v>101</v>
      </c>
      <c r="K126" t="s">
        <v>54</v>
      </c>
      <c r="L126" t="s">
        <v>102</v>
      </c>
      <c r="O126" t="s">
        <v>103</v>
      </c>
      <c r="P126" t="s">
        <v>104</v>
      </c>
      <c r="Q126">
        <v>55483.41</v>
      </c>
      <c r="R126">
        <v>-15</v>
      </c>
      <c r="S126" t="s">
        <v>2895</v>
      </c>
      <c r="T126" t="s">
        <v>2896</v>
      </c>
      <c r="U126" t="s">
        <v>2897</v>
      </c>
    </row>
    <row r="127" spans="1:21">
      <c r="A127" t="s">
        <v>354</v>
      </c>
      <c r="B127" s="7">
        <v>46099</v>
      </c>
      <c r="C127" s="8">
        <v>0.36783564814814818</v>
      </c>
      <c r="D127" t="s">
        <v>17</v>
      </c>
      <c r="E127" t="s">
        <v>2</v>
      </c>
      <c r="F127" t="s">
        <v>50</v>
      </c>
      <c r="G127" t="s">
        <v>51</v>
      </c>
      <c r="H127">
        <v>19.66</v>
      </c>
      <c r="I127" t="s">
        <v>52</v>
      </c>
      <c r="J127" t="s">
        <v>81</v>
      </c>
      <c r="K127" t="s">
        <v>54</v>
      </c>
      <c r="L127" t="s">
        <v>55</v>
      </c>
      <c r="O127" t="s">
        <v>82</v>
      </c>
      <c r="P127" t="s">
        <v>83</v>
      </c>
      <c r="Q127">
        <v>55390.21</v>
      </c>
      <c r="R127">
        <v>-19.66</v>
      </c>
      <c r="S127" t="s">
        <v>2895</v>
      </c>
      <c r="T127" t="s">
        <v>2896</v>
      </c>
      <c r="U127" t="s">
        <v>2897</v>
      </c>
    </row>
    <row r="128" spans="1:21">
      <c r="A128" t="s">
        <v>356</v>
      </c>
      <c r="B128" s="7">
        <v>46099</v>
      </c>
      <c r="C128" s="8">
        <v>0.48516203703703703</v>
      </c>
      <c r="D128" t="s">
        <v>17</v>
      </c>
      <c r="E128" t="s">
        <v>2</v>
      </c>
      <c r="F128" t="s">
        <v>50</v>
      </c>
      <c r="G128" t="s">
        <v>51</v>
      </c>
      <c r="H128">
        <v>14.74</v>
      </c>
      <c r="I128" t="s">
        <v>52</v>
      </c>
      <c r="J128" t="s">
        <v>53</v>
      </c>
      <c r="K128" t="s">
        <v>54</v>
      </c>
      <c r="L128" t="s">
        <v>55</v>
      </c>
      <c r="O128" t="s">
        <v>56</v>
      </c>
      <c r="P128" t="s">
        <v>57</v>
      </c>
      <c r="Q128">
        <v>55114.57</v>
      </c>
      <c r="R128">
        <v>-14.74</v>
      </c>
      <c r="S128" t="s">
        <v>2895</v>
      </c>
      <c r="T128" t="s">
        <v>2896</v>
      </c>
      <c r="U128" t="s">
        <v>2897</v>
      </c>
    </row>
    <row r="129" spans="1:21">
      <c r="A129" t="s">
        <v>358</v>
      </c>
      <c r="B129" s="7">
        <v>46099</v>
      </c>
      <c r="C129" s="8">
        <v>0.52064814814814819</v>
      </c>
      <c r="D129" t="s">
        <v>17</v>
      </c>
      <c r="E129" t="s">
        <v>2</v>
      </c>
      <c r="F129" t="s">
        <v>50</v>
      </c>
      <c r="G129" t="s">
        <v>51</v>
      </c>
      <c r="H129">
        <v>50.2</v>
      </c>
      <c r="I129" t="s">
        <v>52</v>
      </c>
      <c r="J129" t="s">
        <v>60</v>
      </c>
      <c r="K129" t="s">
        <v>54</v>
      </c>
      <c r="L129" t="s">
        <v>55</v>
      </c>
      <c r="O129" t="s">
        <v>61</v>
      </c>
      <c r="P129" t="s">
        <v>62</v>
      </c>
      <c r="Q129">
        <v>55129.31</v>
      </c>
      <c r="R129">
        <v>-50.2</v>
      </c>
      <c r="S129" t="s">
        <v>2895</v>
      </c>
      <c r="T129" t="s">
        <v>2896</v>
      </c>
      <c r="U129" t="s">
        <v>2897</v>
      </c>
    </row>
    <row r="130" spans="1:21">
      <c r="A130" t="s">
        <v>360</v>
      </c>
      <c r="B130" s="7">
        <v>46099</v>
      </c>
      <c r="C130" s="8">
        <v>0.54756944444444444</v>
      </c>
      <c r="D130" t="s">
        <v>17</v>
      </c>
      <c r="E130" t="s">
        <v>2</v>
      </c>
      <c r="F130" t="s">
        <v>50</v>
      </c>
      <c r="G130" t="s">
        <v>51</v>
      </c>
      <c r="H130">
        <v>96.91</v>
      </c>
      <c r="I130" t="s">
        <v>52</v>
      </c>
      <c r="J130" t="s">
        <v>65</v>
      </c>
      <c r="K130" t="s">
        <v>54</v>
      </c>
      <c r="L130" t="s">
        <v>55</v>
      </c>
      <c r="O130" t="s">
        <v>66</v>
      </c>
      <c r="P130" t="s">
        <v>67</v>
      </c>
      <c r="Q130">
        <v>55179.51</v>
      </c>
      <c r="R130">
        <v>-96.91</v>
      </c>
      <c r="S130" t="s">
        <v>2895</v>
      </c>
      <c r="T130" t="s">
        <v>2896</v>
      </c>
      <c r="U130" t="s">
        <v>2897</v>
      </c>
    </row>
    <row r="131" spans="1:21">
      <c r="A131" t="s">
        <v>362</v>
      </c>
      <c r="B131" s="7">
        <v>46099</v>
      </c>
      <c r="C131" s="8">
        <v>0.55061342592592588</v>
      </c>
      <c r="D131" t="s">
        <v>17</v>
      </c>
      <c r="E131" t="s">
        <v>2</v>
      </c>
      <c r="F131" t="s">
        <v>50</v>
      </c>
      <c r="G131" t="s">
        <v>51</v>
      </c>
      <c r="H131">
        <v>113.79</v>
      </c>
      <c r="I131" t="s">
        <v>52</v>
      </c>
      <c r="J131" t="s">
        <v>65</v>
      </c>
      <c r="K131" t="s">
        <v>54</v>
      </c>
      <c r="L131" t="s">
        <v>55</v>
      </c>
      <c r="O131" t="s">
        <v>66</v>
      </c>
      <c r="P131" t="s">
        <v>67</v>
      </c>
      <c r="Q131">
        <v>55276.42</v>
      </c>
      <c r="R131">
        <v>-113.79</v>
      </c>
      <c r="S131" t="s">
        <v>2895</v>
      </c>
      <c r="T131" t="s">
        <v>2896</v>
      </c>
      <c r="U131" t="s">
        <v>2897</v>
      </c>
    </row>
    <row r="132" spans="1:21">
      <c r="A132" t="s">
        <v>364</v>
      </c>
      <c r="B132" s="7">
        <v>46100</v>
      </c>
      <c r="C132" s="8">
        <v>0.29119212962962965</v>
      </c>
      <c r="D132" t="s">
        <v>17</v>
      </c>
      <c r="E132" t="s">
        <v>2</v>
      </c>
      <c r="F132" t="s">
        <v>50</v>
      </c>
      <c r="G132" t="s">
        <v>51</v>
      </c>
      <c r="H132">
        <v>5.51</v>
      </c>
      <c r="I132" t="s">
        <v>52</v>
      </c>
      <c r="J132" t="s">
        <v>53</v>
      </c>
      <c r="K132" t="s">
        <v>54</v>
      </c>
      <c r="L132" t="s">
        <v>55</v>
      </c>
      <c r="O132" t="s">
        <v>56</v>
      </c>
      <c r="P132" t="s">
        <v>57</v>
      </c>
      <c r="Q132">
        <v>55109.06</v>
      </c>
      <c r="R132">
        <v>-5.51</v>
      </c>
      <c r="S132" t="s">
        <v>2895</v>
      </c>
      <c r="T132" t="s">
        <v>2896</v>
      </c>
      <c r="U132" t="s">
        <v>2897</v>
      </c>
    </row>
    <row r="133" spans="1:21">
      <c r="A133" t="s">
        <v>366</v>
      </c>
      <c r="B133" s="7">
        <v>46100</v>
      </c>
      <c r="C133" s="8">
        <v>0.30733796296296295</v>
      </c>
      <c r="D133" t="s">
        <v>17</v>
      </c>
      <c r="E133" t="s">
        <v>2</v>
      </c>
      <c r="F133" t="s">
        <v>50</v>
      </c>
      <c r="G133" t="s">
        <v>51</v>
      </c>
      <c r="H133">
        <v>61.81</v>
      </c>
      <c r="I133" t="s">
        <v>52</v>
      </c>
      <c r="J133" t="s">
        <v>60</v>
      </c>
      <c r="K133" t="s">
        <v>54</v>
      </c>
      <c r="L133" t="s">
        <v>55</v>
      </c>
      <c r="O133" t="s">
        <v>61</v>
      </c>
      <c r="P133" t="s">
        <v>62</v>
      </c>
      <c r="Q133">
        <v>55006.57</v>
      </c>
      <c r="R133">
        <v>-61.81</v>
      </c>
      <c r="S133" t="s">
        <v>2895</v>
      </c>
      <c r="T133" t="s">
        <v>2896</v>
      </c>
      <c r="U133" t="s">
        <v>2897</v>
      </c>
    </row>
    <row r="134" spans="1:21">
      <c r="A134" t="s">
        <v>368</v>
      </c>
      <c r="B134" s="7">
        <v>46100</v>
      </c>
      <c r="C134" s="8">
        <v>0.35603009259259261</v>
      </c>
      <c r="D134" t="s">
        <v>17</v>
      </c>
      <c r="E134" t="s">
        <v>2</v>
      </c>
      <c r="F134" t="s">
        <v>50</v>
      </c>
      <c r="G134" t="s">
        <v>51</v>
      </c>
      <c r="H134">
        <v>15.57</v>
      </c>
      <c r="I134" t="s">
        <v>52</v>
      </c>
      <c r="J134" t="s">
        <v>121</v>
      </c>
      <c r="K134" t="s">
        <v>54</v>
      </c>
      <c r="L134" t="s">
        <v>55</v>
      </c>
      <c r="O134" t="s">
        <v>122</v>
      </c>
      <c r="P134" t="s">
        <v>123</v>
      </c>
      <c r="Q134">
        <v>54991</v>
      </c>
      <c r="R134">
        <v>-15.57</v>
      </c>
      <c r="S134" t="s">
        <v>2895</v>
      </c>
      <c r="T134" t="s">
        <v>2896</v>
      </c>
      <c r="U134" t="s">
        <v>2897</v>
      </c>
    </row>
    <row r="135" spans="1:21">
      <c r="A135" t="s">
        <v>370</v>
      </c>
      <c r="B135" s="7">
        <v>46100</v>
      </c>
      <c r="C135" s="8">
        <v>0.43554398148148149</v>
      </c>
      <c r="D135" t="s">
        <v>17</v>
      </c>
      <c r="E135" t="s">
        <v>2</v>
      </c>
      <c r="F135" t="s">
        <v>149</v>
      </c>
      <c r="G135" t="s">
        <v>72</v>
      </c>
      <c r="H135">
        <v>152.59</v>
      </c>
      <c r="I135" t="s">
        <v>52</v>
      </c>
      <c r="J135" t="s">
        <v>233</v>
      </c>
      <c r="K135" t="s">
        <v>54</v>
      </c>
      <c r="L135" t="s">
        <v>74</v>
      </c>
      <c r="O135" t="s">
        <v>75</v>
      </c>
      <c r="P135" t="s">
        <v>76</v>
      </c>
      <c r="Q135">
        <v>55134.93</v>
      </c>
      <c r="R135">
        <v>152.59</v>
      </c>
      <c r="S135" t="s">
        <v>2895</v>
      </c>
      <c r="T135" t="s">
        <v>2896</v>
      </c>
      <c r="U135" t="s">
        <v>2897</v>
      </c>
    </row>
    <row r="136" spans="1:21">
      <c r="A136" t="s">
        <v>372</v>
      </c>
      <c r="B136" s="7">
        <v>46100</v>
      </c>
      <c r="C136" s="8">
        <v>0.50320601851851854</v>
      </c>
      <c r="D136" t="s">
        <v>17</v>
      </c>
      <c r="E136" t="s">
        <v>2</v>
      </c>
      <c r="F136" t="s">
        <v>50</v>
      </c>
      <c r="G136" t="s">
        <v>51</v>
      </c>
      <c r="H136">
        <v>10.54</v>
      </c>
      <c r="I136" t="s">
        <v>52</v>
      </c>
      <c r="J136" t="s">
        <v>121</v>
      </c>
      <c r="K136" t="s">
        <v>54</v>
      </c>
      <c r="L136" t="s">
        <v>55</v>
      </c>
      <c r="O136" t="s">
        <v>122</v>
      </c>
      <c r="P136" t="s">
        <v>123</v>
      </c>
      <c r="Q136">
        <v>55098.52</v>
      </c>
      <c r="R136">
        <v>-10.54</v>
      </c>
      <c r="S136" t="s">
        <v>2895</v>
      </c>
      <c r="T136" t="s">
        <v>2896</v>
      </c>
      <c r="U136" t="s">
        <v>2897</v>
      </c>
    </row>
    <row r="137" spans="1:21">
      <c r="A137" t="s">
        <v>374</v>
      </c>
      <c r="B137" s="7">
        <v>46100</v>
      </c>
      <c r="C137" s="8">
        <v>0.6629976851851852</v>
      </c>
      <c r="D137" t="s">
        <v>17</v>
      </c>
      <c r="E137" t="s">
        <v>2</v>
      </c>
      <c r="F137" t="s">
        <v>50</v>
      </c>
      <c r="G137" t="s">
        <v>51</v>
      </c>
      <c r="H137">
        <v>30.14</v>
      </c>
      <c r="I137" t="s">
        <v>52</v>
      </c>
      <c r="J137" t="s">
        <v>196</v>
      </c>
      <c r="K137" t="s">
        <v>54</v>
      </c>
      <c r="L137" t="s">
        <v>55</v>
      </c>
      <c r="O137" t="s">
        <v>197</v>
      </c>
      <c r="P137" t="s">
        <v>198</v>
      </c>
      <c r="Q137">
        <v>55068.38</v>
      </c>
      <c r="R137">
        <v>-30.14</v>
      </c>
      <c r="S137" t="s">
        <v>2895</v>
      </c>
      <c r="T137" t="s">
        <v>2896</v>
      </c>
      <c r="U137" t="s">
        <v>2897</v>
      </c>
    </row>
    <row r="138" spans="1:21">
      <c r="A138" t="s">
        <v>376</v>
      </c>
      <c r="B138" s="7">
        <v>46100</v>
      </c>
      <c r="C138" s="8">
        <v>0.82813657407407404</v>
      </c>
      <c r="D138" t="s">
        <v>17</v>
      </c>
      <c r="E138" t="s">
        <v>2</v>
      </c>
      <c r="F138" t="s">
        <v>50</v>
      </c>
      <c r="G138" t="s">
        <v>51</v>
      </c>
      <c r="H138">
        <v>8.66</v>
      </c>
      <c r="I138" t="s">
        <v>52</v>
      </c>
      <c r="J138" t="s">
        <v>81</v>
      </c>
      <c r="K138" t="s">
        <v>54</v>
      </c>
      <c r="L138" t="s">
        <v>55</v>
      </c>
      <c r="O138" t="s">
        <v>82</v>
      </c>
      <c r="P138" t="s">
        <v>83</v>
      </c>
      <c r="Q138">
        <v>54982.34</v>
      </c>
      <c r="R138">
        <v>-8.66</v>
      </c>
      <c r="S138" t="s">
        <v>2895</v>
      </c>
      <c r="T138" t="s">
        <v>2896</v>
      </c>
      <c r="U138" t="s">
        <v>2897</v>
      </c>
    </row>
    <row r="139" spans="1:21">
      <c r="A139" t="s">
        <v>378</v>
      </c>
      <c r="B139" s="7">
        <v>46101</v>
      </c>
      <c r="C139" s="8">
        <v>0.48001157407407408</v>
      </c>
      <c r="D139" t="s">
        <v>17</v>
      </c>
      <c r="E139" t="s">
        <v>2</v>
      </c>
      <c r="F139" t="s">
        <v>50</v>
      </c>
      <c r="G139" t="s">
        <v>100</v>
      </c>
      <c r="H139">
        <v>15</v>
      </c>
      <c r="I139" t="s">
        <v>52</v>
      </c>
      <c r="J139" t="s">
        <v>101</v>
      </c>
      <c r="K139" t="s">
        <v>54</v>
      </c>
      <c r="L139" t="s">
        <v>102</v>
      </c>
      <c r="O139" t="s">
        <v>103</v>
      </c>
      <c r="P139" t="s">
        <v>104</v>
      </c>
      <c r="Q139">
        <v>55038.85</v>
      </c>
      <c r="R139">
        <v>-15</v>
      </c>
      <c r="S139" t="s">
        <v>2895</v>
      </c>
      <c r="T139" t="s">
        <v>2896</v>
      </c>
      <c r="U139" t="s">
        <v>2897</v>
      </c>
    </row>
    <row r="140" spans="1:21">
      <c r="A140" t="s">
        <v>380</v>
      </c>
      <c r="B140" s="7">
        <v>46101</v>
      </c>
      <c r="C140" s="8">
        <v>0.57915509259259257</v>
      </c>
      <c r="D140" t="s">
        <v>17</v>
      </c>
      <c r="E140" t="s">
        <v>2</v>
      </c>
      <c r="F140" t="s">
        <v>50</v>
      </c>
      <c r="G140" t="s">
        <v>51</v>
      </c>
      <c r="H140">
        <v>8.51</v>
      </c>
      <c r="I140" t="s">
        <v>52</v>
      </c>
      <c r="J140" t="s">
        <v>53</v>
      </c>
      <c r="K140" t="s">
        <v>54</v>
      </c>
      <c r="L140" t="s">
        <v>55</v>
      </c>
      <c r="O140" t="s">
        <v>56</v>
      </c>
      <c r="P140" t="s">
        <v>57</v>
      </c>
      <c r="Q140">
        <v>55104.800000000003</v>
      </c>
      <c r="R140">
        <v>-8.51</v>
      </c>
      <c r="S140" t="s">
        <v>2895</v>
      </c>
      <c r="T140" t="s">
        <v>2896</v>
      </c>
      <c r="U140" t="s">
        <v>2897</v>
      </c>
    </row>
    <row r="141" spans="1:21">
      <c r="A141" t="s">
        <v>382</v>
      </c>
      <c r="B141" s="7">
        <v>46101</v>
      </c>
      <c r="C141" s="8">
        <v>0.58076388888888886</v>
      </c>
      <c r="D141" t="s">
        <v>17</v>
      </c>
      <c r="E141" t="s">
        <v>2</v>
      </c>
      <c r="F141" t="s">
        <v>50</v>
      </c>
      <c r="G141" t="s">
        <v>100</v>
      </c>
      <c r="H141">
        <v>89.99</v>
      </c>
      <c r="I141" t="s">
        <v>52</v>
      </c>
      <c r="J141" t="s">
        <v>384</v>
      </c>
      <c r="K141" t="s">
        <v>54</v>
      </c>
      <c r="L141" t="s">
        <v>102</v>
      </c>
      <c r="O141" t="s">
        <v>178</v>
      </c>
      <c r="P141" t="s">
        <v>385</v>
      </c>
      <c r="Q141">
        <v>48904.25</v>
      </c>
      <c r="R141">
        <v>-89.99</v>
      </c>
      <c r="S141" t="s">
        <v>2895</v>
      </c>
      <c r="T141" t="s">
        <v>2896</v>
      </c>
      <c r="U141" t="s">
        <v>2897</v>
      </c>
    </row>
    <row r="142" spans="1:21">
      <c r="A142" t="s">
        <v>386</v>
      </c>
      <c r="B142" s="7">
        <v>46101</v>
      </c>
      <c r="C142" s="8">
        <v>0.67912037037037032</v>
      </c>
      <c r="D142" t="s">
        <v>17</v>
      </c>
      <c r="E142" t="s">
        <v>2</v>
      </c>
      <c r="F142" t="s">
        <v>50</v>
      </c>
      <c r="G142" t="s">
        <v>51</v>
      </c>
      <c r="H142">
        <v>49.49</v>
      </c>
      <c r="I142" t="s">
        <v>52</v>
      </c>
      <c r="J142" t="s">
        <v>81</v>
      </c>
      <c r="K142" t="s">
        <v>54</v>
      </c>
      <c r="L142" t="s">
        <v>55</v>
      </c>
      <c r="O142" t="s">
        <v>82</v>
      </c>
      <c r="P142" t="s">
        <v>83</v>
      </c>
      <c r="Q142">
        <v>54989.36</v>
      </c>
      <c r="R142">
        <v>-49.49</v>
      </c>
      <c r="S142" t="s">
        <v>2895</v>
      </c>
      <c r="T142" t="s">
        <v>2896</v>
      </c>
      <c r="U142" t="s">
        <v>2897</v>
      </c>
    </row>
    <row r="143" spans="1:21">
      <c r="A143" t="s">
        <v>388</v>
      </c>
      <c r="B143" s="7">
        <v>46101</v>
      </c>
      <c r="C143" s="8">
        <v>0.76459490740740743</v>
      </c>
      <c r="D143" t="s">
        <v>17</v>
      </c>
      <c r="E143" t="s">
        <v>2</v>
      </c>
      <c r="F143" t="s">
        <v>50</v>
      </c>
      <c r="G143" t="s">
        <v>100</v>
      </c>
      <c r="H143">
        <v>15</v>
      </c>
      <c r="I143" t="s">
        <v>52</v>
      </c>
      <c r="J143" t="s">
        <v>101</v>
      </c>
      <c r="K143" t="s">
        <v>54</v>
      </c>
      <c r="L143" t="s">
        <v>102</v>
      </c>
      <c r="O143" t="s">
        <v>103</v>
      </c>
      <c r="P143" t="s">
        <v>104</v>
      </c>
      <c r="Q143">
        <v>55053.85</v>
      </c>
      <c r="R143">
        <v>-15</v>
      </c>
      <c r="S143" t="s">
        <v>2895</v>
      </c>
      <c r="T143" t="s">
        <v>2896</v>
      </c>
      <c r="U143" t="s">
        <v>2897</v>
      </c>
    </row>
    <row r="144" spans="1:21">
      <c r="A144" t="s">
        <v>390</v>
      </c>
      <c r="B144" s="7">
        <v>46101</v>
      </c>
      <c r="C144" s="8">
        <v>0.84430555555555553</v>
      </c>
      <c r="D144" t="s">
        <v>17</v>
      </c>
      <c r="E144" t="s">
        <v>2</v>
      </c>
      <c r="F144" t="s">
        <v>50</v>
      </c>
      <c r="G144" t="s">
        <v>51</v>
      </c>
      <c r="H144">
        <v>35.950000000000003</v>
      </c>
      <c r="I144" t="s">
        <v>52</v>
      </c>
      <c r="J144" t="s">
        <v>60</v>
      </c>
      <c r="K144" t="s">
        <v>54</v>
      </c>
      <c r="L144" t="s">
        <v>55</v>
      </c>
      <c r="O144" t="s">
        <v>61</v>
      </c>
      <c r="P144" t="s">
        <v>62</v>
      </c>
      <c r="Q144">
        <v>55068.85</v>
      </c>
      <c r="R144">
        <v>-35.950000000000003</v>
      </c>
      <c r="S144" t="s">
        <v>2895</v>
      </c>
      <c r="T144" t="s">
        <v>2896</v>
      </c>
      <c r="U144" t="s">
        <v>2897</v>
      </c>
    </row>
    <row r="145" spans="1:21">
      <c r="A145" t="s">
        <v>392</v>
      </c>
      <c r="B145" s="7">
        <v>46101</v>
      </c>
      <c r="C145" s="8">
        <v>0.85268518518518521</v>
      </c>
      <c r="D145" t="s">
        <v>17</v>
      </c>
      <c r="E145" t="s">
        <v>2</v>
      </c>
      <c r="F145" t="s">
        <v>50</v>
      </c>
      <c r="G145" t="s">
        <v>100</v>
      </c>
      <c r="H145">
        <v>21.62</v>
      </c>
      <c r="I145" t="s">
        <v>52</v>
      </c>
      <c r="J145" t="s">
        <v>114</v>
      </c>
      <c r="K145" t="s">
        <v>54</v>
      </c>
      <c r="L145" t="s">
        <v>102</v>
      </c>
      <c r="O145" t="s">
        <v>103</v>
      </c>
      <c r="P145" t="s">
        <v>104</v>
      </c>
      <c r="Q145">
        <v>55113.31</v>
      </c>
      <c r="R145">
        <v>-21.62</v>
      </c>
      <c r="S145" t="s">
        <v>2895</v>
      </c>
      <c r="T145" t="s">
        <v>2896</v>
      </c>
      <c r="U145" t="s">
        <v>2897</v>
      </c>
    </row>
    <row r="146" spans="1:21">
      <c r="A146" t="s">
        <v>394</v>
      </c>
      <c r="B146" s="7">
        <v>46101</v>
      </c>
      <c r="C146" s="8">
        <v>0.90399305555555554</v>
      </c>
      <c r="D146" t="s">
        <v>17</v>
      </c>
      <c r="E146" t="s">
        <v>2</v>
      </c>
      <c r="F146" t="s">
        <v>50</v>
      </c>
      <c r="G146" t="s">
        <v>72</v>
      </c>
      <c r="H146">
        <v>141.31</v>
      </c>
      <c r="I146" t="s">
        <v>52</v>
      </c>
      <c r="J146" t="s">
        <v>73</v>
      </c>
      <c r="K146" t="s">
        <v>54</v>
      </c>
      <c r="L146" t="s">
        <v>74</v>
      </c>
      <c r="O146" t="s">
        <v>75</v>
      </c>
      <c r="P146" t="s">
        <v>76</v>
      </c>
      <c r="Q146">
        <v>54836.27</v>
      </c>
      <c r="R146">
        <v>-141.31</v>
      </c>
      <c r="S146" t="s">
        <v>2895</v>
      </c>
      <c r="T146" t="s">
        <v>2896</v>
      </c>
      <c r="U146" t="s">
        <v>2897</v>
      </c>
    </row>
    <row r="147" spans="1:21">
      <c r="A147" t="s">
        <v>396</v>
      </c>
      <c r="B147" s="7">
        <v>46101</v>
      </c>
      <c r="C147" s="8">
        <v>0.92505787037037035</v>
      </c>
      <c r="D147" t="s">
        <v>17</v>
      </c>
      <c r="E147" t="s">
        <v>2</v>
      </c>
      <c r="F147" t="s">
        <v>50</v>
      </c>
      <c r="G147" t="s">
        <v>51</v>
      </c>
      <c r="H147">
        <v>11.78</v>
      </c>
      <c r="I147" t="s">
        <v>52</v>
      </c>
      <c r="J147" t="s">
        <v>53</v>
      </c>
      <c r="K147" t="s">
        <v>54</v>
      </c>
      <c r="L147" t="s">
        <v>55</v>
      </c>
      <c r="O147" t="s">
        <v>56</v>
      </c>
      <c r="P147" t="s">
        <v>57</v>
      </c>
      <c r="Q147">
        <v>54977.58</v>
      </c>
      <c r="R147">
        <v>-11.78</v>
      </c>
      <c r="S147" t="s">
        <v>2895</v>
      </c>
      <c r="T147" t="s">
        <v>2896</v>
      </c>
      <c r="U147" t="s">
        <v>2897</v>
      </c>
    </row>
    <row r="148" spans="1:21">
      <c r="A148" t="s">
        <v>398</v>
      </c>
      <c r="B148" s="7">
        <v>46102</v>
      </c>
      <c r="C148" s="8">
        <v>0.46681712962962962</v>
      </c>
      <c r="D148" t="s">
        <v>17</v>
      </c>
      <c r="E148" t="s">
        <v>2</v>
      </c>
      <c r="F148" t="s">
        <v>50</v>
      </c>
      <c r="G148" t="s">
        <v>51</v>
      </c>
      <c r="H148">
        <v>68.17</v>
      </c>
      <c r="I148" t="s">
        <v>52</v>
      </c>
      <c r="J148" t="s">
        <v>196</v>
      </c>
      <c r="K148" t="s">
        <v>54</v>
      </c>
      <c r="L148" t="s">
        <v>55</v>
      </c>
      <c r="O148" t="s">
        <v>197</v>
      </c>
      <c r="P148" t="s">
        <v>198</v>
      </c>
      <c r="Q148">
        <v>54687.93</v>
      </c>
      <c r="R148">
        <v>-68.17</v>
      </c>
      <c r="S148" t="s">
        <v>2895</v>
      </c>
      <c r="T148" t="s">
        <v>2896</v>
      </c>
      <c r="U148" t="s">
        <v>2897</v>
      </c>
    </row>
    <row r="149" spans="1:21">
      <c r="A149" t="s">
        <v>400</v>
      </c>
      <c r="B149" s="7">
        <v>46102</v>
      </c>
      <c r="C149" s="8">
        <v>0.59313657407407405</v>
      </c>
      <c r="D149" t="s">
        <v>17</v>
      </c>
      <c r="E149" t="s">
        <v>2</v>
      </c>
      <c r="F149" t="s">
        <v>50</v>
      </c>
      <c r="G149" t="s">
        <v>100</v>
      </c>
      <c r="H149">
        <v>15</v>
      </c>
      <c r="I149" t="s">
        <v>52</v>
      </c>
      <c r="J149" t="s">
        <v>101</v>
      </c>
      <c r="K149" t="s">
        <v>54</v>
      </c>
      <c r="L149" t="s">
        <v>102</v>
      </c>
      <c r="O149" t="s">
        <v>103</v>
      </c>
      <c r="P149" t="s">
        <v>104</v>
      </c>
      <c r="Q149">
        <v>54756.1</v>
      </c>
      <c r="R149">
        <v>-15</v>
      </c>
      <c r="S149" t="s">
        <v>2895</v>
      </c>
      <c r="T149" t="s">
        <v>2896</v>
      </c>
      <c r="U149" t="s">
        <v>2897</v>
      </c>
    </row>
    <row r="150" spans="1:21">
      <c r="A150" t="s">
        <v>402</v>
      </c>
      <c r="B150" s="7">
        <v>46102</v>
      </c>
      <c r="C150" s="8">
        <v>0.68245370370370373</v>
      </c>
      <c r="D150" t="s">
        <v>17</v>
      </c>
      <c r="E150" t="s">
        <v>2</v>
      </c>
      <c r="F150" t="s">
        <v>50</v>
      </c>
      <c r="G150" t="s">
        <v>100</v>
      </c>
      <c r="H150">
        <v>15.16</v>
      </c>
      <c r="I150" t="s">
        <v>52</v>
      </c>
      <c r="J150" t="s">
        <v>114</v>
      </c>
      <c r="K150" t="s">
        <v>54</v>
      </c>
      <c r="L150" t="s">
        <v>102</v>
      </c>
      <c r="O150" t="s">
        <v>103</v>
      </c>
      <c r="P150" t="s">
        <v>104</v>
      </c>
      <c r="Q150">
        <v>54771.1</v>
      </c>
      <c r="R150">
        <v>-15.16</v>
      </c>
      <c r="S150" t="s">
        <v>2895</v>
      </c>
      <c r="T150" t="s">
        <v>2896</v>
      </c>
      <c r="U150" t="s">
        <v>2897</v>
      </c>
    </row>
    <row r="151" spans="1:21">
      <c r="A151" t="s">
        <v>404</v>
      </c>
      <c r="B151" s="7">
        <v>46102</v>
      </c>
      <c r="C151" s="8">
        <v>0.72957175925925921</v>
      </c>
      <c r="D151" t="s">
        <v>17</v>
      </c>
      <c r="E151" t="s">
        <v>2</v>
      </c>
      <c r="F151" t="s">
        <v>50</v>
      </c>
      <c r="G151" t="s">
        <v>51</v>
      </c>
      <c r="H151">
        <v>13.3</v>
      </c>
      <c r="I151" t="s">
        <v>52</v>
      </c>
      <c r="J151" t="s">
        <v>53</v>
      </c>
      <c r="K151" t="s">
        <v>54</v>
      </c>
      <c r="L151" t="s">
        <v>55</v>
      </c>
      <c r="O151" t="s">
        <v>56</v>
      </c>
      <c r="P151" t="s">
        <v>57</v>
      </c>
      <c r="Q151">
        <v>54786.26</v>
      </c>
      <c r="R151">
        <v>-13.3</v>
      </c>
      <c r="S151" t="s">
        <v>2895</v>
      </c>
      <c r="T151" t="s">
        <v>2896</v>
      </c>
      <c r="U151" t="s">
        <v>2897</v>
      </c>
    </row>
    <row r="152" spans="1:21">
      <c r="A152" t="s">
        <v>406</v>
      </c>
      <c r="B152" s="7">
        <v>46102</v>
      </c>
      <c r="C152" s="8">
        <v>0.7807291666666667</v>
      </c>
      <c r="D152" t="s">
        <v>17</v>
      </c>
      <c r="E152" t="s">
        <v>2</v>
      </c>
      <c r="F152" t="s">
        <v>50</v>
      </c>
      <c r="G152" t="s">
        <v>51</v>
      </c>
      <c r="H152">
        <v>36.71</v>
      </c>
      <c r="I152" t="s">
        <v>52</v>
      </c>
      <c r="J152" t="s">
        <v>60</v>
      </c>
      <c r="K152" t="s">
        <v>54</v>
      </c>
      <c r="L152" t="s">
        <v>55</v>
      </c>
      <c r="O152" t="s">
        <v>61</v>
      </c>
      <c r="P152" t="s">
        <v>62</v>
      </c>
      <c r="Q152">
        <v>54799.56</v>
      </c>
      <c r="R152">
        <v>-36.71</v>
      </c>
      <c r="S152" t="s">
        <v>2895</v>
      </c>
      <c r="T152" t="s">
        <v>2896</v>
      </c>
      <c r="U152" t="s">
        <v>2897</v>
      </c>
    </row>
    <row r="153" spans="1:21">
      <c r="A153" t="s">
        <v>408</v>
      </c>
      <c r="B153" s="7">
        <v>46103</v>
      </c>
      <c r="C153" s="8">
        <v>0.27520833333333333</v>
      </c>
      <c r="D153" t="s">
        <v>17</v>
      </c>
      <c r="E153" t="s">
        <v>2</v>
      </c>
      <c r="F153" t="s">
        <v>50</v>
      </c>
      <c r="G153" t="s">
        <v>100</v>
      </c>
      <c r="H153">
        <v>15</v>
      </c>
      <c r="I153" t="s">
        <v>52</v>
      </c>
      <c r="J153" t="s">
        <v>101</v>
      </c>
      <c r="K153" t="s">
        <v>54</v>
      </c>
      <c r="L153" t="s">
        <v>102</v>
      </c>
      <c r="O153" t="s">
        <v>103</v>
      </c>
      <c r="P153" t="s">
        <v>104</v>
      </c>
      <c r="Q153">
        <v>54500.93</v>
      </c>
      <c r="R153">
        <v>-15</v>
      </c>
      <c r="S153" t="s">
        <v>2895</v>
      </c>
      <c r="T153" t="s">
        <v>2896</v>
      </c>
      <c r="U153" t="s">
        <v>2897</v>
      </c>
    </row>
    <row r="154" spans="1:21">
      <c r="A154" t="s">
        <v>410</v>
      </c>
      <c r="B154" s="7">
        <v>46103</v>
      </c>
      <c r="C154" s="8">
        <v>0.35879629629629628</v>
      </c>
      <c r="D154" t="s">
        <v>17</v>
      </c>
      <c r="E154" t="s">
        <v>2</v>
      </c>
      <c r="F154" t="s">
        <v>50</v>
      </c>
      <c r="G154" t="s">
        <v>51</v>
      </c>
      <c r="H154">
        <v>42.04</v>
      </c>
      <c r="I154" t="s">
        <v>52</v>
      </c>
      <c r="J154" t="s">
        <v>60</v>
      </c>
      <c r="K154" t="s">
        <v>54</v>
      </c>
      <c r="L154" t="s">
        <v>55</v>
      </c>
      <c r="O154" t="s">
        <v>61</v>
      </c>
      <c r="P154" t="s">
        <v>62</v>
      </c>
      <c r="Q154">
        <v>54426.720000000001</v>
      </c>
      <c r="R154">
        <v>-42.04</v>
      </c>
      <c r="S154" t="s">
        <v>2895</v>
      </c>
      <c r="T154" t="s">
        <v>2896</v>
      </c>
      <c r="U154" t="s">
        <v>2897</v>
      </c>
    </row>
    <row r="155" spans="1:21">
      <c r="A155" t="s">
        <v>412</v>
      </c>
      <c r="B155" s="7">
        <v>46103</v>
      </c>
      <c r="C155" s="8">
        <v>0.42849537037037039</v>
      </c>
      <c r="D155" t="s">
        <v>17</v>
      </c>
      <c r="E155" t="s">
        <v>2</v>
      </c>
      <c r="F155" t="s">
        <v>50</v>
      </c>
      <c r="G155" t="s">
        <v>51</v>
      </c>
      <c r="H155">
        <v>20.09</v>
      </c>
      <c r="I155" t="s">
        <v>52</v>
      </c>
      <c r="J155" t="s">
        <v>126</v>
      </c>
      <c r="K155" t="s">
        <v>54</v>
      </c>
      <c r="L155" t="s">
        <v>55</v>
      </c>
      <c r="O155" t="s">
        <v>56</v>
      </c>
      <c r="P155" t="s">
        <v>57</v>
      </c>
      <c r="Q155">
        <v>54604.21</v>
      </c>
      <c r="R155">
        <v>-20.09</v>
      </c>
      <c r="S155" t="s">
        <v>2895</v>
      </c>
      <c r="T155" t="s">
        <v>2896</v>
      </c>
      <c r="U155" t="s">
        <v>2897</v>
      </c>
    </row>
    <row r="156" spans="1:21">
      <c r="A156" t="s">
        <v>414</v>
      </c>
      <c r="B156" s="7">
        <v>46103</v>
      </c>
      <c r="C156" s="8">
        <v>0.4450810185185185</v>
      </c>
      <c r="D156" t="s">
        <v>17</v>
      </c>
      <c r="E156" t="s">
        <v>2</v>
      </c>
      <c r="F156" t="s">
        <v>50</v>
      </c>
      <c r="G156" t="s">
        <v>51</v>
      </c>
      <c r="H156">
        <v>88.28</v>
      </c>
      <c r="I156" t="s">
        <v>52</v>
      </c>
      <c r="J156" t="s">
        <v>65</v>
      </c>
      <c r="K156" t="s">
        <v>54</v>
      </c>
      <c r="L156" t="s">
        <v>55</v>
      </c>
      <c r="O156" t="s">
        <v>66</v>
      </c>
      <c r="P156" t="s">
        <v>67</v>
      </c>
      <c r="Q156">
        <v>54515.93</v>
      </c>
      <c r="R156">
        <v>-88.28</v>
      </c>
      <c r="S156" t="s">
        <v>2895</v>
      </c>
      <c r="T156" t="s">
        <v>2896</v>
      </c>
      <c r="U156" t="s">
        <v>2897</v>
      </c>
    </row>
    <row r="157" spans="1:21">
      <c r="A157" t="s">
        <v>416</v>
      </c>
      <c r="B157" s="7">
        <v>46103</v>
      </c>
      <c r="C157" s="8">
        <v>0.63498842592592597</v>
      </c>
      <c r="D157" t="s">
        <v>17</v>
      </c>
      <c r="E157" t="s">
        <v>2</v>
      </c>
      <c r="F157" t="s">
        <v>50</v>
      </c>
      <c r="G157" t="s">
        <v>51</v>
      </c>
      <c r="H157">
        <v>63.63</v>
      </c>
      <c r="I157" t="s">
        <v>52</v>
      </c>
      <c r="J157" t="s">
        <v>60</v>
      </c>
      <c r="K157" t="s">
        <v>54</v>
      </c>
      <c r="L157" t="s">
        <v>55</v>
      </c>
      <c r="O157" t="s">
        <v>61</v>
      </c>
      <c r="P157" t="s">
        <v>62</v>
      </c>
      <c r="Q157">
        <v>54624.3</v>
      </c>
      <c r="R157">
        <v>-63.63</v>
      </c>
      <c r="S157" t="s">
        <v>2895</v>
      </c>
      <c r="T157" t="s">
        <v>2896</v>
      </c>
      <c r="U157" t="s">
        <v>2897</v>
      </c>
    </row>
    <row r="158" spans="1:21">
      <c r="A158" t="s">
        <v>418</v>
      </c>
      <c r="B158" s="7">
        <v>46103</v>
      </c>
      <c r="C158" s="8">
        <v>0.67434027777777783</v>
      </c>
      <c r="D158" t="s">
        <v>17</v>
      </c>
      <c r="E158" t="s">
        <v>2</v>
      </c>
      <c r="F158" t="s">
        <v>50</v>
      </c>
      <c r="G158" t="s">
        <v>100</v>
      </c>
      <c r="H158">
        <v>15</v>
      </c>
      <c r="I158" t="s">
        <v>52</v>
      </c>
      <c r="J158" t="s">
        <v>101</v>
      </c>
      <c r="K158" t="s">
        <v>54</v>
      </c>
      <c r="L158" t="s">
        <v>102</v>
      </c>
      <c r="O158" t="s">
        <v>103</v>
      </c>
      <c r="P158" t="s">
        <v>104</v>
      </c>
      <c r="Q158">
        <v>54485.93</v>
      </c>
      <c r="R158">
        <v>-15</v>
      </c>
      <c r="S158" t="s">
        <v>2895</v>
      </c>
      <c r="T158" t="s">
        <v>2896</v>
      </c>
      <c r="U158" t="s">
        <v>2897</v>
      </c>
    </row>
    <row r="159" spans="1:21">
      <c r="A159" t="s">
        <v>420</v>
      </c>
      <c r="B159" s="7">
        <v>46103</v>
      </c>
      <c r="C159" s="8">
        <v>0.880462962962963</v>
      </c>
      <c r="D159" t="s">
        <v>17</v>
      </c>
      <c r="E159" t="s">
        <v>2</v>
      </c>
      <c r="F159" t="s">
        <v>50</v>
      </c>
      <c r="G159" t="s">
        <v>51</v>
      </c>
      <c r="H159">
        <v>17.170000000000002</v>
      </c>
      <c r="I159" t="s">
        <v>52</v>
      </c>
      <c r="J159" t="s">
        <v>53</v>
      </c>
      <c r="K159" t="s">
        <v>54</v>
      </c>
      <c r="L159" t="s">
        <v>55</v>
      </c>
      <c r="O159" t="s">
        <v>56</v>
      </c>
      <c r="P159" t="s">
        <v>57</v>
      </c>
      <c r="Q159">
        <v>54468.76</v>
      </c>
      <c r="R159">
        <v>-17.170000000000002</v>
      </c>
      <c r="S159" t="s">
        <v>2895</v>
      </c>
      <c r="T159" t="s">
        <v>2896</v>
      </c>
      <c r="U159" t="s">
        <v>2897</v>
      </c>
    </row>
    <row r="160" spans="1:21">
      <c r="A160" t="s">
        <v>422</v>
      </c>
      <c r="B160" s="7">
        <v>46104</v>
      </c>
      <c r="C160" s="8">
        <v>0.26837962962962963</v>
      </c>
      <c r="D160" t="s">
        <v>17</v>
      </c>
      <c r="E160" t="s">
        <v>2</v>
      </c>
      <c r="F160" t="s">
        <v>50</v>
      </c>
      <c r="G160" t="s">
        <v>100</v>
      </c>
      <c r="H160">
        <v>11.13</v>
      </c>
      <c r="I160" t="s">
        <v>52</v>
      </c>
      <c r="J160" t="s">
        <v>114</v>
      </c>
      <c r="K160" t="s">
        <v>54</v>
      </c>
      <c r="L160" t="s">
        <v>102</v>
      </c>
      <c r="O160" t="s">
        <v>103</v>
      </c>
      <c r="P160" t="s">
        <v>104</v>
      </c>
      <c r="Q160">
        <v>54226.38</v>
      </c>
      <c r="R160">
        <v>-11.13</v>
      </c>
      <c r="S160" t="s">
        <v>2895</v>
      </c>
      <c r="T160" t="s">
        <v>2896</v>
      </c>
      <c r="U160" t="s">
        <v>2897</v>
      </c>
    </row>
    <row r="161" spans="1:21">
      <c r="A161" t="s">
        <v>424</v>
      </c>
      <c r="B161" s="7">
        <v>46104</v>
      </c>
      <c r="C161" s="8">
        <v>0.31929398148148147</v>
      </c>
      <c r="D161" t="s">
        <v>17</v>
      </c>
      <c r="E161" t="s">
        <v>2</v>
      </c>
      <c r="F161" t="s">
        <v>50</v>
      </c>
      <c r="G161" t="s">
        <v>51</v>
      </c>
      <c r="H161">
        <v>8.8000000000000007</v>
      </c>
      <c r="I161" t="s">
        <v>52</v>
      </c>
      <c r="J161" t="s">
        <v>121</v>
      </c>
      <c r="K161" t="s">
        <v>54</v>
      </c>
      <c r="L161" t="s">
        <v>55</v>
      </c>
      <c r="O161" t="s">
        <v>122</v>
      </c>
      <c r="P161" t="s">
        <v>123</v>
      </c>
      <c r="Q161">
        <v>54320.14</v>
      </c>
      <c r="R161">
        <v>-8.8000000000000007</v>
      </c>
      <c r="S161" t="s">
        <v>2895</v>
      </c>
      <c r="T161" t="s">
        <v>2896</v>
      </c>
      <c r="U161" t="s">
        <v>2897</v>
      </c>
    </row>
    <row r="162" spans="1:21">
      <c r="A162" t="s">
        <v>426</v>
      </c>
      <c r="B162" s="7">
        <v>46104</v>
      </c>
      <c r="C162" s="8">
        <v>0.39986111111111111</v>
      </c>
      <c r="D162" t="s">
        <v>17</v>
      </c>
      <c r="E162" t="s">
        <v>2</v>
      </c>
      <c r="F162" t="s">
        <v>50</v>
      </c>
      <c r="G162" t="s">
        <v>51</v>
      </c>
      <c r="H162">
        <v>71.7</v>
      </c>
      <c r="I162" t="s">
        <v>52</v>
      </c>
      <c r="J162" t="s">
        <v>60</v>
      </c>
      <c r="K162" t="s">
        <v>54</v>
      </c>
      <c r="L162" t="s">
        <v>55</v>
      </c>
      <c r="O162" t="s">
        <v>61</v>
      </c>
      <c r="P162" t="s">
        <v>62</v>
      </c>
      <c r="Q162">
        <v>54355.02</v>
      </c>
      <c r="R162">
        <v>-71.7</v>
      </c>
      <c r="S162" t="s">
        <v>2895</v>
      </c>
      <c r="T162" t="s">
        <v>2896</v>
      </c>
      <c r="U162" t="s">
        <v>2897</v>
      </c>
    </row>
    <row r="163" spans="1:21">
      <c r="A163" t="s">
        <v>428</v>
      </c>
      <c r="B163" s="7">
        <v>46104</v>
      </c>
      <c r="C163" s="8">
        <v>0.46887731481481482</v>
      </c>
      <c r="D163" t="s">
        <v>17</v>
      </c>
      <c r="E163" t="s">
        <v>2</v>
      </c>
      <c r="F163" t="s">
        <v>50</v>
      </c>
      <c r="G163" t="s">
        <v>51</v>
      </c>
      <c r="H163">
        <v>13.25</v>
      </c>
      <c r="I163" t="s">
        <v>52</v>
      </c>
      <c r="J163" t="s">
        <v>53</v>
      </c>
      <c r="K163" t="s">
        <v>54</v>
      </c>
      <c r="L163" t="s">
        <v>55</v>
      </c>
      <c r="O163" t="s">
        <v>56</v>
      </c>
      <c r="P163" t="s">
        <v>57</v>
      </c>
      <c r="Q163">
        <v>54237.51</v>
      </c>
      <c r="R163">
        <v>-13.25</v>
      </c>
      <c r="S163" t="s">
        <v>2895</v>
      </c>
      <c r="T163" t="s">
        <v>2896</v>
      </c>
      <c r="U163" t="s">
        <v>2897</v>
      </c>
    </row>
    <row r="164" spans="1:21">
      <c r="A164" t="s">
        <v>430</v>
      </c>
      <c r="B164" s="7">
        <v>46104</v>
      </c>
      <c r="C164" s="8">
        <v>0.52792824074074074</v>
      </c>
      <c r="D164" t="s">
        <v>17</v>
      </c>
      <c r="E164" t="s">
        <v>2</v>
      </c>
      <c r="F164" t="s">
        <v>50</v>
      </c>
      <c r="G164" t="s">
        <v>51</v>
      </c>
      <c r="H164">
        <v>69.38</v>
      </c>
      <c r="I164" t="s">
        <v>52</v>
      </c>
      <c r="J164" t="s">
        <v>60</v>
      </c>
      <c r="K164" t="s">
        <v>54</v>
      </c>
      <c r="L164" t="s">
        <v>55</v>
      </c>
      <c r="O164" t="s">
        <v>61</v>
      </c>
      <c r="P164" t="s">
        <v>62</v>
      </c>
      <c r="Q164">
        <v>54250.76</v>
      </c>
      <c r="R164">
        <v>-69.38</v>
      </c>
      <c r="S164" t="s">
        <v>2895</v>
      </c>
      <c r="T164" t="s">
        <v>2896</v>
      </c>
      <c r="U164" t="s">
        <v>2897</v>
      </c>
    </row>
    <row r="165" spans="1:21">
      <c r="A165" t="s">
        <v>432</v>
      </c>
      <c r="B165" s="7">
        <v>46104</v>
      </c>
      <c r="C165" s="8">
        <v>0.5760763888888889</v>
      </c>
      <c r="D165" t="s">
        <v>17</v>
      </c>
      <c r="E165" t="s">
        <v>2</v>
      </c>
      <c r="F165" t="s">
        <v>50</v>
      </c>
      <c r="G165" t="s">
        <v>51</v>
      </c>
      <c r="H165">
        <v>14.52</v>
      </c>
      <c r="I165" t="s">
        <v>52</v>
      </c>
      <c r="J165" t="s">
        <v>121</v>
      </c>
      <c r="K165" t="s">
        <v>54</v>
      </c>
      <c r="L165" t="s">
        <v>55</v>
      </c>
      <c r="O165" t="s">
        <v>122</v>
      </c>
      <c r="P165" t="s">
        <v>123</v>
      </c>
      <c r="Q165">
        <v>54340.5</v>
      </c>
      <c r="R165">
        <v>-14.52</v>
      </c>
      <c r="S165" t="s">
        <v>2895</v>
      </c>
      <c r="T165" t="s">
        <v>2896</v>
      </c>
      <c r="U165" t="s">
        <v>2897</v>
      </c>
    </row>
    <row r="166" spans="1:21">
      <c r="A166" t="s">
        <v>434</v>
      </c>
      <c r="B166" s="7">
        <v>46104</v>
      </c>
      <c r="C166" s="8">
        <v>0.8471643518518519</v>
      </c>
      <c r="D166" t="s">
        <v>17</v>
      </c>
      <c r="E166" t="s">
        <v>2</v>
      </c>
      <c r="F166" t="s">
        <v>50</v>
      </c>
      <c r="G166" t="s">
        <v>51</v>
      </c>
      <c r="H166">
        <v>11.56</v>
      </c>
      <c r="I166" t="s">
        <v>52</v>
      </c>
      <c r="J166" t="s">
        <v>121</v>
      </c>
      <c r="K166" t="s">
        <v>54</v>
      </c>
      <c r="L166" t="s">
        <v>55</v>
      </c>
      <c r="O166" t="s">
        <v>122</v>
      </c>
      <c r="P166" t="s">
        <v>123</v>
      </c>
      <c r="Q166">
        <v>54328.94</v>
      </c>
      <c r="R166">
        <v>-11.56</v>
      </c>
      <c r="S166" t="s">
        <v>2895</v>
      </c>
      <c r="T166" t="s">
        <v>2896</v>
      </c>
      <c r="U166" t="s">
        <v>2897</v>
      </c>
    </row>
    <row r="167" spans="1:21">
      <c r="A167" t="s">
        <v>436</v>
      </c>
      <c r="B167" s="7">
        <v>46105</v>
      </c>
      <c r="C167" s="8">
        <v>0.33553240740740742</v>
      </c>
      <c r="D167" t="s">
        <v>17</v>
      </c>
      <c r="E167" t="s">
        <v>2</v>
      </c>
      <c r="F167" t="s">
        <v>50</v>
      </c>
      <c r="G167" t="s">
        <v>51</v>
      </c>
      <c r="H167">
        <v>15.57</v>
      </c>
      <c r="I167" t="s">
        <v>52</v>
      </c>
      <c r="J167" t="s">
        <v>53</v>
      </c>
      <c r="K167" t="s">
        <v>54</v>
      </c>
      <c r="L167" t="s">
        <v>55</v>
      </c>
      <c r="O167" t="s">
        <v>56</v>
      </c>
      <c r="P167" t="s">
        <v>57</v>
      </c>
      <c r="Q167">
        <v>54044.86</v>
      </c>
      <c r="R167">
        <v>-15.57</v>
      </c>
      <c r="S167" t="s">
        <v>2895</v>
      </c>
      <c r="T167" t="s">
        <v>2896</v>
      </c>
      <c r="U167" t="s">
        <v>2897</v>
      </c>
    </row>
    <row r="168" spans="1:21">
      <c r="A168" t="s">
        <v>438</v>
      </c>
      <c r="B168" s="7">
        <v>46105</v>
      </c>
      <c r="C168" s="8">
        <v>0.57024305555555554</v>
      </c>
      <c r="D168" t="s">
        <v>17</v>
      </c>
      <c r="E168" t="s">
        <v>2</v>
      </c>
      <c r="F168" t="s">
        <v>50</v>
      </c>
      <c r="G168" t="s">
        <v>51</v>
      </c>
      <c r="H168">
        <v>87.67</v>
      </c>
      <c r="I168" t="s">
        <v>52</v>
      </c>
      <c r="J168" t="s">
        <v>196</v>
      </c>
      <c r="K168" t="s">
        <v>54</v>
      </c>
      <c r="L168" t="s">
        <v>55</v>
      </c>
      <c r="O168" t="s">
        <v>197</v>
      </c>
      <c r="P168" t="s">
        <v>198</v>
      </c>
      <c r="Q168">
        <v>54060.43</v>
      </c>
      <c r="R168">
        <v>-87.67</v>
      </c>
      <c r="S168" t="s">
        <v>2895</v>
      </c>
      <c r="T168" t="s">
        <v>2896</v>
      </c>
      <c r="U168" t="s">
        <v>2897</v>
      </c>
    </row>
    <row r="169" spans="1:21">
      <c r="A169" t="s">
        <v>440</v>
      </c>
      <c r="B169" s="7">
        <v>46105</v>
      </c>
      <c r="C169" s="8">
        <v>0.58282407407407411</v>
      </c>
      <c r="D169" t="s">
        <v>17</v>
      </c>
      <c r="E169" t="s">
        <v>2</v>
      </c>
      <c r="F169" t="s">
        <v>50</v>
      </c>
      <c r="G169" t="s">
        <v>100</v>
      </c>
      <c r="H169">
        <v>15</v>
      </c>
      <c r="I169" t="s">
        <v>52</v>
      </c>
      <c r="J169" t="s">
        <v>101</v>
      </c>
      <c r="K169" t="s">
        <v>54</v>
      </c>
      <c r="L169" t="s">
        <v>102</v>
      </c>
      <c r="O169" t="s">
        <v>103</v>
      </c>
      <c r="P169" t="s">
        <v>104</v>
      </c>
      <c r="Q169">
        <v>54148.1</v>
      </c>
      <c r="R169">
        <v>-15</v>
      </c>
      <c r="S169" t="s">
        <v>2895</v>
      </c>
      <c r="T169" t="s">
        <v>2896</v>
      </c>
      <c r="U169" t="s">
        <v>2897</v>
      </c>
    </row>
    <row r="170" spans="1:21">
      <c r="A170" t="s">
        <v>442</v>
      </c>
      <c r="B170" s="7">
        <v>46105</v>
      </c>
      <c r="C170" s="8">
        <v>0.64452546296296298</v>
      </c>
      <c r="D170" t="s">
        <v>17</v>
      </c>
      <c r="E170" t="s">
        <v>2</v>
      </c>
      <c r="F170" t="s">
        <v>50</v>
      </c>
      <c r="G170" t="s">
        <v>51</v>
      </c>
      <c r="H170">
        <v>12.33</v>
      </c>
      <c r="I170" t="s">
        <v>52</v>
      </c>
      <c r="J170" t="s">
        <v>53</v>
      </c>
      <c r="K170" t="s">
        <v>54</v>
      </c>
      <c r="L170" t="s">
        <v>55</v>
      </c>
      <c r="O170" t="s">
        <v>56</v>
      </c>
      <c r="P170" t="s">
        <v>57</v>
      </c>
      <c r="Q170">
        <v>54032.53</v>
      </c>
      <c r="R170">
        <v>-12.33</v>
      </c>
      <c r="S170" t="s">
        <v>2895</v>
      </c>
      <c r="T170" t="s">
        <v>2896</v>
      </c>
      <c r="U170" t="s">
        <v>2897</v>
      </c>
    </row>
    <row r="171" spans="1:21">
      <c r="A171" t="s">
        <v>444</v>
      </c>
      <c r="B171" s="7">
        <v>46105</v>
      </c>
      <c r="C171" s="8">
        <v>0.65619212962962958</v>
      </c>
      <c r="D171" t="s">
        <v>17</v>
      </c>
      <c r="E171" t="s">
        <v>2</v>
      </c>
      <c r="F171" t="s">
        <v>50</v>
      </c>
      <c r="G171" t="s">
        <v>51</v>
      </c>
      <c r="H171">
        <v>63.28</v>
      </c>
      <c r="I171" t="s">
        <v>52</v>
      </c>
      <c r="J171" t="s">
        <v>196</v>
      </c>
      <c r="K171" t="s">
        <v>54</v>
      </c>
      <c r="L171" t="s">
        <v>55</v>
      </c>
      <c r="O171" t="s">
        <v>197</v>
      </c>
      <c r="P171" t="s">
        <v>198</v>
      </c>
      <c r="Q171">
        <v>54163.1</v>
      </c>
      <c r="R171">
        <v>-63.28</v>
      </c>
      <c r="S171" t="s">
        <v>2895</v>
      </c>
      <c r="T171" t="s">
        <v>2896</v>
      </c>
      <c r="U171" t="s">
        <v>2897</v>
      </c>
    </row>
    <row r="172" spans="1:21">
      <c r="A172" t="s">
        <v>446</v>
      </c>
      <c r="B172" s="7">
        <v>46106</v>
      </c>
      <c r="C172" s="8">
        <v>0.2838310185185185</v>
      </c>
      <c r="D172" t="s">
        <v>17</v>
      </c>
      <c r="E172" t="s">
        <v>2</v>
      </c>
      <c r="F172" t="s">
        <v>50</v>
      </c>
      <c r="G172" t="s">
        <v>51</v>
      </c>
      <c r="H172">
        <v>29.6</v>
      </c>
      <c r="I172" t="s">
        <v>52</v>
      </c>
      <c r="J172" t="s">
        <v>65</v>
      </c>
      <c r="K172" t="s">
        <v>54</v>
      </c>
      <c r="L172" t="s">
        <v>55</v>
      </c>
      <c r="O172" t="s">
        <v>66</v>
      </c>
      <c r="P172" t="s">
        <v>67</v>
      </c>
      <c r="Q172">
        <v>53860.959999999999</v>
      </c>
      <c r="R172">
        <v>-29.6</v>
      </c>
      <c r="S172" t="s">
        <v>2895</v>
      </c>
      <c r="T172" t="s">
        <v>2896</v>
      </c>
      <c r="U172" t="s">
        <v>2897</v>
      </c>
    </row>
    <row r="173" spans="1:21">
      <c r="A173" t="s">
        <v>448</v>
      </c>
      <c r="B173" s="7">
        <v>46106</v>
      </c>
      <c r="C173" s="8">
        <v>0.41261574074074076</v>
      </c>
      <c r="D173" t="s">
        <v>17</v>
      </c>
      <c r="E173" t="s">
        <v>2</v>
      </c>
      <c r="F173" t="s">
        <v>50</v>
      </c>
      <c r="G173" t="s">
        <v>51</v>
      </c>
      <c r="H173">
        <v>24.7</v>
      </c>
      <c r="I173" t="s">
        <v>52</v>
      </c>
      <c r="J173" t="s">
        <v>81</v>
      </c>
      <c r="K173" t="s">
        <v>54</v>
      </c>
      <c r="L173" t="s">
        <v>55</v>
      </c>
      <c r="O173" t="s">
        <v>82</v>
      </c>
      <c r="P173" t="s">
        <v>83</v>
      </c>
      <c r="Q173">
        <v>53794.19</v>
      </c>
      <c r="R173">
        <v>-24.7</v>
      </c>
      <c r="S173" t="s">
        <v>2895</v>
      </c>
      <c r="T173" t="s">
        <v>2896</v>
      </c>
      <c r="U173" t="s">
        <v>2897</v>
      </c>
    </row>
    <row r="174" spans="1:21">
      <c r="A174" t="s">
        <v>450</v>
      </c>
      <c r="B174" s="7">
        <v>46106</v>
      </c>
      <c r="C174" s="8">
        <v>0.47954861111111113</v>
      </c>
      <c r="D174" t="s">
        <v>17</v>
      </c>
      <c r="E174" t="s">
        <v>2</v>
      </c>
      <c r="F174" t="s">
        <v>50</v>
      </c>
      <c r="G174" t="s">
        <v>51</v>
      </c>
      <c r="H174">
        <v>12.07</v>
      </c>
      <c r="I174" t="s">
        <v>52</v>
      </c>
      <c r="J174" t="s">
        <v>53</v>
      </c>
      <c r="K174" t="s">
        <v>54</v>
      </c>
      <c r="L174" t="s">
        <v>55</v>
      </c>
      <c r="O174" t="s">
        <v>56</v>
      </c>
      <c r="P174" t="s">
        <v>57</v>
      </c>
      <c r="Q174">
        <v>53848.89</v>
      </c>
      <c r="R174">
        <v>-12.07</v>
      </c>
      <c r="S174" t="s">
        <v>2895</v>
      </c>
      <c r="T174" t="s">
        <v>2896</v>
      </c>
      <c r="U174" t="s">
        <v>2897</v>
      </c>
    </row>
    <row r="175" spans="1:21">
      <c r="A175" t="s">
        <v>452</v>
      </c>
      <c r="B175" s="7">
        <v>46106</v>
      </c>
      <c r="C175" s="8">
        <v>0.48434027777777777</v>
      </c>
      <c r="D175" t="s">
        <v>17</v>
      </c>
      <c r="E175" t="s">
        <v>2</v>
      </c>
      <c r="F175" t="s">
        <v>50</v>
      </c>
      <c r="G175" t="s">
        <v>100</v>
      </c>
      <c r="H175">
        <v>15</v>
      </c>
      <c r="I175" t="s">
        <v>52</v>
      </c>
      <c r="J175" t="s">
        <v>101</v>
      </c>
      <c r="K175" t="s">
        <v>54</v>
      </c>
      <c r="L175" t="s">
        <v>102</v>
      </c>
      <c r="O175" t="s">
        <v>103</v>
      </c>
      <c r="P175" t="s">
        <v>104</v>
      </c>
      <c r="Q175">
        <v>53833.89</v>
      </c>
      <c r="R175">
        <v>-15</v>
      </c>
      <c r="S175" t="s">
        <v>2895</v>
      </c>
      <c r="T175" t="s">
        <v>2896</v>
      </c>
      <c r="U175" t="s">
        <v>2897</v>
      </c>
    </row>
    <row r="176" spans="1:21">
      <c r="A176" t="s">
        <v>454</v>
      </c>
      <c r="B176" s="7">
        <v>46106</v>
      </c>
      <c r="C176" s="8">
        <v>0.69324074074074071</v>
      </c>
      <c r="D176" t="s">
        <v>17</v>
      </c>
      <c r="E176" t="s">
        <v>2</v>
      </c>
      <c r="F176" t="s">
        <v>50</v>
      </c>
      <c r="G176" t="s">
        <v>51</v>
      </c>
      <c r="H176">
        <v>130.96</v>
      </c>
      <c r="I176" t="s">
        <v>52</v>
      </c>
      <c r="J176" t="s">
        <v>65</v>
      </c>
      <c r="K176" t="s">
        <v>54</v>
      </c>
      <c r="L176" t="s">
        <v>55</v>
      </c>
      <c r="O176" t="s">
        <v>66</v>
      </c>
      <c r="P176" t="s">
        <v>67</v>
      </c>
      <c r="Q176">
        <v>53890.559999999998</v>
      </c>
      <c r="R176">
        <v>-130.96</v>
      </c>
      <c r="S176" t="s">
        <v>2895</v>
      </c>
      <c r="T176" t="s">
        <v>2896</v>
      </c>
      <c r="U176" t="s">
        <v>2897</v>
      </c>
    </row>
    <row r="177" spans="1:21">
      <c r="A177" t="s">
        <v>456</v>
      </c>
      <c r="B177" s="7">
        <v>46106</v>
      </c>
      <c r="C177" s="8">
        <v>0.88798611111111114</v>
      </c>
      <c r="D177" t="s">
        <v>17</v>
      </c>
      <c r="E177" t="s">
        <v>2</v>
      </c>
      <c r="F177" t="s">
        <v>50</v>
      </c>
      <c r="G177" t="s">
        <v>51</v>
      </c>
      <c r="H177">
        <v>29.41</v>
      </c>
      <c r="I177" t="s">
        <v>52</v>
      </c>
      <c r="J177" t="s">
        <v>81</v>
      </c>
      <c r="K177" t="s">
        <v>54</v>
      </c>
      <c r="L177" t="s">
        <v>55</v>
      </c>
      <c r="O177" t="s">
        <v>82</v>
      </c>
      <c r="P177" t="s">
        <v>83</v>
      </c>
      <c r="Q177">
        <v>53764.78</v>
      </c>
      <c r="R177">
        <v>-29.41</v>
      </c>
      <c r="S177" t="s">
        <v>2895</v>
      </c>
      <c r="T177" t="s">
        <v>2896</v>
      </c>
      <c r="U177" t="s">
        <v>2897</v>
      </c>
    </row>
    <row r="178" spans="1:21">
      <c r="A178" t="s">
        <v>458</v>
      </c>
      <c r="B178" s="7">
        <v>46106</v>
      </c>
      <c r="C178" s="8">
        <v>0.89057870370370373</v>
      </c>
      <c r="D178" t="s">
        <v>17</v>
      </c>
      <c r="E178" t="s">
        <v>2</v>
      </c>
      <c r="F178" t="s">
        <v>50</v>
      </c>
      <c r="G178" t="s">
        <v>100</v>
      </c>
      <c r="H178">
        <v>15</v>
      </c>
      <c r="I178" t="s">
        <v>52</v>
      </c>
      <c r="J178" t="s">
        <v>101</v>
      </c>
      <c r="K178" t="s">
        <v>54</v>
      </c>
      <c r="L178" t="s">
        <v>102</v>
      </c>
      <c r="O178" t="s">
        <v>103</v>
      </c>
      <c r="P178" t="s">
        <v>104</v>
      </c>
      <c r="Q178">
        <v>53818.89</v>
      </c>
      <c r="R178">
        <v>-15</v>
      </c>
      <c r="S178" t="s">
        <v>2895</v>
      </c>
      <c r="T178" t="s">
        <v>2896</v>
      </c>
      <c r="U178" t="s">
        <v>2897</v>
      </c>
    </row>
    <row r="179" spans="1:21">
      <c r="A179" t="s">
        <v>460</v>
      </c>
      <c r="B179" s="7">
        <v>46106</v>
      </c>
      <c r="C179" s="8">
        <v>0.89450231481481479</v>
      </c>
      <c r="D179" t="s">
        <v>17</v>
      </c>
      <c r="E179" t="s">
        <v>2</v>
      </c>
      <c r="F179" t="s">
        <v>50</v>
      </c>
      <c r="G179" t="s">
        <v>51</v>
      </c>
      <c r="H179">
        <v>11.01</v>
      </c>
      <c r="I179" t="s">
        <v>52</v>
      </c>
      <c r="J179" t="s">
        <v>53</v>
      </c>
      <c r="K179" t="s">
        <v>54</v>
      </c>
      <c r="L179" t="s">
        <v>55</v>
      </c>
      <c r="O179" t="s">
        <v>56</v>
      </c>
      <c r="P179" t="s">
        <v>57</v>
      </c>
      <c r="Q179">
        <v>54021.52</v>
      </c>
      <c r="R179">
        <v>-11.01</v>
      </c>
      <c r="S179" t="s">
        <v>2895</v>
      </c>
      <c r="T179" t="s">
        <v>2896</v>
      </c>
      <c r="U179" t="s">
        <v>2897</v>
      </c>
    </row>
    <row r="180" spans="1:21">
      <c r="A180" t="s">
        <v>462</v>
      </c>
      <c r="B180" s="7">
        <v>46107</v>
      </c>
      <c r="C180" s="8">
        <v>0.27980324074074076</v>
      </c>
      <c r="D180" t="s">
        <v>17</v>
      </c>
      <c r="E180" t="s">
        <v>2</v>
      </c>
      <c r="F180" t="s">
        <v>50</v>
      </c>
      <c r="G180" t="s">
        <v>51</v>
      </c>
      <c r="H180">
        <v>19.43</v>
      </c>
      <c r="I180" t="s">
        <v>52</v>
      </c>
      <c r="J180" t="s">
        <v>121</v>
      </c>
      <c r="K180" t="s">
        <v>54</v>
      </c>
      <c r="L180" t="s">
        <v>55</v>
      </c>
      <c r="O180" t="s">
        <v>122</v>
      </c>
      <c r="P180" t="s">
        <v>123</v>
      </c>
      <c r="Q180">
        <v>53730.35</v>
      </c>
      <c r="R180">
        <v>-19.43</v>
      </c>
      <c r="S180" t="s">
        <v>2895</v>
      </c>
      <c r="T180" t="s">
        <v>2896</v>
      </c>
      <c r="U180" t="s">
        <v>2897</v>
      </c>
    </row>
    <row r="181" spans="1:21">
      <c r="A181" t="s">
        <v>464</v>
      </c>
      <c r="B181" s="7">
        <v>46107</v>
      </c>
      <c r="C181" s="8">
        <v>0.30038194444444444</v>
      </c>
      <c r="D181" t="s">
        <v>17</v>
      </c>
      <c r="E181" t="s">
        <v>2</v>
      </c>
      <c r="F181" t="s">
        <v>50</v>
      </c>
      <c r="G181" t="s">
        <v>100</v>
      </c>
      <c r="H181">
        <v>16.93</v>
      </c>
      <c r="I181" t="s">
        <v>52</v>
      </c>
      <c r="J181" t="s">
        <v>114</v>
      </c>
      <c r="K181" t="s">
        <v>54</v>
      </c>
      <c r="L181" t="s">
        <v>102</v>
      </c>
      <c r="O181" t="s">
        <v>103</v>
      </c>
      <c r="P181" t="s">
        <v>104</v>
      </c>
      <c r="Q181">
        <v>53713.42</v>
      </c>
      <c r="R181">
        <v>-16.93</v>
      </c>
      <c r="S181" t="s">
        <v>2895</v>
      </c>
      <c r="T181" t="s">
        <v>2896</v>
      </c>
      <c r="U181" t="s">
        <v>2897</v>
      </c>
    </row>
    <row r="182" spans="1:21">
      <c r="A182" t="s">
        <v>466</v>
      </c>
      <c r="B182" s="7">
        <v>46107</v>
      </c>
      <c r="C182" s="8">
        <v>0.45784722222222224</v>
      </c>
      <c r="D182" t="s">
        <v>17</v>
      </c>
      <c r="E182" t="s">
        <v>2</v>
      </c>
      <c r="F182" t="s">
        <v>50</v>
      </c>
      <c r="G182" t="s">
        <v>51</v>
      </c>
      <c r="H182">
        <v>43.85</v>
      </c>
      <c r="I182" t="s">
        <v>52</v>
      </c>
      <c r="J182" t="s">
        <v>65</v>
      </c>
      <c r="K182" t="s">
        <v>54</v>
      </c>
      <c r="L182" t="s">
        <v>55</v>
      </c>
      <c r="O182" t="s">
        <v>66</v>
      </c>
      <c r="P182" t="s">
        <v>67</v>
      </c>
      <c r="Q182">
        <v>53629.19</v>
      </c>
      <c r="R182">
        <v>-43.85</v>
      </c>
      <c r="S182" t="s">
        <v>2895</v>
      </c>
      <c r="T182" t="s">
        <v>2896</v>
      </c>
      <c r="U182" t="s">
        <v>2897</v>
      </c>
    </row>
    <row r="183" spans="1:21">
      <c r="A183" t="s">
        <v>468</v>
      </c>
      <c r="B183" s="7">
        <v>46107</v>
      </c>
      <c r="C183" s="8">
        <v>0.5973032407407407</v>
      </c>
      <c r="D183" t="s">
        <v>17</v>
      </c>
      <c r="E183" t="s">
        <v>2</v>
      </c>
      <c r="F183" t="s">
        <v>50</v>
      </c>
      <c r="G183" t="s">
        <v>100</v>
      </c>
      <c r="H183">
        <v>15</v>
      </c>
      <c r="I183" t="s">
        <v>52</v>
      </c>
      <c r="J183" t="s">
        <v>101</v>
      </c>
      <c r="K183" t="s">
        <v>54</v>
      </c>
      <c r="L183" t="s">
        <v>102</v>
      </c>
      <c r="O183" t="s">
        <v>103</v>
      </c>
      <c r="P183" t="s">
        <v>104</v>
      </c>
      <c r="Q183">
        <v>53749.78</v>
      </c>
      <c r="R183">
        <v>-15</v>
      </c>
      <c r="S183" t="s">
        <v>2895</v>
      </c>
      <c r="T183" t="s">
        <v>2896</v>
      </c>
      <c r="U183" t="s">
        <v>2897</v>
      </c>
    </row>
    <row r="184" spans="1:21">
      <c r="A184" t="s">
        <v>470</v>
      </c>
      <c r="B184" s="7">
        <v>46107</v>
      </c>
      <c r="C184" s="8">
        <v>0.90310185185185188</v>
      </c>
      <c r="D184" t="s">
        <v>17</v>
      </c>
      <c r="E184" t="s">
        <v>2</v>
      </c>
      <c r="F184" t="s">
        <v>50</v>
      </c>
      <c r="G184" t="s">
        <v>51</v>
      </c>
      <c r="H184">
        <v>40.380000000000003</v>
      </c>
      <c r="I184" t="s">
        <v>52</v>
      </c>
      <c r="J184" t="s">
        <v>81</v>
      </c>
      <c r="K184" t="s">
        <v>54</v>
      </c>
      <c r="L184" t="s">
        <v>55</v>
      </c>
      <c r="O184" t="s">
        <v>82</v>
      </c>
      <c r="P184" t="s">
        <v>83</v>
      </c>
      <c r="Q184">
        <v>53673.04</v>
      </c>
      <c r="R184">
        <v>-40.380000000000003</v>
      </c>
      <c r="S184" t="s">
        <v>2895</v>
      </c>
      <c r="T184" t="s">
        <v>2896</v>
      </c>
      <c r="U184" t="s">
        <v>2897</v>
      </c>
    </row>
    <row r="185" spans="1:21">
      <c r="A185" t="s">
        <v>472</v>
      </c>
      <c r="B185" s="7">
        <v>46108</v>
      </c>
      <c r="C185" s="8">
        <v>0.40408564814814812</v>
      </c>
      <c r="D185" t="s">
        <v>17</v>
      </c>
      <c r="E185" t="s">
        <v>2</v>
      </c>
      <c r="F185" t="s">
        <v>50</v>
      </c>
      <c r="G185" t="s">
        <v>51</v>
      </c>
      <c r="H185">
        <v>45.07</v>
      </c>
      <c r="I185" t="s">
        <v>52</v>
      </c>
      <c r="J185" t="s">
        <v>60</v>
      </c>
      <c r="K185" t="s">
        <v>54</v>
      </c>
      <c r="L185" t="s">
        <v>55</v>
      </c>
      <c r="O185" t="s">
        <v>61</v>
      </c>
      <c r="P185" t="s">
        <v>62</v>
      </c>
      <c r="Q185">
        <v>53430.82</v>
      </c>
      <c r="R185">
        <v>-45.07</v>
      </c>
      <c r="S185" t="s">
        <v>2895</v>
      </c>
      <c r="T185" t="s">
        <v>2896</v>
      </c>
      <c r="U185" t="s">
        <v>2897</v>
      </c>
    </row>
    <row r="186" spans="1:21">
      <c r="A186" t="s">
        <v>474</v>
      </c>
      <c r="B186" s="7">
        <v>46108</v>
      </c>
      <c r="C186" s="8">
        <v>0.57303240740740746</v>
      </c>
      <c r="D186" t="s">
        <v>17</v>
      </c>
      <c r="E186" t="s">
        <v>2</v>
      </c>
      <c r="F186" t="s">
        <v>50</v>
      </c>
      <c r="G186" t="s">
        <v>51</v>
      </c>
      <c r="H186">
        <v>141.59</v>
      </c>
      <c r="I186" t="s">
        <v>52</v>
      </c>
      <c r="J186" t="s">
        <v>65</v>
      </c>
      <c r="K186" t="s">
        <v>54</v>
      </c>
      <c r="L186" t="s">
        <v>55</v>
      </c>
      <c r="O186" t="s">
        <v>66</v>
      </c>
      <c r="P186" t="s">
        <v>67</v>
      </c>
      <c r="Q186">
        <v>53487.6</v>
      </c>
      <c r="R186">
        <v>-141.59</v>
      </c>
      <c r="S186" t="s">
        <v>2895</v>
      </c>
      <c r="T186" t="s">
        <v>2896</v>
      </c>
      <c r="U186" t="s">
        <v>2897</v>
      </c>
    </row>
    <row r="187" spans="1:21">
      <c r="A187" t="s">
        <v>476</v>
      </c>
      <c r="B187" s="7">
        <v>46108</v>
      </c>
      <c r="C187" s="8">
        <v>0.64774305555555556</v>
      </c>
      <c r="D187" t="s">
        <v>17</v>
      </c>
      <c r="E187" t="s">
        <v>2</v>
      </c>
      <c r="F187" t="s">
        <v>50</v>
      </c>
      <c r="G187" t="s">
        <v>51</v>
      </c>
      <c r="H187">
        <v>27.94</v>
      </c>
      <c r="I187" t="s">
        <v>52</v>
      </c>
      <c r="J187" t="s">
        <v>126</v>
      </c>
      <c r="K187" t="s">
        <v>54</v>
      </c>
      <c r="L187" t="s">
        <v>55</v>
      </c>
      <c r="O187" t="s">
        <v>56</v>
      </c>
      <c r="P187" t="s">
        <v>57</v>
      </c>
      <c r="Q187">
        <v>53402.879999999997</v>
      </c>
      <c r="R187">
        <v>-27.94</v>
      </c>
      <c r="S187" t="s">
        <v>2895</v>
      </c>
      <c r="T187" t="s">
        <v>2896</v>
      </c>
      <c r="U187" t="s">
        <v>2897</v>
      </c>
    </row>
    <row r="188" spans="1:21">
      <c r="A188" t="s">
        <v>478</v>
      </c>
      <c r="B188" s="7">
        <v>46108</v>
      </c>
      <c r="C188" s="8">
        <v>0.79530092592592594</v>
      </c>
      <c r="D188" t="s">
        <v>17</v>
      </c>
      <c r="E188" t="s">
        <v>2</v>
      </c>
      <c r="F188" t="s">
        <v>50</v>
      </c>
      <c r="G188" t="s">
        <v>51</v>
      </c>
      <c r="H188">
        <v>11.71</v>
      </c>
      <c r="I188" t="s">
        <v>52</v>
      </c>
      <c r="J188" t="s">
        <v>53</v>
      </c>
      <c r="K188" t="s">
        <v>54</v>
      </c>
      <c r="L188" t="s">
        <v>55</v>
      </c>
      <c r="O188" t="s">
        <v>56</v>
      </c>
      <c r="P188" t="s">
        <v>57</v>
      </c>
      <c r="Q188">
        <v>53475.89</v>
      </c>
      <c r="R188">
        <v>-11.71</v>
      </c>
      <c r="S188" t="s">
        <v>2895</v>
      </c>
      <c r="T188" t="s">
        <v>2896</v>
      </c>
      <c r="U188" t="s">
        <v>2897</v>
      </c>
    </row>
    <row r="189" spans="1:21">
      <c r="A189" t="s">
        <v>480</v>
      </c>
      <c r="B189" s="7">
        <v>46108</v>
      </c>
      <c r="C189" s="8">
        <v>0.8960069444444444</v>
      </c>
      <c r="D189" t="s">
        <v>17</v>
      </c>
      <c r="E189" t="s">
        <v>2</v>
      </c>
      <c r="F189" t="s">
        <v>50</v>
      </c>
      <c r="G189" t="s">
        <v>51</v>
      </c>
      <c r="H189">
        <v>9.82</v>
      </c>
      <c r="I189" t="s">
        <v>52</v>
      </c>
      <c r="J189" t="s">
        <v>53</v>
      </c>
      <c r="K189" t="s">
        <v>54</v>
      </c>
      <c r="L189" t="s">
        <v>55</v>
      </c>
      <c r="O189" t="s">
        <v>56</v>
      </c>
      <c r="P189" t="s">
        <v>57</v>
      </c>
      <c r="Q189">
        <v>53393.06</v>
      </c>
      <c r="R189">
        <v>-9.82</v>
      </c>
      <c r="S189" t="s">
        <v>2895</v>
      </c>
      <c r="T189" t="s">
        <v>2896</v>
      </c>
      <c r="U189" t="s">
        <v>2897</v>
      </c>
    </row>
    <row r="190" spans="1:21">
      <c r="A190" t="s">
        <v>482</v>
      </c>
      <c r="B190" s="7">
        <v>46109</v>
      </c>
      <c r="C190" s="8">
        <v>0.26303240740740741</v>
      </c>
      <c r="D190" t="s">
        <v>17</v>
      </c>
      <c r="E190" t="s">
        <v>2</v>
      </c>
      <c r="F190" t="s">
        <v>50</v>
      </c>
      <c r="G190" t="s">
        <v>100</v>
      </c>
      <c r="H190">
        <v>14.01</v>
      </c>
      <c r="I190" t="s">
        <v>52</v>
      </c>
      <c r="J190" t="s">
        <v>114</v>
      </c>
      <c r="K190" t="s">
        <v>54</v>
      </c>
      <c r="L190" t="s">
        <v>102</v>
      </c>
      <c r="O190" t="s">
        <v>103</v>
      </c>
      <c r="P190" t="s">
        <v>104</v>
      </c>
      <c r="Q190">
        <v>53343.040000000001</v>
      </c>
      <c r="R190">
        <v>-14.01</v>
      </c>
      <c r="S190" t="s">
        <v>2895</v>
      </c>
      <c r="T190" t="s">
        <v>2896</v>
      </c>
      <c r="U190" t="s">
        <v>2897</v>
      </c>
    </row>
    <row r="191" spans="1:21">
      <c r="A191" t="s">
        <v>484</v>
      </c>
      <c r="B191" s="7">
        <v>46109</v>
      </c>
      <c r="C191" s="8">
        <v>0.45490740740740743</v>
      </c>
      <c r="D191" t="s">
        <v>17</v>
      </c>
      <c r="E191" t="s">
        <v>2</v>
      </c>
      <c r="F191" t="s">
        <v>50</v>
      </c>
      <c r="G191" t="s">
        <v>100</v>
      </c>
      <c r="H191">
        <v>21.19</v>
      </c>
      <c r="I191" t="s">
        <v>52</v>
      </c>
      <c r="J191" t="s">
        <v>114</v>
      </c>
      <c r="K191" t="s">
        <v>54</v>
      </c>
      <c r="L191" t="s">
        <v>102</v>
      </c>
      <c r="O191" t="s">
        <v>103</v>
      </c>
      <c r="P191" t="s">
        <v>104</v>
      </c>
      <c r="Q191">
        <v>53371.87</v>
      </c>
      <c r="R191">
        <v>-21.19</v>
      </c>
      <c r="S191" t="s">
        <v>2895</v>
      </c>
      <c r="T191" t="s">
        <v>2896</v>
      </c>
      <c r="U191" t="s">
        <v>2897</v>
      </c>
    </row>
    <row r="192" spans="1:21">
      <c r="A192" t="s">
        <v>486</v>
      </c>
      <c r="B192" s="7">
        <v>46109</v>
      </c>
      <c r="C192" s="8">
        <v>0.46585648148148145</v>
      </c>
      <c r="D192" t="s">
        <v>17</v>
      </c>
      <c r="E192" t="s">
        <v>2</v>
      </c>
      <c r="F192" t="s">
        <v>149</v>
      </c>
      <c r="G192" t="s">
        <v>321</v>
      </c>
      <c r="H192">
        <v>3198.08</v>
      </c>
      <c r="I192" t="s">
        <v>52</v>
      </c>
      <c r="J192" t="s">
        <v>9</v>
      </c>
      <c r="K192" t="s">
        <v>54</v>
      </c>
      <c r="L192" t="s">
        <v>102</v>
      </c>
      <c r="O192" t="s">
        <v>322</v>
      </c>
      <c r="P192" t="s">
        <v>323</v>
      </c>
      <c r="Q192">
        <v>19656.509999999998</v>
      </c>
      <c r="R192">
        <v>3198.08</v>
      </c>
      <c r="S192" t="s">
        <v>2895</v>
      </c>
      <c r="T192" t="s">
        <v>2896</v>
      </c>
      <c r="U192" t="s">
        <v>2897</v>
      </c>
    </row>
    <row r="193" spans="1:21">
      <c r="A193" t="s">
        <v>488</v>
      </c>
      <c r="B193" s="7">
        <v>46109</v>
      </c>
      <c r="C193" s="8">
        <v>0.70499999999999996</v>
      </c>
      <c r="D193" t="s">
        <v>17</v>
      </c>
      <c r="E193" t="s">
        <v>2</v>
      </c>
      <c r="F193" t="s">
        <v>50</v>
      </c>
      <c r="G193" t="s">
        <v>100</v>
      </c>
      <c r="H193">
        <v>15.66</v>
      </c>
      <c r="I193" t="s">
        <v>52</v>
      </c>
      <c r="J193" t="s">
        <v>114</v>
      </c>
      <c r="K193" t="s">
        <v>54</v>
      </c>
      <c r="L193" t="s">
        <v>102</v>
      </c>
      <c r="O193" t="s">
        <v>103</v>
      </c>
      <c r="P193" t="s">
        <v>104</v>
      </c>
      <c r="Q193">
        <v>53296.66</v>
      </c>
      <c r="R193">
        <v>-15.66</v>
      </c>
      <c r="S193" t="s">
        <v>2895</v>
      </c>
      <c r="T193" t="s">
        <v>2896</v>
      </c>
      <c r="U193" t="s">
        <v>2897</v>
      </c>
    </row>
    <row r="194" spans="1:21">
      <c r="A194" t="s">
        <v>490</v>
      </c>
      <c r="B194" s="7">
        <v>46109</v>
      </c>
      <c r="C194" s="8">
        <v>0.72332175925925923</v>
      </c>
      <c r="D194" t="s">
        <v>17</v>
      </c>
      <c r="E194" t="s">
        <v>2</v>
      </c>
      <c r="F194" t="s">
        <v>50</v>
      </c>
      <c r="G194" t="s">
        <v>100</v>
      </c>
      <c r="H194">
        <v>15</v>
      </c>
      <c r="I194" t="s">
        <v>52</v>
      </c>
      <c r="J194" t="s">
        <v>101</v>
      </c>
      <c r="K194" t="s">
        <v>54</v>
      </c>
      <c r="L194" t="s">
        <v>102</v>
      </c>
      <c r="O194" t="s">
        <v>103</v>
      </c>
      <c r="P194" t="s">
        <v>104</v>
      </c>
      <c r="Q194">
        <v>53312.32</v>
      </c>
      <c r="R194">
        <v>-15</v>
      </c>
      <c r="S194" t="s">
        <v>2895</v>
      </c>
      <c r="T194" t="s">
        <v>2896</v>
      </c>
      <c r="U194" t="s">
        <v>2897</v>
      </c>
    </row>
    <row r="195" spans="1:21">
      <c r="A195" t="s">
        <v>492</v>
      </c>
      <c r="B195" s="7">
        <v>46109</v>
      </c>
      <c r="C195" s="8">
        <v>0.80693287037037043</v>
      </c>
      <c r="D195" t="s">
        <v>17</v>
      </c>
      <c r="E195" t="s">
        <v>2</v>
      </c>
      <c r="F195" t="s">
        <v>50</v>
      </c>
      <c r="G195" t="s">
        <v>51</v>
      </c>
      <c r="H195">
        <v>14.82</v>
      </c>
      <c r="I195" t="s">
        <v>52</v>
      </c>
      <c r="J195" t="s">
        <v>53</v>
      </c>
      <c r="K195" t="s">
        <v>54</v>
      </c>
      <c r="L195" t="s">
        <v>55</v>
      </c>
      <c r="O195" t="s">
        <v>56</v>
      </c>
      <c r="P195" t="s">
        <v>57</v>
      </c>
      <c r="Q195">
        <v>53357.05</v>
      </c>
      <c r="R195">
        <v>-14.82</v>
      </c>
      <c r="S195" t="s">
        <v>2895</v>
      </c>
      <c r="T195" t="s">
        <v>2896</v>
      </c>
      <c r="U195" t="s">
        <v>2897</v>
      </c>
    </row>
    <row r="196" spans="1:21">
      <c r="A196" t="s">
        <v>494</v>
      </c>
      <c r="B196" s="7">
        <v>46109</v>
      </c>
      <c r="C196" s="8">
        <v>0.9132986111111111</v>
      </c>
      <c r="D196" t="s">
        <v>17</v>
      </c>
      <c r="E196" t="s">
        <v>2</v>
      </c>
      <c r="F196" t="s">
        <v>50</v>
      </c>
      <c r="G196" t="s">
        <v>51</v>
      </c>
      <c r="H196">
        <v>15.72</v>
      </c>
      <c r="I196" t="s">
        <v>52</v>
      </c>
      <c r="J196" t="s">
        <v>53</v>
      </c>
      <c r="K196" t="s">
        <v>54</v>
      </c>
      <c r="L196" t="s">
        <v>55</v>
      </c>
      <c r="O196" t="s">
        <v>56</v>
      </c>
      <c r="P196" t="s">
        <v>57</v>
      </c>
      <c r="Q196">
        <v>53327.32</v>
      </c>
      <c r="R196">
        <v>-15.72</v>
      </c>
      <c r="S196" t="s">
        <v>2895</v>
      </c>
      <c r="T196" t="s">
        <v>2896</v>
      </c>
      <c r="U196" t="s">
        <v>2897</v>
      </c>
    </row>
    <row r="197" spans="1:21">
      <c r="A197" t="s">
        <v>496</v>
      </c>
      <c r="B197" s="7">
        <v>46110</v>
      </c>
      <c r="C197" s="8">
        <v>0.29759259259259258</v>
      </c>
      <c r="D197" t="s">
        <v>17</v>
      </c>
      <c r="E197" t="s">
        <v>2</v>
      </c>
      <c r="F197" t="s">
        <v>50</v>
      </c>
      <c r="G197" t="s">
        <v>51</v>
      </c>
      <c r="H197">
        <v>27.81</v>
      </c>
      <c r="I197" t="s">
        <v>52</v>
      </c>
      <c r="J197" t="s">
        <v>126</v>
      </c>
      <c r="K197" t="s">
        <v>54</v>
      </c>
      <c r="L197" t="s">
        <v>55</v>
      </c>
      <c r="O197" t="s">
        <v>56</v>
      </c>
      <c r="P197" t="s">
        <v>57</v>
      </c>
      <c r="Q197">
        <v>53089.48</v>
      </c>
      <c r="R197">
        <v>-27.81</v>
      </c>
      <c r="S197" t="s">
        <v>2895</v>
      </c>
      <c r="T197" t="s">
        <v>2896</v>
      </c>
      <c r="U197" t="s">
        <v>2897</v>
      </c>
    </row>
    <row r="198" spans="1:21">
      <c r="A198" t="s">
        <v>498</v>
      </c>
      <c r="B198" s="7">
        <v>46110</v>
      </c>
      <c r="C198" s="8">
        <v>0.43535879629629631</v>
      </c>
      <c r="D198" t="s">
        <v>17</v>
      </c>
      <c r="E198" t="s">
        <v>2</v>
      </c>
      <c r="F198" t="s">
        <v>50</v>
      </c>
      <c r="G198" t="s">
        <v>100</v>
      </c>
      <c r="H198">
        <v>15</v>
      </c>
      <c r="I198" t="s">
        <v>52</v>
      </c>
      <c r="J198" t="s">
        <v>101</v>
      </c>
      <c r="K198" t="s">
        <v>54</v>
      </c>
      <c r="L198" t="s">
        <v>102</v>
      </c>
      <c r="O198" t="s">
        <v>103</v>
      </c>
      <c r="P198" t="s">
        <v>104</v>
      </c>
      <c r="Q198">
        <v>53021.26</v>
      </c>
      <c r="R198">
        <v>-15</v>
      </c>
      <c r="S198" t="s">
        <v>2895</v>
      </c>
      <c r="T198" t="s">
        <v>2896</v>
      </c>
      <c r="U198" t="s">
        <v>2897</v>
      </c>
    </row>
    <row r="199" spans="1:21">
      <c r="A199" t="s">
        <v>500</v>
      </c>
      <c r="B199" s="7">
        <v>46110</v>
      </c>
      <c r="C199" s="8">
        <v>0.5983680555555555</v>
      </c>
      <c r="D199" t="s">
        <v>17</v>
      </c>
      <c r="E199" t="s">
        <v>2</v>
      </c>
      <c r="F199" t="s">
        <v>50</v>
      </c>
      <c r="G199" t="s">
        <v>51</v>
      </c>
      <c r="H199">
        <v>10.99</v>
      </c>
      <c r="I199" t="s">
        <v>52</v>
      </c>
      <c r="J199" t="s">
        <v>126</v>
      </c>
      <c r="K199" t="s">
        <v>54</v>
      </c>
      <c r="L199" t="s">
        <v>55</v>
      </c>
      <c r="O199" t="s">
        <v>56</v>
      </c>
      <c r="P199" t="s">
        <v>57</v>
      </c>
      <c r="Q199">
        <v>53010.27</v>
      </c>
      <c r="R199">
        <v>-10.99</v>
      </c>
      <c r="S199" t="s">
        <v>2895</v>
      </c>
      <c r="T199" t="s">
        <v>2896</v>
      </c>
      <c r="U199" t="s">
        <v>2897</v>
      </c>
    </row>
    <row r="200" spans="1:21">
      <c r="A200" t="s">
        <v>502</v>
      </c>
      <c r="B200" s="7">
        <v>46110</v>
      </c>
      <c r="C200" s="8">
        <v>0.69496527777777772</v>
      </c>
      <c r="D200" t="s">
        <v>17</v>
      </c>
      <c r="E200" t="s">
        <v>2</v>
      </c>
      <c r="F200" t="s">
        <v>50</v>
      </c>
      <c r="G200" t="s">
        <v>100</v>
      </c>
      <c r="H200">
        <v>15.7</v>
      </c>
      <c r="I200" t="s">
        <v>52</v>
      </c>
      <c r="J200" t="s">
        <v>114</v>
      </c>
      <c r="K200" t="s">
        <v>54</v>
      </c>
      <c r="L200" t="s">
        <v>102</v>
      </c>
      <c r="O200" t="s">
        <v>103</v>
      </c>
      <c r="P200" t="s">
        <v>104</v>
      </c>
      <c r="Q200">
        <v>52979.22</v>
      </c>
      <c r="R200">
        <v>-15.7</v>
      </c>
      <c r="S200" t="s">
        <v>2895</v>
      </c>
      <c r="T200" t="s">
        <v>2896</v>
      </c>
      <c r="U200" t="s">
        <v>2897</v>
      </c>
    </row>
    <row r="201" spans="1:21">
      <c r="A201" t="s">
        <v>504</v>
      </c>
      <c r="B201" s="7">
        <v>46110</v>
      </c>
      <c r="C201" s="8">
        <v>0.70466435185185183</v>
      </c>
      <c r="D201" t="s">
        <v>17</v>
      </c>
      <c r="E201" t="s">
        <v>2</v>
      </c>
      <c r="F201" t="s">
        <v>50</v>
      </c>
      <c r="G201" t="s">
        <v>51</v>
      </c>
      <c r="H201">
        <v>15.35</v>
      </c>
      <c r="I201" t="s">
        <v>52</v>
      </c>
      <c r="J201" t="s">
        <v>121</v>
      </c>
      <c r="K201" t="s">
        <v>54</v>
      </c>
      <c r="L201" t="s">
        <v>55</v>
      </c>
      <c r="O201" t="s">
        <v>122</v>
      </c>
      <c r="P201" t="s">
        <v>123</v>
      </c>
      <c r="Q201">
        <v>52994.92</v>
      </c>
      <c r="R201">
        <v>-15.35</v>
      </c>
      <c r="S201" t="s">
        <v>2895</v>
      </c>
      <c r="T201" t="s">
        <v>2896</v>
      </c>
      <c r="U201" t="s">
        <v>2897</v>
      </c>
    </row>
    <row r="202" spans="1:21">
      <c r="A202" t="s">
        <v>506</v>
      </c>
      <c r="B202" s="7">
        <v>46110</v>
      </c>
      <c r="C202" s="8">
        <v>0.76715277777777779</v>
      </c>
      <c r="D202" t="s">
        <v>17</v>
      </c>
      <c r="E202" t="s">
        <v>2</v>
      </c>
      <c r="F202" t="s">
        <v>50</v>
      </c>
      <c r="G202" t="s">
        <v>100</v>
      </c>
      <c r="H202">
        <v>15</v>
      </c>
      <c r="I202" t="s">
        <v>52</v>
      </c>
      <c r="J202" t="s">
        <v>101</v>
      </c>
      <c r="K202" t="s">
        <v>54</v>
      </c>
      <c r="L202" t="s">
        <v>102</v>
      </c>
      <c r="O202" t="s">
        <v>103</v>
      </c>
      <c r="P202" t="s">
        <v>104</v>
      </c>
      <c r="Q202">
        <v>53117.29</v>
      </c>
      <c r="R202">
        <v>-15</v>
      </c>
      <c r="S202" t="s">
        <v>2895</v>
      </c>
      <c r="T202" t="s">
        <v>2896</v>
      </c>
      <c r="U202" t="s">
        <v>2897</v>
      </c>
    </row>
    <row r="203" spans="1:21">
      <c r="A203" t="s">
        <v>508</v>
      </c>
      <c r="B203" s="7">
        <v>46110</v>
      </c>
      <c r="C203" s="8">
        <v>0.79328703703703707</v>
      </c>
      <c r="D203" t="s">
        <v>17</v>
      </c>
      <c r="E203" t="s">
        <v>2</v>
      </c>
      <c r="F203" t="s">
        <v>50</v>
      </c>
      <c r="G203" t="s">
        <v>51</v>
      </c>
      <c r="H203">
        <v>164.37</v>
      </c>
      <c r="I203" t="s">
        <v>52</v>
      </c>
      <c r="J203" t="s">
        <v>196</v>
      </c>
      <c r="K203" t="s">
        <v>54</v>
      </c>
      <c r="L203" t="s">
        <v>55</v>
      </c>
      <c r="O203" t="s">
        <v>197</v>
      </c>
      <c r="P203" t="s">
        <v>198</v>
      </c>
      <c r="Q203">
        <v>53132.29</v>
      </c>
      <c r="R203">
        <v>-164.37</v>
      </c>
      <c r="S203" t="s">
        <v>2895</v>
      </c>
      <c r="T203" t="s">
        <v>2896</v>
      </c>
      <c r="U203" t="s">
        <v>2897</v>
      </c>
    </row>
    <row r="204" spans="1:21">
      <c r="A204" t="s">
        <v>510</v>
      </c>
      <c r="B204" s="7">
        <v>46110</v>
      </c>
      <c r="C204" s="8">
        <v>0.83788194444444442</v>
      </c>
      <c r="D204" t="s">
        <v>17</v>
      </c>
      <c r="E204" t="s">
        <v>2</v>
      </c>
      <c r="F204" t="s">
        <v>50</v>
      </c>
      <c r="G204" t="s">
        <v>51</v>
      </c>
      <c r="H204">
        <v>53.22</v>
      </c>
      <c r="I204" t="s">
        <v>52</v>
      </c>
      <c r="J204" t="s">
        <v>81</v>
      </c>
      <c r="K204" t="s">
        <v>54</v>
      </c>
      <c r="L204" t="s">
        <v>55</v>
      </c>
      <c r="O204" t="s">
        <v>82</v>
      </c>
      <c r="P204" t="s">
        <v>83</v>
      </c>
      <c r="Q204">
        <v>53036.26</v>
      </c>
      <c r="R204">
        <v>-53.22</v>
      </c>
      <c r="S204" t="s">
        <v>2895</v>
      </c>
      <c r="T204" t="s">
        <v>2896</v>
      </c>
      <c r="U204" t="s">
        <v>2897</v>
      </c>
    </row>
    <row r="205" spans="1:21">
      <c r="A205" t="s">
        <v>512</v>
      </c>
      <c r="B205" s="7">
        <v>46111</v>
      </c>
      <c r="C205" s="8">
        <v>0.30442129629629627</v>
      </c>
      <c r="D205" t="s">
        <v>17</v>
      </c>
      <c r="E205" t="s">
        <v>2</v>
      </c>
      <c r="F205" t="s">
        <v>50</v>
      </c>
      <c r="G205" t="s">
        <v>51</v>
      </c>
      <c r="H205">
        <v>59.2</v>
      </c>
      <c r="I205" t="s">
        <v>52</v>
      </c>
      <c r="J205" t="s">
        <v>65</v>
      </c>
      <c r="K205" t="s">
        <v>54</v>
      </c>
      <c r="L205" t="s">
        <v>55</v>
      </c>
      <c r="O205" t="s">
        <v>66</v>
      </c>
      <c r="P205" t="s">
        <v>67</v>
      </c>
      <c r="Q205">
        <v>52798.400000000001</v>
      </c>
      <c r="R205">
        <v>-59.2</v>
      </c>
      <c r="S205" t="s">
        <v>2895</v>
      </c>
      <c r="T205" t="s">
        <v>2896</v>
      </c>
      <c r="U205" t="s">
        <v>2897</v>
      </c>
    </row>
    <row r="206" spans="1:21">
      <c r="A206" t="s">
        <v>514</v>
      </c>
      <c r="B206" s="7">
        <v>46111</v>
      </c>
      <c r="C206" s="8">
        <v>0.40879629629629627</v>
      </c>
      <c r="D206" t="s">
        <v>17</v>
      </c>
      <c r="E206" t="s">
        <v>2</v>
      </c>
      <c r="F206" t="s">
        <v>50</v>
      </c>
      <c r="G206" t="s">
        <v>51</v>
      </c>
      <c r="H206">
        <v>43.7</v>
      </c>
      <c r="I206" t="s">
        <v>52</v>
      </c>
      <c r="J206" t="s">
        <v>60</v>
      </c>
      <c r="K206" t="s">
        <v>54</v>
      </c>
      <c r="L206" t="s">
        <v>55</v>
      </c>
      <c r="O206" t="s">
        <v>61</v>
      </c>
      <c r="P206" t="s">
        <v>62</v>
      </c>
      <c r="Q206">
        <v>52901.78</v>
      </c>
      <c r="R206">
        <v>-43.7</v>
      </c>
      <c r="S206" t="s">
        <v>2895</v>
      </c>
      <c r="T206" t="s">
        <v>2896</v>
      </c>
      <c r="U206" t="s">
        <v>2897</v>
      </c>
    </row>
    <row r="207" spans="1:21">
      <c r="A207" t="s">
        <v>516</v>
      </c>
      <c r="B207" s="7">
        <v>46111</v>
      </c>
      <c r="C207" s="8">
        <v>0.56488425925925922</v>
      </c>
      <c r="D207" t="s">
        <v>17</v>
      </c>
      <c r="E207" t="s">
        <v>2</v>
      </c>
      <c r="F207" t="s">
        <v>50</v>
      </c>
      <c r="G207" t="s">
        <v>51</v>
      </c>
      <c r="H207">
        <v>30.4</v>
      </c>
      <c r="I207" t="s">
        <v>52</v>
      </c>
      <c r="J207" t="s">
        <v>81</v>
      </c>
      <c r="K207" t="s">
        <v>54</v>
      </c>
      <c r="L207" t="s">
        <v>55</v>
      </c>
      <c r="O207" t="s">
        <v>82</v>
      </c>
      <c r="P207" t="s">
        <v>83</v>
      </c>
      <c r="Q207">
        <v>52768</v>
      </c>
      <c r="R207">
        <v>-30.4</v>
      </c>
      <c r="S207" t="s">
        <v>2895</v>
      </c>
      <c r="T207" t="s">
        <v>2896</v>
      </c>
      <c r="U207" t="s">
        <v>2897</v>
      </c>
    </row>
    <row r="208" spans="1:21">
      <c r="A208" t="s">
        <v>518</v>
      </c>
      <c r="B208" s="7">
        <v>46111</v>
      </c>
      <c r="C208" s="8">
        <v>0.63526620370370368</v>
      </c>
      <c r="D208" t="s">
        <v>17</v>
      </c>
      <c r="E208" t="s">
        <v>2</v>
      </c>
      <c r="F208" t="s">
        <v>50</v>
      </c>
      <c r="G208" t="s">
        <v>51</v>
      </c>
      <c r="H208">
        <v>33.74</v>
      </c>
      <c r="I208" t="s">
        <v>52</v>
      </c>
      <c r="J208" t="s">
        <v>60</v>
      </c>
      <c r="K208" t="s">
        <v>54</v>
      </c>
      <c r="L208" t="s">
        <v>55</v>
      </c>
      <c r="O208" t="s">
        <v>61</v>
      </c>
      <c r="P208" t="s">
        <v>62</v>
      </c>
      <c r="Q208">
        <v>52945.48</v>
      </c>
      <c r="R208">
        <v>-33.74</v>
      </c>
      <c r="S208" t="s">
        <v>2895</v>
      </c>
      <c r="T208" t="s">
        <v>2896</v>
      </c>
      <c r="U208" t="s">
        <v>2897</v>
      </c>
    </row>
    <row r="209" spans="1:21">
      <c r="A209" t="s">
        <v>520</v>
      </c>
      <c r="B209" s="7">
        <v>46111</v>
      </c>
      <c r="C209" s="8">
        <v>0.66459490740740745</v>
      </c>
      <c r="D209" t="s">
        <v>17</v>
      </c>
      <c r="E209" t="s">
        <v>2</v>
      </c>
      <c r="F209" t="s">
        <v>50</v>
      </c>
      <c r="G209" t="s">
        <v>51</v>
      </c>
      <c r="H209">
        <v>44.18</v>
      </c>
      <c r="I209" t="s">
        <v>52</v>
      </c>
      <c r="J209" t="s">
        <v>60</v>
      </c>
      <c r="K209" t="s">
        <v>54</v>
      </c>
      <c r="L209" t="s">
        <v>55</v>
      </c>
      <c r="O209" t="s">
        <v>61</v>
      </c>
      <c r="P209" t="s">
        <v>62</v>
      </c>
      <c r="Q209">
        <v>52857.599999999999</v>
      </c>
      <c r="R209">
        <v>-44.18</v>
      </c>
      <c r="S209" t="s">
        <v>2895</v>
      </c>
      <c r="T209" t="s">
        <v>2896</v>
      </c>
      <c r="U209" t="s">
        <v>2897</v>
      </c>
    </row>
    <row r="210" spans="1:21">
      <c r="A210" t="s">
        <v>522</v>
      </c>
      <c r="B210" s="7">
        <v>46112</v>
      </c>
      <c r="C210" s="8">
        <v>0.29017361111111112</v>
      </c>
      <c r="D210" t="s">
        <v>17</v>
      </c>
      <c r="E210" t="s">
        <v>2</v>
      </c>
      <c r="F210" t="s">
        <v>50</v>
      </c>
      <c r="G210" t="s">
        <v>51</v>
      </c>
      <c r="H210">
        <v>10.43</v>
      </c>
      <c r="I210" t="s">
        <v>52</v>
      </c>
      <c r="J210" t="s">
        <v>53</v>
      </c>
      <c r="K210" t="s">
        <v>54</v>
      </c>
      <c r="L210" t="s">
        <v>55</v>
      </c>
      <c r="O210" t="s">
        <v>56</v>
      </c>
      <c r="P210" t="s">
        <v>57</v>
      </c>
      <c r="Q210">
        <v>52645.83</v>
      </c>
      <c r="R210">
        <v>-10.43</v>
      </c>
      <c r="S210" t="s">
        <v>2895</v>
      </c>
      <c r="T210" t="s">
        <v>2896</v>
      </c>
      <c r="U210" t="s">
        <v>2897</v>
      </c>
    </row>
    <row r="211" spans="1:21">
      <c r="A211" t="s">
        <v>524</v>
      </c>
      <c r="B211" s="7">
        <v>46112</v>
      </c>
      <c r="C211" s="8">
        <v>0.42672453703703705</v>
      </c>
      <c r="D211" t="s">
        <v>17</v>
      </c>
      <c r="E211" t="s">
        <v>2</v>
      </c>
      <c r="F211" t="s">
        <v>50</v>
      </c>
      <c r="G211" t="s">
        <v>51</v>
      </c>
      <c r="H211">
        <v>100.58</v>
      </c>
      <c r="I211" t="s">
        <v>52</v>
      </c>
      <c r="J211" t="s">
        <v>196</v>
      </c>
      <c r="K211" t="s">
        <v>54</v>
      </c>
      <c r="L211" t="s">
        <v>55</v>
      </c>
      <c r="O211" t="s">
        <v>197</v>
      </c>
      <c r="P211" t="s">
        <v>198</v>
      </c>
      <c r="Q211">
        <v>52656.26</v>
      </c>
      <c r="R211">
        <v>-100.58</v>
      </c>
      <c r="S211" t="s">
        <v>2895</v>
      </c>
      <c r="T211" t="s">
        <v>2896</v>
      </c>
      <c r="U211" t="s">
        <v>2897</v>
      </c>
    </row>
    <row r="212" spans="1:21">
      <c r="A212" t="s">
        <v>526</v>
      </c>
      <c r="B212" s="7">
        <v>46112</v>
      </c>
      <c r="C212" s="8">
        <v>0.46143518518518517</v>
      </c>
      <c r="D212" t="s">
        <v>17</v>
      </c>
      <c r="E212" t="s">
        <v>2</v>
      </c>
      <c r="F212" t="s">
        <v>50</v>
      </c>
      <c r="G212" t="s">
        <v>100</v>
      </c>
      <c r="H212">
        <v>15</v>
      </c>
      <c r="I212" t="s">
        <v>52</v>
      </c>
      <c r="J212" t="s">
        <v>101</v>
      </c>
      <c r="K212" t="s">
        <v>54</v>
      </c>
      <c r="L212" t="s">
        <v>102</v>
      </c>
      <c r="O212" t="s">
        <v>103</v>
      </c>
      <c r="P212" t="s">
        <v>104</v>
      </c>
      <c r="Q212">
        <v>52630.83</v>
      </c>
      <c r="R212">
        <v>-15</v>
      </c>
      <c r="S212" t="s">
        <v>2895</v>
      </c>
      <c r="T212" t="s">
        <v>2896</v>
      </c>
      <c r="U212" t="s">
        <v>2897</v>
      </c>
    </row>
    <row r="213" spans="1:21">
      <c r="A213" t="s">
        <v>528</v>
      </c>
      <c r="B213" s="7">
        <v>46112</v>
      </c>
      <c r="C213" s="8">
        <v>0.63361111111111112</v>
      </c>
      <c r="D213" t="s">
        <v>17</v>
      </c>
      <c r="E213" t="s">
        <v>2</v>
      </c>
      <c r="F213" t="s">
        <v>50</v>
      </c>
      <c r="G213" t="s">
        <v>51</v>
      </c>
      <c r="H213">
        <v>10.4</v>
      </c>
      <c r="I213" t="s">
        <v>52</v>
      </c>
      <c r="J213" t="s">
        <v>53</v>
      </c>
      <c r="K213" t="s">
        <v>54</v>
      </c>
      <c r="L213" t="s">
        <v>55</v>
      </c>
      <c r="O213" t="s">
        <v>56</v>
      </c>
      <c r="P213" t="s">
        <v>57</v>
      </c>
      <c r="Q213">
        <v>52561.07</v>
      </c>
      <c r="R213">
        <v>-10.4</v>
      </c>
      <c r="S213" t="s">
        <v>2895</v>
      </c>
      <c r="T213" t="s">
        <v>2896</v>
      </c>
      <c r="U213" t="s">
        <v>2897</v>
      </c>
    </row>
    <row r="214" spans="1:21">
      <c r="A214" t="s">
        <v>530</v>
      </c>
      <c r="B214" s="7">
        <v>46112</v>
      </c>
      <c r="C214" s="8">
        <v>0.65309027777777773</v>
      </c>
      <c r="D214" t="s">
        <v>17</v>
      </c>
      <c r="E214" t="s">
        <v>2</v>
      </c>
      <c r="F214" t="s">
        <v>50</v>
      </c>
      <c r="G214" t="s">
        <v>51</v>
      </c>
      <c r="H214">
        <v>59.36</v>
      </c>
      <c r="I214" t="s">
        <v>52</v>
      </c>
      <c r="J214" t="s">
        <v>81</v>
      </c>
      <c r="K214" t="s">
        <v>54</v>
      </c>
      <c r="L214" t="s">
        <v>55</v>
      </c>
      <c r="O214" t="s">
        <v>82</v>
      </c>
      <c r="P214" t="s">
        <v>83</v>
      </c>
      <c r="Q214">
        <v>52571.47</v>
      </c>
      <c r="R214">
        <v>-59.36</v>
      </c>
      <c r="S214" t="s">
        <v>2895</v>
      </c>
      <c r="T214" t="s">
        <v>2896</v>
      </c>
      <c r="U214" t="s">
        <v>2897</v>
      </c>
    </row>
    <row r="215" spans="1:21">
      <c r="A215" t="s">
        <v>532</v>
      </c>
      <c r="B215" s="7">
        <v>46112</v>
      </c>
      <c r="C215" s="8">
        <v>0.77758101851851846</v>
      </c>
      <c r="D215" t="s">
        <v>17</v>
      </c>
      <c r="E215" t="s">
        <v>2</v>
      </c>
      <c r="F215" t="s">
        <v>50</v>
      </c>
      <c r="G215" t="s">
        <v>51</v>
      </c>
      <c r="H215">
        <v>11.16</v>
      </c>
      <c r="I215" t="s">
        <v>52</v>
      </c>
      <c r="J215" t="s">
        <v>126</v>
      </c>
      <c r="K215" t="s">
        <v>54</v>
      </c>
      <c r="L215" t="s">
        <v>55</v>
      </c>
      <c r="O215" t="s">
        <v>56</v>
      </c>
      <c r="P215" t="s">
        <v>57</v>
      </c>
      <c r="Q215">
        <v>52756.84</v>
      </c>
      <c r="R215">
        <v>-11.16</v>
      </c>
      <c r="S215" t="s">
        <v>2895</v>
      </c>
      <c r="T215" t="s">
        <v>2896</v>
      </c>
      <c r="U215" t="s">
        <v>2897</v>
      </c>
    </row>
    <row r="216" spans="1:21">
      <c r="A216" t="s">
        <v>534</v>
      </c>
      <c r="B216" s="7">
        <v>46113</v>
      </c>
      <c r="C216" s="8">
        <v>0.33238425925925924</v>
      </c>
      <c r="D216" t="s">
        <v>17</v>
      </c>
      <c r="E216" t="s">
        <v>2</v>
      </c>
      <c r="F216" t="s">
        <v>50</v>
      </c>
      <c r="G216" t="s">
        <v>51</v>
      </c>
      <c r="H216">
        <v>8.2200000000000006</v>
      </c>
      <c r="I216" t="s">
        <v>52</v>
      </c>
      <c r="J216" t="s">
        <v>121</v>
      </c>
      <c r="K216" t="s">
        <v>54</v>
      </c>
      <c r="L216" t="s">
        <v>55</v>
      </c>
      <c r="O216" t="s">
        <v>122</v>
      </c>
      <c r="P216" t="s">
        <v>123</v>
      </c>
      <c r="Q216">
        <v>52514.96</v>
      </c>
      <c r="R216">
        <v>-8.2200000000000006</v>
      </c>
      <c r="S216" t="s">
        <v>2895</v>
      </c>
      <c r="T216" t="s">
        <v>2896</v>
      </c>
      <c r="U216" t="s">
        <v>2897</v>
      </c>
    </row>
    <row r="217" spans="1:21">
      <c r="A217" t="s">
        <v>536</v>
      </c>
      <c r="B217" s="7">
        <v>46113</v>
      </c>
      <c r="C217" s="8">
        <v>0.37381944444444443</v>
      </c>
      <c r="D217" t="s">
        <v>17</v>
      </c>
      <c r="E217" t="s">
        <v>2</v>
      </c>
      <c r="F217" t="s">
        <v>50</v>
      </c>
      <c r="G217" t="s">
        <v>51</v>
      </c>
      <c r="H217">
        <v>46.08</v>
      </c>
      <c r="I217" t="s">
        <v>52</v>
      </c>
      <c r="J217" t="s">
        <v>81</v>
      </c>
      <c r="K217" t="s">
        <v>54</v>
      </c>
      <c r="L217" t="s">
        <v>55</v>
      </c>
      <c r="O217" t="s">
        <v>82</v>
      </c>
      <c r="P217" t="s">
        <v>83</v>
      </c>
      <c r="Q217">
        <v>52154.07</v>
      </c>
      <c r="R217">
        <v>-46.08</v>
      </c>
      <c r="S217" t="s">
        <v>2895</v>
      </c>
      <c r="T217" t="s">
        <v>2896</v>
      </c>
      <c r="U217" t="s">
        <v>2897</v>
      </c>
    </row>
    <row r="218" spans="1:21">
      <c r="A218" t="s">
        <v>538</v>
      </c>
      <c r="B218" s="7">
        <v>46113</v>
      </c>
      <c r="C218" s="8">
        <v>0.44451388888888888</v>
      </c>
      <c r="D218" t="s">
        <v>17</v>
      </c>
      <c r="E218" t="s">
        <v>2</v>
      </c>
      <c r="F218" t="s">
        <v>50</v>
      </c>
      <c r="G218" t="s">
        <v>51</v>
      </c>
      <c r="H218">
        <v>122.52</v>
      </c>
      <c r="I218" t="s">
        <v>52</v>
      </c>
      <c r="J218" t="s">
        <v>196</v>
      </c>
      <c r="K218" t="s">
        <v>54</v>
      </c>
      <c r="L218" t="s">
        <v>55</v>
      </c>
      <c r="O218" t="s">
        <v>197</v>
      </c>
      <c r="P218" t="s">
        <v>198</v>
      </c>
      <c r="Q218">
        <v>52257.38</v>
      </c>
      <c r="R218">
        <v>-122.52</v>
      </c>
      <c r="S218" t="s">
        <v>2895</v>
      </c>
      <c r="T218" t="s">
        <v>2896</v>
      </c>
      <c r="U218" t="s">
        <v>2897</v>
      </c>
    </row>
    <row r="219" spans="1:21">
      <c r="A219" t="s">
        <v>540</v>
      </c>
      <c r="B219" s="7">
        <v>46113</v>
      </c>
      <c r="C219" s="8">
        <v>0.46675925925925926</v>
      </c>
      <c r="D219" t="s">
        <v>17</v>
      </c>
      <c r="E219" t="s">
        <v>2</v>
      </c>
      <c r="F219" t="s">
        <v>50</v>
      </c>
      <c r="G219" t="s">
        <v>51</v>
      </c>
      <c r="H219">
        <v>46.87</v>
      </c>
      <c r="I219" t="s">
        <v>52</v>
      </c>
      <c r="J219" t="s">
        <v>81</v>
      </c>
      <c r="K219" t="s">
        <v>54</v>
      </c>
      <c r="L219" t="s">
        <v>55</v>
      </c>
      <c r="O219" t="s">
        <v>82</v>
      </c>
      <c r="P219" t="s">
        <v>83</v>
      </c>
      <c r="Q219">
        <v>52107.199999999997</v>
      </c>
      <c r="R219">
        <v>-46.87</v>
      </c>
      <c r="S219" t="s">
        <v>2895</v>
      </c>
      <c r="T219" t="s">
        <v>2896</v>
      </c>
      <c r="U219" t="s">
        <v>2897</v>
      </c>
    </row>
    <row r="220" spans="1:21">
      <c r="A220" t="s">
        <v>542</v>
      </c>
      <c r="B220" s="7">
        <v>46113</v>
      </c>
      <c r="C220" s="8">
        <v>0.62630787037037039</v>
      </c>
      <c r="D220" t="s">
        <v>17</v>
      </c>
      <c r="E220" t="s">
        <v>2</v>
      </c>
      <c r="F220" t="s">
        <v>50</v>
      </c>
      <c r="G220" t="s">
        <v>51</v>
      </c>
      <c r="H220">
        <v>37.89</v>
      </c>
      <c r="I220" t="s">
        <v>52</v>
      </c>
      <c r="J220" t="s">
        <v>81</v>
      </c>
      <c r="K220" t="s">
        <v>54</v>
      </c>
      <c r="L220" t="s">
        <v>55</v>
      </c>
      <c r="O220" t="s">
        <v>82</v>
      </c>
      <c r="P220" t="s">
        <v>83</v>
      </c>
      <c r="Q220">
        <v>52523.18</v>
      </c>
      <c r="R220">
        <v>-37.89</v>
      </c>
      <c r="S220" t="s">
        <v>2895</v>
      </c>
      <c r="T220" t="s">
        <v>2896</v>
      </c>
      <c r="U220" t="s">
        <v>2897</v>
      </c>
    </row>
    <row r="221" spans="1:21">
      <c r="A221" t="s">
        <v>544</v>
      </c>
      <c r="B221" s="7">
        <v>46113</v>
      </c>
      <c r="C221" s="8">
        <v>0.65961805555555553</v>
      </c>
      <c r="D221" t="s">
        <v>17</v>
      </c>
      <c r="E221" t="s">
        <v>2</v>
      </c>
      <c r="F221" t="s">
        <v>50</v>
      </c>
      <c r="G221" t="s">
        <v>100</v>
      </c>
      <c r="H221">
        <v>15</v>
      </c>
      <c r="I221" t="s">
        <v>52</v>
      </c>
      <c r="J221" t="s">
        <v>101</v>
      </c>
      <c r="K221" t="s">
        <v>54</v>
      </c>
      <c r="L221" t="s">
        <v>102</v>
      </c>
      <c r="O221" t="s">
        <v>103</v>
      </c>
      <c r="P221" t="s">
        <v>104</v>
      </c>
      <c r="Q221">
        <v>52499.96</v>
      </c>
      <c r="R221">
        <v>-15</v>
      </c>
      <c r="S221" t="s">
        <v>2895</v>
      </c>
      <c r="T221" t="s">
        <v>2896</v>
      </c>
      <c r="U221" t="s">
        <v>2897</v>
      </c>
    </row>
    <row r="222" spans="1:21">
      <c r="A222" t="s">
        <v>546</v>
      </c>
      <c r="B222" s="7">
        <v>46113</v>
      </c>
      <c r="C222" s="8">
        <v>0.71851851851851856</v>
      </c>
      <c r="D222" t="s">
        <v>17</v>
      </c>
      <c r="E222" t="s">
        <v>2</v>
      </c>
      <c r="F222" t="s">
        <v>50</v>
      </c>
      <c r="G222" t="s">
        <v>51</v>
      </c>
      <c r="H222">
        <v>120.06</v>
      </c>
      <c r="I222" t="s">
        <v>52</v>
      </c>
      <c r="J222" t="s">
        <v>196</v>
      </c>
      <c r="K222" t="s">
        <v>54</v>
      </c>
      <c r="L222" t="s">
        <v>55</v>
      </c>
      <c r="O222" t="s">
        <v>197</v>
      </c>
      <c r="P222" t="s">
        <v>198</v>
      </c>
      <c r="Q222">
        <v>52379.9</v>
      </c>
      <c r="R222">
        <v>-120.06</v>
      </c>
      <c r="S222" t="s">
        <v>2895</v>
      </c>
      <c r="T222" t="s">
        <v>2896</v>
      </c>
      <c r="U222" t="s">
        <v>2897</v>
      </c>
    </row>
    <row r="223" spans="1:21">
      <c r="A223" t="s">
        <v>548</v>
      </c>
      <c r="B223" s="7">
        <v>46113</v>
      </c>
      <c r="C223" s="8">
        <v>0.83515046296296291</v>
      </c>
      <c r="D223" t="s">
        <v>17</v>
      </c>
      <c r="E223" t="s">
        <v>2</v>
      </c>
      <c r="F223" t="s">
        <v>50</v>
      </c>
      <c r="G223" t="s">
        <v>51</v>
      </c>
      <c r="H223">
        <v>57.23</v>
      </c>
      <c r="I223" t="s">
        <v>52</v>
      </c>
      <c r="J223" t="s">
        <v>65</v>
      </c>
      <c r="K223" t="s">
        <v>54</v>
      </c>
      <c r="L223" t="s">
        <v>55</v>
      </c>
      <c r="O223" t="s">
        <v>66</v>
      </c>
      <c r="P223" t="s">
        <v>67</v>
      </c>
      <c r="Q223">
        <v>52200.15</v>
      </c>
      <c r="R223">
        <v>-57.23</v>
      </c>
      <c r="S223" t="s">
        <v>2895</v>
      </c>
      <c r="T223" t="s">
        <v>2896</v>
      </c>
      <c r="U223" t="s">
        <v>2897</v>
      </c>
    </row>
    <row r="224" spans="1:21">
      <c r="A224" t="s">
        <v>550</v>
      </c>
      <c r="B224" s="7">
        <v>46114</v>
      </c>
      <c r="C224" s="8">
        <v>0.49363425925925924</v>
      </c>
      <c r="D224" t="s">
        <v>17</v>
      </c>
      <c r="E224" t="s">
        <v>2</v>
      </c>
      <c r="F224" t="s">
        <v>50</v>
      </c>
      <c r="G224" t="s">
        <v>100</v>
      </c>
      <c r="H224">
        <v>1850</v>
      </c>
      <c r="I224" t="s">
        <v>52</v>
      </c>
      <c r="J224" t="s">
        <v>107</v>
      </c>
      <c r="K224" t="s">
        <v>54</v>
      </c>
      <c r="L224" t="s">
        <v>102</v>
      </c>
      <c r="O224" t="s">
        <v>108</v>
      </c>
      <c r="P224" t="s">
        <v>109</v>
      </c>
      <c r="Q224">
        <v>47054.25</v>
      </c>
      <c r="R224">
        <v>-1850</v>
      </c>
      <c r="S224" t="s">
        <v>2895</v>
      </c>
      <c r="T224" t="s">
        <v>2896</v>
      </c>
      <c r="U224" t="s">
        <v>2897</v>
      </c>
    </row>
    <row r="225" spans="1:21">
      <c r="A225" t="s">
        <v>552</v>
      </c>
      <c r="B225" s="7">
        <v>46114</v>
      </c>
      <c r="C225" s="8">
        <v>0.62025462962962963</v>
      </c>
      <c r="D225" t="s">
        <v>17</v>
      </c>
      <c r="E225" t="s">
        <v>2</v>
      </c>
      <c r="F225" t="s">
        <v>50</v>
      </c>
      <c r="G225" t="s">
        <v>100</v>
      </c>
      <c r="H225">
        <v>17.53</v>
      </c>
      <c r="I225" t="s">
        <v>52</v>
      </c>
      <c r="J225" t="s">
        <v>114</v>
      </c>
      <c r="K225" t="s">
        <v>54</v>
      </c>
      <c r="L225" t="s">
        <v>102</v>
      </c>
      <c r="O225" t="s">
        <v>103</v>
      </c>
      <c r="P225" t="s">
        <v>104</v>
      </c>
      <c r="Q225">
        <v>52089.67</v>
      </c>
      <c r="R225">
        <v>-17.53</v>
      </c>
      <c r="S225" t="s">
        <v>2895</v>
      </c>
      <c r="T225" t="s">
        <v>2896</v>
      </c>
      <c r="U225" t="s">
        <v>2897</v>
      </c>
    </row>
    <row r="226" spans="1:21">
      <c r="A226" t="s">
        <v>554</v>
      </c>
      <c r="B226" s="7">
        <v>46114</v>
      </c>
      <c r="C226" s="8">
        <v>0.70739583333333333</v>
      </c>
      <c r="D226" t="s">
        <v>17</v>
      </c>
      <c r="E226" t="s">
        <v>2</v>
      </c>
      <c r="F226" t="s">
        <v>149</v>
      </c>
      <c r="G226" t="s">
        <v>72</v>
      </c>
      <c r="H226">
        <v>170.91</v>
      </c>
      <c r="I226" t="s">
        <v>52</v>
      </c>
      <c r="J226" t="s">
        <v>150</v>
      </c>
      <c r="K226" t="s">
        <v>54</v>
      </c>
      <c r="L226" t="s">
        <v>74</v>
      </c>
      <c r="O226" t="s">
        <v>75</v>
      </c>
      <c r="P226" t="s">
        <v>76</v>
      </c>
      <c r="Q226">
        <v>51989.33</v>
      </c>
      <c r="R226">
        <v>170.91</v>
      </c>
      <c r="S226" t="s">
        <v>2895</v>
      </c>
      <c r="T226" t="s">
        <v>2896</v>
      </c>
      <c r="U226" t="s">
        <v>2897</v>
      </c>
    </row>
    <row r="227" spans="1:21">
      <c r="A227" t="s">
        <v>556</v>
      </c>
      <c r="B227" s="7">
        <v>46114</v>
      </c>
      <c r="C227" s="8">
        <v>0.71299768518518514</v>
      </c>
      <c r="D227" t="s">
        <v>17</v>
      </c>
      <c r="E227" t="s">
        <v>2</v>
      </c>
      <c r="F227" t="s">
        <v>50</v>
      </c>
      <c r="G227" t="s">
        <v>51</v>
      </c>
      <c r="H227">
        <v>12.18</v>
      </c>
      <c r="I227" t="s">
        <v>52</v>
      </c>
      <c r="J227" t="s">
        <v>53</v>
      </c>
      <c r="K227" t="s">
        <v>54</v>
      </c>
      <c r="L227" t="s">
        <v>55</v>
      </c>
      <c r="O227" t="s">
        <v>56</v>
      </c>
      <c r="P227" t="s">
        <v>57</v>
      </c>
      <c r="Q227">
        <v>51818.42</v>
      </c>
      <c r="R227">
        <v>-12.18</v>
      </c>
      <c r="S227" t="s">
        <v>2895</v>
      </c>
      <c r="T227" t="s">
        <v>2896</v>
      </c>
      <c r="U227" t="s">
        <v>2897</v>
      </c>
    </row>
    <row r="228" spans="1:21">
      <c r="A228" t="s">
        <v>558</v>
      </c>
      <c r="B228" s="7">
        <v>46114</v>
      </c>
      <c r="C228" s="8">
        <v>0.73873842592592598</v>
      </c>
      <c r="D228" t="s">
        <v>17</v>
      </c>
      <c r="E228" t="s">
        <v>2</v>
      </c>
      <c r="F228" t="s">
        <v>50</v>
      </c>
      <c r="G228" t="s">
        <v>100</v>
      </c>
      <c r="H228">
        <v>11.85</v>
      </c>
      <c r="I228" t="s">
        <v>52</v>
      </c>
      <c r="J228" t="s">
        <v>114</v>
      </c>
      <c r="K228" t="s">
        <v>54</v>
      </c>
      <c r="L228" t="s">
        <v>102</v>
      </c>
      <c r="O228" t="s">
        <v>103</v>
      </c>
      <c r="P228" t="s">
        <v>104</v>
      </c>
      <c r="Q228">
        <v>51830.6</v>
      </c>
      <c r="R228">
        <v>-11.85</v>
      </c>
      <c r="S228" t="s">
        <v>2895</v>
      </c>
      <c r="T228" t="s">
        <v>2896</v>
      </c>
      <c r="U228" t="s">
        <v>2897</v>
      </c>
    </row>
    <row r="229" spans="1:21">
      <c r="A229" t="s">
        <v>560</v>
      </c>
      <c r="B229" s="7">
        <v>46114</v>
      </c>
      <c r="C229" s="8">
        <v>0.75018518518518518</v>
      </c>
      <c r="D229" t="s">
        <v>17</v>
      </c>
      <c r="E229" t="s">
        <v>2</v>
      </c>
      <c r="F229" t="s">
        <v>50</v>
      </c>
      <c r="G229" t="s">
        <v>100</v>
      </c>
      <c r="H229">
        <v>15.49</v>
      </c>
      <c r="I229" t="s">
        <v>52</v>
      </c>
      <c r="J229" t="s">
        <v>114</v>
      </c>
      <c r="K229" t="s">
        <v>54</v>
      </c>
      <c r="L229" t="s">
        <v>102</v>
      </c>
      <c r="O229" t="s">
        <v>103</v>
      </c>
      <c r="P229" t="s">
        <v>104</v>
      </c>
      <c r="Q229">
        <v>51842.45</v>
      </c>
      <c r="R229">
        <v>-15.49</v>
      </c>
      <c r="S229" t="s">
        <v>2895</v>
      </c>
      <c r="T229" t="s">
        <v>2896</v>
      </c>
      <c r="U229" t="s">
        <v>2897</v>
      </c>
    </row>
    <row r="230" spans="1:21">
      <c r="A230" t="s">
        <v>562</v>
      </c>
      <c r="B230" s="7">
        <v>46114</v>
      </c>
      <c r="C230" s="8">
        <v>0.78809027777777774</v>
      </c>
      <c r="D230" t="s">
        <v>17</v>
      </c>
      <c r="E230" t="s">
        <v>2</v>
      </c>
      <c r="F230" t="s">
        <v>50</v>
      </c>
      <c r="G230" t="s">
        <v>51</v>
      </c>
      <c r="H230">
        <v>165.11</v>
      </c>
      <c r="I230" t="s">
        <v>52</v>
      </c>
      <c r="J230" t="s">
        <v>196</v>
      </c>
      <c r="K230" t="s">
        <v>54</v>
      </c>
      <c r="L230" t="s">
        <v>55</v>
      </c>
      <c r="O230" t="s">
        <v>197</v>
      </c>
      <c r="P230" t="s">
        <v>198</v>
      </c>
      <c r="Q230">
        <v>51857.94</v>
      </c>
      <c r="R230">
        <v>-165.11</v>
      </c>
      <c r="S230" t="s">
        <v>2895</v>
      </c>
      <c r="T230" t="s">
        <v>2896</v>
      </c>
      <c r="U230" t="s">
        <v>2897</v>
      </c>
    </row>
    <row r="231" spans="1:21">
      <c r="A231" t="s">
        <v>564</v>
      </c>
      <c r="B231" s="7">
        <v>46114</v>
      </c>
      <c r="C231" s="8">
        <v>0.83621527777777782</v>
      </c>
      <c r="D231" t="s">
        <v>17</v>
      </c>
      <c r="E231" t="s">
        <v>2</v>
      </c>
      <c r="F231" t="s">
        <v>50</v>
      </c>
      <c r="G231" t="s">
        <v>51</v>
      </c>
      <c r="H231">
        <v>49.82</v>
      </c>
      <c r="I231" t="s">
        <v>52</v>
      </c>
      <c r="J231" t="s">
        <v>81</v>
      </c>
      <c r="K231" t="s">
        <v>54</v>
      </c>
      <c r="L231" t="s">
        <v>55</v>
      </c>
      <c r="O231" t="s">
        <v>82</v>
      </c>
      <c r="P231" t="s">
        <v>83</v>
      </c>
      <c r="Q231">
        <v>52023.05</v>
      </c>
      <c r="R231">
        <v>-49.82</v>
      </c>
      <c r="S231" t="s">
        <v>2895</v>
      </c>
      <c r="T231" t="s">
        <v>2896</v>
      </c>
      <c r="U231" t="s">
        <v>2897</v>
      </c>
    </row>
    <row r="232" spans="1:21">
      <c r="A232" t="s">
        <v>566</v>
      </c>
      <c r="B232" s="7">
        <v>46114</v>
      </c>
      <c r="C232" s="8">
        <v>0.91062500000000002</v>
      </c>
      <c r="D232" t="s">
        <v>17</v>
      </c>
      <c r="E232" t="s">
        <v>2</v>
      </c>
      <c r="F232" t="s">
        <v>50</v>
      </c>
      <c r="G232" t="s">
        <v>51</v>
      </c>
      <c r="H232">
        <v>16.8</v>
      </c>
      <c r="I232" t="s">
        <v>52</v>
      </c>
      <c r="J232" t="s">
        <v>53</v>
      </c>
      <c r="K232" t="s">
        <v>54</v>
      </c>
      <c r="L232" t="s">
        <v>55</v>
      </c>
      <c r="O232" t="s">
        <v>56</v>
      </c>
      <c r="P232" t="s">
        <v>57</v>
      </c>
      <c r="Q232">
        <v>52072.87</v>
      </c>
      <c r="R232">
        <v>-16.8</v>
      </c>
      <c r="S232" t="s">
        <v>2895</v>
      </c>
      <c r="T232" t="s">
        <v>2896</v>
      </c>
      <c r="U232" t="s">
        <v>2897</v>
      </c>
    </row>
    <row r="233" spans="1:21">
      <c r="A233" t="s">
        <v>568</v>
      </c>
      <c r="B233" s="7">
        <v>46115</v>
      </c>
      <c r="C233" s="8">
        <v>0.3052199074074074</v>
      </c>
      <c r="D233" t="s">
        <v>17</v>
      </c>
      <c r="E233" t="s">
        <v>2</v>
      </c>
      <c r="F233" t="s">
        <v>50</v>
      </c>
      <c r="G233" t="s">
        <v>51</v>
      </c>
      <c r="H233">
        <v>28.99</v>
      </c>
      <c r="I233" t="s">
        <v>52</v>
      </c>
      <c r="J233" t="s">
        <v>60</v>
      </c>
      <c r="K233" t="s">
        <v>54</v>
      </c>
      <c r="L233" t="s">
        <v>55</v>
      </c>
      <c r="O233" t="s">
        <v>61</v>
      </c>
      <c r="P233" t="s">
        <v>62</v>
      </c>
      <c r="Q233">
        <v>51945.34</v>
      </c>
      <c r="R233">
        <v>-28.99</v>
      </c>
      <c r="S233" t="s">
        <v>2895</v>
      </c>
      <c r="T233" t="s">
        <v>2896</v>
      </c>
      <c r="U233" t="s">
        <v>2897</v>
      </c>
    </row>
    <row r="234" spans="1:21">
      <c r="A234" t="s">
        <v>570</v>
      </c>
      <c r="B234" s="7">
        <v>46115</v>
      </c>
      <c r="C234" s="8">
        <v>0.41216435185185185</v>
      </c>
      <c r="D234" t="s">
        <v>17</v>
      </c>
      <c r="E234" t="s">
        <v>2</v>
      </c>
      <c r="F234" t="s">
        <v>50</v>
      </c>
      <c r="G234" t="s">
        <v>51</v>
      </c>
      <c r="H234">
        <v>43.42</v>
      </c>
      <c r="I234" t="s">
        <v>52</v>
      </c>
      <c r="J234" t="s">
        <v>126</v>
      </c>
      <c r="K234" t="s">
        <v>54</v>
      </c>
      <c r="L234" t="s">
        <v>55</v>
      </c>
      <c r="O234" t="s">
        <v>56</v>
      </c>
      <c r="P234" t="s">
        <v>57</v>
      </c>
      <c r="Q234">
        <v>51832.19</v>
      </c>
      <c r="R234">
        <v>-43.42</v>
      </c>
      <c r="S234" t="s">
        <v>2895</v>
      </c>
      <c r="T234" t="s">
        <v>2896</v>
      </c>
      <c r="U234" t="s">
        <v>2897</v>
      </c>
    </row>
    <row r="235" spans="1:21">
      <c r="A235" t="s">
        <v>572</v>
      </c>
      <c r="B235" s="7">
        <v>46115</v>
      </c>
      <c r="C235" s="8">
        <v>0.43366898148148147</v>
      </c>
      <c r="D235" t="s">
        <v>17</v>
      </c>
      <c r="E235" t="s">
        <v>2</v>
      </c>
      <c r="F235" t="s">
        <v>50</v>
      </c>
      <c r="G235" t="s">
        <v>51</v>
      </c>
      <c r="H235">
        <v>26.86</v>
      </c>
      <c r="I235" t="s">
        <v>52</v>
      </c>
      <c r="J235" t="s">
        <v>60</v>
      </c>
      <c r="K235" t="s">
        <v>54</v>
      </c>
      <c r="L235" t="s">
        <v>55</v>
      </c>
      <c r="O235" t="s">
        <v>61</v>
      </c>
      <c r="P235" t="s">
        <v>62</v>
      </c>
      <c r="Q235">
        <v>51918.48</v>
      </c>
      <c r="R235">
        <v>-26.86</v>
      </c>
      <c r="S235" t="s">
        <v>2895</v>
      </c>
      <c r="T235" t="s">
        <v>2896</v>
      </c>
      <c r="U235" t="s">
        <v>2897</v>
      </c>
    </row>
    <row r="236" spans="1:21">
      <c r="A236" t="s">
        <v>574</v>
      </c>
      <c r="B236" s="7">
        <v>46115</v>
      </c>
      <c r="C236" s="8">
        <v>0.65377314814814813</v>
      </c>
      <c r="D236" t="s">
        <v>17</v>
      </c>
      <c r="E236" t="s">
        <v>2</v>
      </c>
      <c r="F236" t="s">
        <v>50</v>
      </c>
      <c r="G236" t="s">
        <v>100</v>
      </c>
      <c r="H236">
        <v>15</v>
      </c>
      <c r="I236" t="s">
        <v>52</v>
      </c>
      <c r="J236" t="s">
        <v>101</v>
      </c>
      <c r="K236" t="s">
        <v>54</v>
      </c>
      <c r="L236" t="s">
        <v>102</v>
      </c>
      <c r="O236" t="s">
        <v>103</v>
      </c>
      <c r="P236" t="s">
        <v>104</v>
      </c>
      <c r="Q236">
        <v>51974.33</v>
      </c>
      <c r="R236">
        <v>-15</v>
      </c>
      <c r="S236" t="s">
        <v>2895</v>
      </c>
      <c r="T236" t="s">
        <v>2896</v>
      </c>
      <c r="U236" t="s">
        <v>2897</v>
      </c>
    </row>
    <row r="237" spans="1:21">
      <c r="A237" t="s">
        <v>576</v>
      </c>
      <c r="B237" s="7">
        <v>46115</v>
      </c>
      <c r="C237" s="8">
        <v>0.81790509259259259</v>
      </c>
      <c r="D237" t="s">
        <v>17</v>
      </c>
      <c r="E237" t="s">
        <v>2</v>
      </c>
      <c r="F237" t="s">
        <v>50</v>
      </c>
      <c r="G237" t="s">
        <v>51</v>
      </c>
      <c r="H237">
        <v>42.87</v>
      </c>
      <c r="I237" t="s">
        <v>52</v>
      </c>
      <c r="J237" t="s">
        <v>81</v>
      </c>
      <c r="K237" t="s">
        <v>54</v>
      </c>
      <c r="L237" t="s">
        <v>55</v>
      </c>
      <c r="O237" t="s">
        <v>82</v>
      </c>
      <c r="P237" t="s">
        <v>83</v>
      </c>
      <c r="Q237">
        <v>51875.61</v>
      </c>
      <c r="R237">
        <v>-42.87</v>
      </c>
      <c r="S237" t="s">
        <v>2895</v>
      </c>
      <c r="T237" t="s">
        <v>2896</v>
      </c>
      <c r="U237" t="s">
        <v>2897</v>
      </c>
    </row>
    <row r="238" spans="1:21">
      <c r="A238" t="s">
        <v>578</v>
      </c>
      <c r="B238" s="7">
        <v>46116</v>
      </c>
      <c r="C238" s="8">
        <v>0.40512731481481479</v>
      </c>
      <c r="D238" t="s">
        <v>17</v>
      </c>
      <c r="E238" t="s">
        <v>2</v>
      </c>
      <c r="F238" t="s">
        <v>50</v>
      </c>
      <c r="G238" t="s">
        <v>51</v>
      </c>
      <c r="H238">
        <v>164.27</v>
      </c>
      <c r="I238" t="s">
        <v>52</v>
      </c>
      <c r="J238" t="s">
        <v>196</v>
      </c>
      <c r="K238" t="s">
        <v>54</v>
      </c>
      <c r="L238" t="s">
        <v>55</v>
      </c>
      <c r="O238" t="s">
        <v>197</v>
      </c>
      <c r="P238" t="s">
        <v>198</v>
      </c>
      <c r="Q238">
        <v>51562.25</v>
      </c>
      <c r="R238">
        <v>-164.27</v>
      </c>
      <c r="S238" t="s">
        <v>2895</v>
      </c>
      <c r="T238" t="s">
        <v>2896</v>
      </c>
      <c r="U238" t="s">
        <v>2897</v>
      </c>
    </row>
    <row r="239" spans="1:21">
      <c r="A239" t="s">
        <v>580</v>
      </c>
      <c r="B239" s="7">
        <v>46116</v>
      </c>
      <c r="C239" s="8">
        <v>0.41310185185185183</v>
      </c>
      <c r="D239" t="s">
        <v>17</v>
      </c>
      <c r="E239" t="s">
        <v>2</v>
      </c>
      <c r="F239" t="s">
        <v>50</v>
      </c>
      <c r="G239" t="s">
        <v>51</v>
      </c>
      <c r="H239">
        <v>6.66</v>
      </c>
      <c r="I239" t="s">
        <v>52</v>
      </c>
      <c r="J239" t="s">
        <v>53</v>
      </c>
      <c r="K239" t="s">
        <v>54</v>
      </c>
      <c r="L239" t="s">
        <v>55</v>
      </c>
      <c r="O239" t="s">
        <v>56</v>
      </c>
      <c r="P239" t="s">
        <v>57</v>
      </c>
      <c r="Q239">
        <v>51532.06</v>
      </c>
      <c r="R239">
        <v>-6.66</v>
      </c>
      <c r="S239" t="s">
        <v>2895</v>
      </c>
      <c r="T239" t="s">
        <v>2896</v>
      </c>
      <c r="U239" t="s">
        <v>2897</v>
      </c>
    </row>
    <row r="240" spans="1:21">
      <c r="A240" t="s">
        <v>582</v>
      </c>
      <c r="B240" s="7">
        <v>46116</v>
      </c>
      <c r="C240" s="8">
        <v>0.51976851851851846</v>
      </c>
      <c r="D240" t="s">
        <v>17</v>
      </c>
      <c r="E240" t="s">
        <v>2</v>
      </c>
      <c r="F240" t="s">
        <v>50</v>
      </c>
      <c r="G240" t="s">
        <v>51</v>
      </c>
      <c r="H240">
        <v>105.67</v>
      </c>
      <c r="I240" t="s">
        <v>52</v>
      </c>
      <c r="J240" t="s">
        <v>65</v>
      </c>
      <c r="K240" t="s">
        <v>54</v>
      </c>
      <c r="L240" t="s">
        <v>55</v>
      </c>
      <c r="O240" t="s">
        <v>66</v>
      </c>
      <c r="P240" t="s">
        <v>67</v>
      </c>
      <c r="Q240">
        <v>51726.52</v>
      </c>
      <c r="R240">
        <v>-105.67</v>
      </c>
      <c r="S240" t="s">
        <v>2895</v>
      </c>
      <c r="T240" t="s">
        <v>2896</v>
      </c>
      <c r="U240" t="s">
        <v>2897</v>
      </c>
    </row>
    <row r="241" spans="1:21">
      <c r="A241" t="s">
        <v>584</v>
      </c>
      <c r="B241" s="7">
        <v>46116</v>
      </c>
      <c r="C241" s="8">
        <v>0.52584490740740741</v>
      </c>
      <c r="D241" t="s">
        <v>17</v>
      </c>
      <c r="E241" t="s">
        <v>2</v>
      </c>
      <c r="F241" t="s">
        <v>50</v>
      </c>
      <c r="G241" t="s">
        <v>51</v>
      </c>
      <c r="H241">
        <v>24.21</v>
      </c>
      <c r="I241" t="s">
        <v>52</v>
      </c>
      <c r="J241" t="s">
        <v>196</v>
      </c>
      <c r="K241" t="s">
        <v>54</v>
      </c>
      <c r="L241" t="s">
        <v>55</v>
      </c>
      <c r="O241" t="s">
        <v>197</v>
      </c>
      <c r="P241" t="s">
        <v>198</v>
      </c>
      <c r="Q241">
        <v>51468.43</v>
      </c>
      <c r="R241">
        <v>-24.21</v>
      </c>
      <c r="S241" t="s">
        <v>2895</v>
      </c>
      <c r="T241" t="s">
        <v>2896</v>
      </c>
      <c r="U241" t="s">
        <v>2897</v>
      </c>
    </row>
    <row r="242" spans="1:21">
      <c r="A242" t="s">
        <v>586</v>
      </c>
      <c r="B242" s="7">
        <v>46116</v>
      </c>
      <c r="C242" s="8">
        <v>0.52893518518518523</v>
      </c>
      <c r="D242" t="s">
        <v>17</v>
      </c>
      <c r="E242" t="s">
        <v>2</v>
      </c>
      <c r="F242" t="s">
        <v>50</v>
      </c>
      <c r="G242" t="s">
        <v>100</v>
      </c>
      <c r="H242">
        <v>15</v>
      </c>
      <c r="I242" t="s">
        <v>52</v>
      </c>
      <c r="J242" t="s">
        <v>101</v>
      </c>
      <c r="K242" t="s">
        <v>54</v>
      </c>
      <c r="L242" t="s">
        <v>102</v>
      </c>
      <c r="O242" t="s">
        <v>103</v>
      </c>
      <c r="P242" t="s">
        <v>104</v>
      </c>
      <c r="Q242">
        <v>51517.06</v>
      </c>
      <c r="R242">
        <v>-15</v>
      </c>
      <c r="S242" t="s">
        <v>2895</v>
      </c>
      <c r="T242" t="s">
        <v>2896</v>
      </c>
      <c r="U242" t="s">
        <v>2897</v>
      </c>
    </row>
    <row r="243" spans="1:21">
      <c r="A243" t="s">
        <v>588</v>
      </c>
      <c r="B243" s="7">
        <v>46116</v>
      </c>
      <c r="C243" s="8">
        <v>0.6771759259259259</v>
      </c>
      <c r="D243" t="s">
        <v>17</v>
      </c>
      <c r="E243" t="s">
        <v>2</v>
      </c>
      <c r="F243" t="s">
        <v>50</v>
      </c>
      <c r="G243" t="s">
        <v>51</v>
      </c>
      <c r="H243">
        <v>24.42</v>
      </c>
      <c r="I243" t="s">
        <v>52</v>
      </c>
      <c r="J243" t="s">
        <v>65</v>
      </c>
      <c r="K243" t="s">
        <v>54</v>
      </c>
      <c r="L243" t="s">
        <v>55</v>
      </c>
      <c r="O243" t="s">
        <v>66</v>
      </c>
      <c r="P243" t="s">
        <v>67</v>
      </c>
      <c r="Q243">
        <v>51492.639999999999</v>
      </c>
      <c r="R243">
        <v>-24.42</v>
      </c>
      <c r="S243" t="s">
        <v>2895</v>
      </c>
      <c r="T243" t="s">
        <v>2896</v>
      </c>
      <c r="U243" t="s">
        <v>2897</v>
      </c>
    </row>
    <row r="244" spans="1:21">
      <c r="A244" t="s">
        <v>590</v>
      </c>
      <c r="B244" s="7">
        <v>46116</v>
      </c>
      <c r="C244" s="8">
        <v>0.71070601851851856</v>
      </c>
      <c r="D244" t="s">
        <v>17</v>
      </c>
      <c r="E244" t="s">
        <v>2</v>
      </c>
      <c r="F244" t="s">
        <v>50</v>
      </c>
      <c r="G244" t="s">
        <v>100</v>
      </c>
      <c r="H244">
        <v>23.53</v>
      </c>
      <c r="I244" t="s">
        <v>52</v>
      </c>
      <c r="J244" t="s">
        <v>114</v>
      </c>
      <c r="K244" t="s">
        <v>54</v>
      </c>
      <c r="L244" t="s">
        <v>102</v>
      </c>
      <c r="O244" t="s">
        <v>103</v>
      </c>
      <c r="P244" t="s">
        <v>104</v>
      </c>
      <c r="Q244">
        <v>51538.720000000001</v>
      </c>
      <c r="R244">
        <v>-23.53</v>
      </c>
      <c r="S244" t="s">
        <v>2895</v>
      </c>
      <c r="T244" t="s">
        <v>2896</v>
      </c>
      <c r="U244" t="s">
        <v>2897</v>
      </c>
    </row>
    <row r="245" spans="1:21">
      <c r="A245" t="s">
        <v>592</v>
      </c>
      <c r="B245" s="7">
        <v>46117</v>
      </c>
      <c r="C245" s="8">
        <v>0.25782407407407409</v>
      </c>
      <c r="D245" t="s">
        <v>17</v>
      </c>
      <c r="E245" t="s">
        <v>2</v>
      </c>
      <c r="F245" t="s">
        <v>50</v>
      </c>
      <c r="G245" t="s">
        <v>51</v>
      </c>
      <c r="H245">
        <v>116.82</v>
      </c>
      <c r="I245" t="s">
        <v>52</v>
      </c>
      <c r="J245" t="s">
        <v>196</v>
      </c>
      <c r="K245" t="s">
        <v>54</v>
      </c>
      <c r="L245" t="s">
        <v>55</v>
      </c>
      <c r="O245" t="s">
        <v>197</v>
      </c>
      <c r="P245" t="s">
        <v>198</v>
      </c>
      <c r="Q245">
        <v>51248.480000000003</v>
      </c>
      <c r="R245">
        <v>-116.82</v>
      </c>
      <c r="S245" t="s">
        <v>2895</v>
      </c>
      <c r="T245" t="s">
        <v>2896</v>
      </c>
      <c r="U245" t="s">
        <v>2897</v>
      </c>
    </row>
    <row r="246" spans="1:21">
      <c r="A246" t="s">
        <v>594</v>
      </c>
      <c r="B246" s="7">
        <v>46117</v>
      </c>
      <c r="C246" s="8">
        <v>0.40480324074074076</v>
      </c>
      <c r="D246" t="s">
        <v>17</v>
      </c>
      <c r="E246" t="s">
        <v>2</v>
      </c>
      <c r="F246" t="s">
        <v>50</v>
      </c>
      <c r="G246" t="s">
        <v>51</v>
      </c>
      <c r="H246">
        <v>15.18</v>
      </c>
      <c r="I246" t="s">
        <v>52</v>
      </c>
      <c r="J246" t="s">
        <v>53</v>
      </c>
      <c r="K246" t="s">
        <v>54</v>
      </c>
      <c r="L246" t="s">
        <v>55</v>
      </c>
      <c r="O246" t="s">
        <v>56</v>
      </c>
      <c r="P246" t="s">
        <v>57</v>
      </c>
      <c r="Q246">
        <v>51400.04</v>
      </c>
      <c r="R246">
        <v>-15.18</v>
      </c>
      <c r="S246" t="s">
        <v>2895</v>
      </c>
      <c r="T246" t="s">
        <v>2896</v>
      </c>
      <c r="U246" t="s">
        <v>2897</v>
      </c>
    </row>
    <row r="247" spans="1:21">
      <c r="A247" t="s">
        <v>596</v>
      </c>
      <c r="B247" s="7">
        <v>46117</v>
      </c>
      <c r="C247" s="8">
        <v>0.42261574074074076</v>
      </c>
      <c r="D247" t="s">
        <v>17</v>
      </c>
      <c r="E247" t="s">
        <v>2</v>
      </c>
      <c r="F247" t="s">
        <v>50</v>
      </c>
      <c r="G247" t="s">
        <v>51</v>
      </c>
      <c r="H247">
        <v>53.21</v>
      </c>
      <c r="I247" t="s">
        <v>52</v>
      </c>
      <c r="J247" t="s">
        <v>65</v>
      </c>
      <c r="K247" t="s">
        <v>54</v>
      </c>
      <c r="L247" t="s">
        <v>55</v>
      </c>
      <c r="O247" t="s">
        <v>66</v>
      </c>
      <c r="P247" t="s">
        <v>67</v>
      </c>
      <c r="Q247">
        <v>51415.22</v>
      </c>
      <c r="R247">
        <v>-53.21</v>
      </c>
      <c r="S247" t="s">
        <v>2895</v>
      </c>
      <c r="T247" t="s">
        <v>2896</v>
      </c>
      <c r="U247" t="s">
        <v>2897</v>
      </c>
    </row>
    <row r="248" spans="1:21">
      <c r="A248" t="s">
        <v>598</v>
      </c>
      <c r="B248" s="7">
        <v>46117</v>
      </c>
      <c r="C248" s="8">
        <v>0.73098379629629628</v>
      </c>
      <c r="D248" t="s">
        <v>17</v>
      </c>
      <c r="E248" t="s">
        <v>2</v>
      </c>
      <c r="F248" t="s">
        <v>50</v>
      </c>
      <c r="G248" t="s">
        <v>51</v>
      </c>
      <c r="H248">
        <v>45.81</v>
      </c>
      <c r="I248" t="s">
        <v>52</v>
      </c>
      <c r="J248" t="s">
        <v>60</v>
      </c>
      <c r="K248" t="s">
        <v>54</v>
      </c>
      <c r="L248" t="s">
        <v>55</v>
      </c>
      <c r="O248" t="s">
        <v>61</v>
      </c>
      <c r="P248" t="s">
        <v>62</v>
      </c>
      <c r="Q248">
        <v>51168.57</v>
      </c>
      <c r="R248">
        <v>-45.81</v>
      </c>
      <c r="S248" t="s">
        <v>2895</v>
      </c>
      <c r="T248" t="s">
        <v>2896</v>
      </c>
      <c r="U248" t="s">
        <v>2897</v>
      </c>
    </row>
    <row r="249" spans="1:21">
      <c r="A249" t="s">
        <v>600</v>
      </c>
      <c r="B249" s="7">
        <v>46117</v>
      </c>
      <c r="C249" s="8">
        <v>0.7436342592592593</v>
      </c>
      <c r="D249" t="s">
        <v>17</v>
      </c>
      <c r="E249" t="s">
        <v>2</v>
      </c>
      <c r="F249" t="s">
        <v>50</v>
      </c>
      <c r="G249" t="s">
        <v>51</v>
      </c>
      <c r="H249">
        <v>34.74</v>
      </c>
      <c r="I249" t="s">
        <v>52</v>
      </c>
      <c r="J249" t="s">
        <v>65</v>
      </c>
      <c r="K249" t="s">
        <v>54</v>
      </c>
      <c r="L249" t="s">
        <v>55</v>
      </c>
      <c r="O249" t="s">
        <v>66</v>
      </c>
      <c r="P249" t="s">
        <v>67</v>
      </c>
      <c r="Q249">
        <v>51365.3</v>
      </c>
      <c r="R249">
        <v>-34.74</v>
      </c>
      <c r="S249" t="s">
        <v>2895</v>
      </c>
      <c r="T249" t="s">
        <v>2896</v>
      </c>
      <c r="U249" t="s">
        <v>2897</v>
      </c>
    </row>
    <row r="250" spans="1:21">
      <c r="A250" t="s">
        <v>602</v>
      </c>
      <c r="B250" s="7">
        <v>46117</v>
      </c>
      <c r="C250" s="8">
        <v>0.81466435185185182</v>
      </c>
      <c r="D250" t="s">
        <v>17</v>
      </c>
      <c r="E250" t="s">
        <v>2</v>
      </c>
      <c r="F250" t="s">
        <v>50</v>
      </c>
      <c r="G250" t="s">
        <v>51</v>
      </c>
      <c r="H250">
        <v>34.1</v>
      </c>
      <c r="I250" t="s">
        <v>52</v>
      </c>
      <c r="J250" t="s">
        <v>65</v>
      </c>
      <c r="K250" t="s">
        <v>54</v>
      </c>
      <c r="L250" t="s">
        <v>55</v>
      </c>
      <c r="O250" t="s">
        <v>66</v>
      </c>
      <c r="P250" t="s">
        <v>67</v>
      </c>
      <c r="Q250">
        <v>51214.38</v>
      </c>
      <c r="R250">
        <v>-34.1</v>
      </c>
      <c r="S250" t="s">
        <v>2895</v>
      </c>
      <c r="T250" t="s">
        <v>2896</v>
      </c>
      <c r="U250" t="s">
        <v>2897</v>
      </c>
    </row>
    <row r="251" spans="1:21">
      <c r="A251" t="s">
        <v>604</v>
      </c>
      <c r="B251" s="7">
        <v>46117</v>
      </c>
      <c r="C251" s="8">
        <v>0.93019675925925926</v>
      </c>
      <c r="D251" t="s">
        <v>17</v>
      </c>
      <c r="E251" t="s">
        <v>2</v>
      </c>
      <c r="F251" t="s">
        <v>50</v>
      </c>
      <c r="G251" t="s">
        <v>72</v>
      </c>
      <c r="H251">
        <v>118.42</v>
      </c>
      <c r="I251" t="s">
        <v>52</v>
      </c>
      <c r="J251" t="s">
        <v>606</v>
      </c>
      <c r="K251" t="s">
        <v>54</v>
      </c>
      <c r="L251" t="s">
        <v>74</v>
      </c>
      <c r="O251" t="s">
        <v>75</v>
      </c>
      <c r="P251" t="s">
        <v>76</v>
      </c>
      <c r="Q251">
        <v>51050.15</v>
      </c>
      <c r="R251">
        <v>-118.42</v>
      </c>
      <c r="S251" t="s">
        <v>2895</v>
      </c>
      <c r="T251" t="s">
        <v>2896</v>
      </c>
      <c r="U251" t="s">
        <v>2897</v>
      </c>
    </row>
    <row r="252" spans="1:21">
      <c r="A252" t="s">
        <v>607</v>
      </c>
      <c r="B252" s="7">
        <v>46118</v>
      </c>
      <c r="C252" s="8">
        <v>0.41953703703703704</v>
      </c>
      <c r="D252" t="s">
        <v>17</v>
      </c>
      <c r="E252" t="s">
        <v>2</v>
      </c>
      <c r="F252" t="s">
        <v>50</v>
      </c>
      <c r="G252" t="s">
        <v>51</v>
      </c>
      <c r="H252">
        <v>38.11</v>
      </c>
      <c r="I252" t="s">
        <v>52</v>
      </c>
      <c r="J252" t="s">
        <v>60</v>
      </c>
      <c r="K252" t="s">
        <v>54</v>
      </c>
      <c r="L252" t="s">
        <v>55</v>
      </c>
      <c r="O252" t="s">
        <v>61</v>
      </c>
      <c r="P252" t="s">
        <v>62</v>
      </c>
      <c r="Q252">
        <v>50820.71</v>
      </c>
      <c r="R252">
        <v>-38.11</v>
      </c>
      <c r="S252" t="s">
        <v>2895</v>
      </c>
      <c r="T252" t="s">
        <v>2896</v>
      </c>
      <c r="U252" t="s">
        <v>2897</v>
      </c>
    </row>
    <row r="253" spans="1:21">
      <c r="A253" t="s">
        <v>609</v>
      </c>
      <c r="B253" s="7">
        <v>46118</v>
      </c>
      <c r="C253" s="8">
        <v>0.51907407407407402</v>
      </c>
      <c r="D253" t="s">
        <v>17</v>
      </c>
      <c r="E253" t="s">
        <v>2</v>
      </c>
      <c r="F253" t="s">
        <v>50</v>
      </c>
      <c r="G253" t="s">
        <v>72</v>
      </c>
      <c r="H253">
        <v>124.75</v>
      </c>
      <c r="I253" t="s">
        <v>52</v>
      </c>
      <c r="J253" t="s">
        <v>611</v>
      </c>
      <c r="K253" t="s">
        <v>54</v>
      </c>
      <c r="L253" t="s">
        <v>74</v>
      </c>
      <c r="O253" t="s">
        <v>75</v>
      </c>
      <c r="P253" t="s">
        <v>76</v>
      </c>
      <c r="Q253">
        <v>50668.800000000003</v>
      </c>
      <c r="R253">
        <v>-124.75</v>
      </c>
      <c r="S253" t="s">
        <v>2895</v>
      </c>
      <c r="T253" t="s">
        <v>2896</v>
      </c>
      <c r="U253" t="s">
        <v>2897</v>
      </c>
    </row>
    <row r="254" spans="1:21">
      <c r="A254" t="s">
        <v>612</v>
      </c>
      <c r="B254" s="7">
        <v>46118</v>
      </c>
      <c r="C254" s="8">
        <v>0.68377314814814816</v>
      </c>
      <c r="D254" t="s">
        <v>17</v>
      </c>
      <c r="E254" t="s">
        <v>2</v>
      </c>
      <c r="F254" t="s">
        <v>50</v>
      </c>
      <c r="G254" t="s">
        <v>51</v>
      </c>
      <c r="H254">
        <v>12.74</v>
      </c>
      <c r="I254" t="s">
        <v>52</v>
      </c>
      <c r="J254" t="s">
        <v>53</v>
      </c>
      <c r="K254" t="s">
        <v>54</v>
      </c>
      <c r="L254" t="s">
        <v>55</v>
      </c>
      <c r="O254" t="s">
        <v>56</v>
      </c>
      <c r="P254" t="s">
        <v>57</v>
      </c>
      <c r="Q254">
        <v>50807.97</v>
      </c>
      <c r="R254">
        <v>-12.74</v>
      </c>
      <c r="S254" t="s">
        <v>2895</v>
      </c>
      <c r="T254" t="s">
        <v>2896</v>
      </c>
      <c r="U254" t="s">
        <v>2897</v>
      </c>
    </row>
    <row r="255" spans="1:21">
      <c r="A255" t="s">
        <v>614</v>
      </c>
      <c r="B255" s="7">
        <v>46118</v>
      </c>
      <c r="C255" s="8">
        <v>0.76924768518518516</v>
      </c>
      <c r="D255" t="s">
        <v>17</v>
      </c>
      <c r="E255" t="s">
        <v>2</v>
      </c>
      <c r="F255" t="s">
        <v>50</v>
      </c>
      <c r="G255" t="s">
        <v>51</v>
      </c>
      <c r="H255">
        <v>144.82</v>
      </c>
      <c r="I255" t="s">
        <v>52</v>
      </c>
      <c r="J255" t="s">
        <v>65</v>
      </c>
      <c r="K255" t="s">
        <v>54</v>
      </c>
      <c r="L255" t="s">
        <v>55</v>
      </c>
      <c r="O255" t="s">
        <v>66</v>
      </c>
      <c r="P255" t="s">
        <v>67</v>
      </c>
      <c r="Q255">
        <v>50905.33</v>
      </c>
      <c r="R255">
        <v>-144.82</v>
      </c>
      <c r="S255" t="s">
        <v>2895</v>
      </c>
      <c r="T255" t="s">
        <v>2896</v>
      </c>
      <c r="U255" t="s">
        <v>2897</v>
      </c>
    </row>
    <row r="256" spans="1:21">
      <c r="A256" t="s">
        <v>616</v>
      </c>
      <c r="B256" s="7">
        <v>46118</v>
      </c>
      <c r="C256" s="8">
        <v>0.83677083333333335</v>
      </c>
      <c r="D256" t="s">
        <v>17</v>
      </c>
      <c r="E256" t="s">
        <v>2</v>
      </c>
      <c r="F256" t="s">
        <v>50</v>
      </c>
      <c r="G256" t="s">
        <v>51</v>
      </c>
      <c r="H256">
        <v>46.51</v>
      </c>
      <c r="I256" t="s">
        <v>52</v>
      </c>
      <c r="J256" t="s">
        <v>60</v>
      </c>
      <c r="K256" t="s">
        <v>54</v>
      </c>
      <c r="L256" t="s">
        <v>55</v>
      </c>
      <c r="O256" t="s">
        <v>61</v>
      </c>
      <c r="P256" t="s">
        <v>62</v>
      </c>
      <c r="Q256">
        <v>50858.82</v>
      </c>
      <c r="R256">
        <v>-46.51</v>
      </c>
      <c r="S256" t="s">
        <v>2895</v>
      </c>
      <c r="T256" t="s">
        <v>2896</v>
      </c>
      <c r="U256" t="s">
        <v>2897</v>
      </c>
    </row>
    <row r="257" spans="1:21">
      <c r="A257" t="s">
        <v>618</v>
      </c>
      <c r="B257" s="7">
        <v>46118</v>
      </c>
      <c r="C257" s="8">
        <v>0.94336805555555558</v>
      </c>
      <c r="D257" t="s">
        <v>17</v>
      </c>
      <c r="E257" t="s">
        <v>2</v>
      </c>
      <c r="F257" t="s">
        <v>50</v>
      </c>
      <c r="G257" t="s">
        <v>100</v>
      </c>
      <c r="H257">
        <v>14.42</v>
      </c>
      <c r="I257" t="s">
        <v>52</v>
      </c>
      <c r="J257" t="s">
        <v>114</v>
      </c>
      <c r="K257" t="s">
        <v>54</v>
      </c>
      <c r="L257" t="s">
        <v>102</v>
      </c>
      <c r="O257" t="s">
        <v>103</v>
      </c>
      <c r="P257" t="s">
        <v>104</v>
      </c>
      <c r="Q257">
        <v>50793.55</v>
      </c>
      <c r="R257">
        <v>-14.42</v>
      </c>
      <c r="S257" t="s">
        <v>2895</v>
      </c>
      <c r="T257" t="s">
        <v>2896</v>
      </c>
      <c r="U257" t="s">
        <v>2897</v>
      </c>
    </row>
    <row r="258" spans="1:21">
      <c r="A258" t="s">
        <v>620</v>
      </c>
      <c r="B258" s="7">
        <v>46119</v>
      </c>
      <c r="C258" s="8">
        <v>0.30460648148148151</v>
      </c>
      <c r="D258" t="s">
        <v>17</v>
      </c>
      <c r="E258" t="s">
        <v>2</v>
      </c>
      <c r="F258" t="s">
        <v>50</v>
      </c>
      <c r="G258" t="s">
        <v>51</v>
      </c>
      <c r="H258">
        <v>19.489999999999998</v>
      </c>
      <c r="I258" t="s">
        <v>52</v>
      </c>
      <c r="J258" t="s">
        <v>121</v>
      </c>
      <c r="K258" t="s">
        <v>54</v>
      </c>
      <c r="L258" t="s">
        <v>55</v>
      </c>
      <c r="O258" t="s">
        <v>122</v>
      </c>
      <c r="P258" t="s">
        <v>123</v>
      </c>
      <c r="Q258">
        <v>50411.25</v>
      </c>
      <c r="R258">
        <v>-19.489999999999998</v>
      </c>
      <c r="S258" t="s">
        <v>2895</v>
      </c>
      <c r="T258" t="s">
        <v>2896</v>
      </c>
      <c r="U258" t="s">
        <v>2897</v>
      </c>
    </row>
    <row r="259" spans="1:21">
      <c r="A259" t="s">
        <v>622</v>
      </c>
      <c r="B259" s="7">
        <v>46119</v>
      </c>
      <c r="C259" s="8">
        <v>0.31776620370370373</v>
      </c>
      <c r="D259" t="s">
        <v>17</v>
      </c>
      <c r="E259" t="s">
        <v>2</v>
      </c>
      <c r="F259" t="s">
        <v>50</v>
      </c>
      <c r="G259" t="s">
        <v>51</v>
      </c>
      <c r="H259">
        <v>50.21</v>
      </c>
      <c r="I259" t="s">
        <v>52</v>
      </c>
      <c r="J259" t="s">
        <v>81</v>
      </c>
      <c r="K259" t="s">
        <v>54</v>
      </c>
      <c r="L259" t="s">
        <v>55</v>
      </c>
      <c r="O259" t="s">
        <v>82</v>
      </c>
      <c r="P259" t="s">
        <v>83</v>
      </c>
      <c r="Q259">
        <v>50445.68</v>
      </c>
      <c r="R259">
        <v>-50.21</v>
      </c>
      <c r="S259" t="s">
        <v>2895</v>
      </c>
      <c r="T259" t="s">
        <v>2896</v>
      </c>
      <c r="U259" t="s">
        <v>2897</v>
      </c>
    </row>
    <row r="260" spans="1:21">
      <c r="A260" t="s">
        <v>624</v>
      </c>
      <c r="B260" s="7">
        <v>46119</v>
      </c>
      <c r="C260" s="8">
        <v>0.39331018518518518</v>
      </c>
      <c r="D260" t="s">
        <v>17</v>
      </c>
      <c r="E260" t="s">
        <v>2</v>
      </c>
      <c r="F260" t="s">
        <v>50</v>
      </c>
      <c r="G260" t="s">
        <v>100</v>
      </c>
      <c r="H260">
        <v>14.94</v>
      </c>
      <c r="I260" t="s">
        <v>52</v>
      </c>
      <c r="J260" t="s">
        <v>114</v>
      </c>
      <c r="K260" t="s">
        <v>54</v>
      </c>
      <c r="L260" t="s">
        <v>102</v>
      </c>
      <c r="O260" t="s">
        <v>103</v>
      </c>
      <c r="P260" t="s">
        <v>104</v>
      </c>
      <c r="Q260">
        <v>50430.74</v>
      </c>
      <c r="R260">
        <v>-14.94</v>
      </c>
      <c r="S260" t="s">
        <v>2895</v>
      </c>
      <c r="T260" t="s">
        <v>2896</v>
      </c>
      <c r="U260" t="s">
        <v>2897</v>
      </c>
    </row>
    <row r="261" spans="1:21">
      <c r="A261" t="s">
        <v>626</v>
      </c>
      <c r="B261" s="7">
        <v>46119</v>
      </c>
      <c r="C261" s="8">
        <v>0.40818287037037038</v>
      </c>
      <c r="D261" t="s">
        <v>17</v>
      </c>
      <c r="E261" t="s">
        <v>2</v>
      </c>
      <c r="F261" t="s">
        <v>50</v>
      </c>
      <c r="G261" t="s">
        <v>51</v>
      </c>
      <c r="H261">
        <v>26.66</v>
      </c>
      <c r="I261" t="s">
        <v>52</v>
      </c>
      <c r="J261" t="s">
        <v>60</v>
      </c>
      <c r="K261" t="s">
        <v>54</v>
      </c>
      <c r="L261" t="s">
        <v>55</v>
      </c>
      <c r="O261" t="s">
        <v>61</v>
      </c>
      <c r="P261" t="s">
        <v>62</v>
      </c>
      <c r="Q261">
        <v>50495.89</v>
      </c>
      <c r="R261">
        <v>-26.66</v>
      </c>
      <c r="S261" t="s">
        <v>2895</v>
      </c>
      <c r="T261" t="s">
        <v>2896</v>
      </c>
      <c r="U261" t="s">
        <v>2897</v>
      </c>
    </row>
    <row r="262" spans="1:21">
      <c r="A262" t="s">
        <v>628</v>
      </c>
      <c r="B262" s="7">
        <v>46119</v>
      </c>
      <c r="C262" s="8">
        <v>0.69601851851851848</v>
      </c>
      <c r="D262" t="s">
        <v>17</v>
      </c>
      <c r="E262" t="s">
        <v>2</v>
      </c>
      <c r="F262" t="s">
        <v>50</v>
      </c>
      <c r="G262" t="s">
        <v>51</v>
      </c>
      <c r="H262">
        <v>37.630000000000003</v>
      </c>
      <c r="I262" t="s">
        <v>52</v>
      </c>
      <c r="J262" t="s">
        <v>60</v>
      </c>
      <c r="K262" t="s">
        <v>54</v>
      </c>
      <c r="L262" t="s">
        <v>55</v>
      </c>
      <c r="O262" t="s">
        <v>61</v>
      </c>
      <c r="P262" t="s">
        <v>62</v>
      </c>
      <c r="Q262">
        <v>50580.14</v>
      </c>
      <c r="R262">
        <v>-37.630000000000003</v>
      </c>
      <c r="S262" t="s">
        <v>2895</v>
      </c>
      <c r="T262" t="s">
        <v>2896</v>
      </c>
      <c r="U262" t="s">
        <v>2897</v>
      </c>
    </row>
    <row r="263" spans="1:21">
      <c r="A263" t="s">
        <v>630</v>
      </c>
      <c r="B263" s="7">
        <v>46119</v>
      </c>
      <c r="C263" s="8">
        <v>0.76858796296296295</v>
      </c>
      <c r="D263" t="s">
        <v>17</v>
      </c>
      <c r="E263" t="s">
        <v>2</v>
      </c>
      <c r="F263" t="s">
        <v>50</v>
      </c>
      <c r="G263" t="s">
        <v>51</v>
      </c>
      <c r="H263">
        <v>51.03</v>
      </c>
      <c r="I263" t="s">
        <v>52</v>
      </c>
      <c r="J263" t="s">
        <v>81</v>
      </c>
      <c r="K263" t="s">
        <v>54</v>
      </c>
      <c r="L263" t="s">
        <v>55</v>
      </c>
      <c r="O263" t="s">
        <v>82</v>
      </c>
      <c r="P263" t="s">
        <v>83</v>
      </c>
      <c r="Q263">
        <v>50617.77</v>
      </c>
      <c r="R263">
        <v>-51.03</v>
      </c>
      <c r="S263" t="s">
        <v>2895</v>
      </c>
      <c r="T263" t="s">
        <v>2896</v>
      </c>
      <c r="U263" t="s">
        <v>2897</v>
      </c>
    </row>
    <row r="264" spans="1:21">
      <c r="A264" t="s">
        <v>632</v>
      </c>
      <c r="B264" s="7">
        <v>46119</v>
      </c>
      <c r="C264" s="8">
        <v>0.87783564814814818</v>
      </c>
      <c r="D264" t="s">
        <v>17</v>
      </c>
      <c r="E264" t="s">
        <v>2</v>
      </c>
      <c r="F264" t="s">
        <v>50</v>
      </c>
      <c r="G264" t="s">
        <v>51</v>
      </c>
      <c r="H264">
        <v>57.59</v>
      </c>
      <c r="I264" t="s">
        <v>52</v>
      </c>
      <c r="J264" t="s">
        <v>81</v>
      </c>
      <c r="K264" t="s">
        <v>54</v>
      </c>
      <c r="L264" t="s">
        <v>55</v>
      </c>
      <c r="O264" t="s">
        <v>82</v>
      </c>
      <c r="P264" t="s">
        <v>83</v>
      </c>
      <c r="Q264">
        <v>50522.55</v>
      </c>
      <c r="R264">
        <v>-57.59</v>
      </c>
      <c r="S264" t="s">
        <v>2895</v>
      </c>
      <c r="T264" t="s">
        <v>2896</v>
      </c>
      <c r="U264" t="s">
        <v>2897</v>
      </c>
    </row>
    <row r="265" spans="1:21">
      <c r="A265" t="s">
        <v>634</v>
      </c>
      <c r="B265" s="7">
        <v>46119</v>
      </c>
      <c r="C265" s="8">
        <v>0.92579861111111106</v>
      </c>
      <c r="D265" t="s">
        <v>17</v>
      </c>
      <c r="E265" t="s">
        <v>2</v>
      </c>
      <c r="F265" t="s">
        <v>50</v>
      </c>
      <c r="G265" t="s">
        <v>51</v>
      </c>
      <c r="H265">
        <v>8.92</v>
      </c>
      <c r="I265" t="s">
        <v>52</v>
      </c>
      <c r="J265" t="s">
        <v>53</v>
      </c>
      <c r="K265" t="s">
        <v>54</v>
      </c>
      <c r="L265" t="s">
        <v>55</v>
      </c>
      <c r="O265" t="s">
        <v>56</v>
      </c>
      <c r="P265" t="s">
        <v>57</v>
      </c>
      <c r="Q265">
        <v>50402.33</v>
      </c>
      <c r="R265">
        <v>-8.92</v>
      </c>
      <c r="S265" t="s">
        <v>2895</v>
      </c>
      <c r="T265" t="s">
        <v>2896</v>
      </c>
      <c r="U265" t="s">
        <v>2897</v>
      </c>
    </row>
    <row r="266" spans="1:21">
      <c r="A266" t="s">
        <v>636</v>
      </c>
      <c r="B266" s="7">
        <v>46120</v>
      </c>
      <c r="C266" s="8">
        <v>0.36635416666666665</v>
      </c>
      <c r="D266" t="s">
        <v>17</v>
      </c>
      <c r="E266" t="s">
        <v>2</v>
      </c>
      <c r="F266" t="s">
        <v>149</v>
      </c>
      <c r="G266" t="s">
        <v>72</v>
      </c>
      <c r="H266">
        <v>175.49</v>
      </c>
      <c r="I266" t="s">
        <v>52</v>
      </c>
      <c r="J266" t="s">
        <v>638</v>
      </c>
      <c r="K266" t="s">
        <v>54</v>
      </c>
      <c r="L266" t="s">
        <v>74</v>
      </c>
      <c r="O266" t="s">
        <v>75</v>
      </c>
      <c r="P266" t="s">
        <v>76</v>
      </c>
      <c r="Q266">
        <v>50481.27</v>
      </c>
      <c r="R266">
        <v>175.49</v>
      </c>
      <c r="S266" t="s">
        <v>2895</v>
      </c>
      <c r="T266" t="s">
        <v>2896</v>
      </c>
      <c r="U266" t="s">
        <v>2897</v>
      </c>
    </row>
    <row r="267" spans="1:21">
      <c r="A267" t="s">
        <v>639</v>
      </c>
      <c r="B267" s="7">
        <v>46120</v>
      </c>
      <c r="C267" s="8">
        <v>0.44215277777777778</v>
      </c>
      <c r="D267" t="s">
        <v>17</v>
      </c>
      <c r="E267" t="s">
        <v>2</v>
      </c>
      <c r="F267" t="s">
        <v>50</v>
      </c>
      <c r="G267" t="s">
        <v>51</v>
      </c>
      <c r="H267">
        <v>8.32</v>
      </c>
      <c r="I267" t="s">
        <v>52</v>
      </c>
      <c r="J267" t="s">
        <v>81</v>
      </c>
      <c r="K267" t="s">
        <v>54</v>
      </c>
      <c r="L267" t="s">
        <v>55</v>
      </c>
      <c r="O267" t="s">
        <v>82</v>
      </c>
      <c r="P267" t="s">
        <v>83</v>
      </c>
      <c r="Q267">
        <v>50305.78</v>
      </c>
      <c r="R267">
        <v>-8.32</v>
      </c>
      <c r="S267" t="s">
        <v>2895</v>
      </c>
      <c r="T267" t="s">
        <v>2896</v>
      </c>
      <c r="U267" t="s">
        <v>2897</v>
      </c>
    </row>
    <row r="268" spans="1:21">
      <c r="A268" t="s">
        <v>641</v>
      </c>
      <c r="B268" s="7">
        <v>46120</v>
      </c>
      <c r="C268" s="8">
        <v>0.58415509259259257</v>
      </c>
      <c r="D268" t="s">
        <v>17</v>
      </c>
      <c r="E268" t="s">
        <v>2</v>
      </c>
      <c r="F268" t="s">
        <v>50</v>
      </c>
      <c r="G268" t="s">
        <v>100</v>
      </c>
      <c r="H268">
        <v>10.39</v>
      </c>
      <c r="I268" t="s">
        <v>52</v>
      </c>
      <c r="J268" t="s">
        <v>114</v>
      </c>
      <c r="K268" t="s">
        <v>54</v>
      </c>
      <c r="L268" t="s">
        <v>102</v>
      </c>
      <c r="O268" t="s">
        <v>103</v>
      </c>
      <c r="P268" t="s">
        <v>104</v>
      </c>
      <c r="Q268">
        <v>50327.94</v>
      </c>
      <c r="R268">
        <v>-10.39</v>
      </c>
      <c r="S268" t="s">
        <v>2895</v>
      </c>
      <c r="T268" t="s">
        <v>2896</v>
      </c>
      <c r="U268" t="s">
        <v>2897</v>
      </c>
    </row>
    <row r="269" spans="1:21">
      <c r="A269" t="s">
        <v>643</v>
      </c>
      <c r="B269" s="7">
        <v>46120</v>
      </c>
      <c r="C269" s="8">
        <v>0.66552083333333334</v>
      </c>
      <c r="D269" t="s">
        <v>17</v>
      </c>
      <c r="E269" t="s">
        <v>2</v>
      </c>
      <c r="F269" t="s">
        <v>50</v>
      </c>
      <c r="G269" t="s">
        <v>51</v>
      </c>
      <c r="H269">
        <v>13.84</v>
      </c>
      <c r="I269" t="s">
        <v>52</v>
      </c>
      <c r="J269" t="s">
        <v>53</v>
      </c>
      <c r="K269" t="s">
        <v>54</v>
      </c>
      <c r="L269" t="s">
        <v>55</v>
      </c>
      <c r="O269" t="s">
        <v>56</v>
      </c>
      <c r="P269" t="s">
        <v>57</v>
      </c>
      <c r="Q269">
        <v>50314.1</v>
      </c>
      <c r="R269">
        <v>-13.84</v>
      </c>
      <c r="S269" t="s">
        <v>2895</v>
      </c>
      <c r="T269" t="s">
        <v>2896</v>
      </c>
      <c r="U269" t="s">
        <v>2897</v>
      </c>
    </row>
    <row r="270" spans="1:21">
      <c r="A270" t="s">
        <v>645</v>
      </c>
      <c r="B270" s="7">
        <v>46120</v>
      </c>
      <c r="C270" s="8">
        <v>0.71375</v>
      </c>
      <c r="D270" t="s">
        <v>17</v>
      </c>
      <c r="E270" t="s">
        <v>2</v>
      </c>
      <c r="F270" t="s">
        <v>50</v>
      </c>
      <c r="G270" t="s">
        <v>51</v>
      </c>
      <c r="H270">
        <v>51.96</v>
      </c>
      <c r="I270" t="s">
        <v>52</v>
      </c>
      <c r="J270" t="s">
        <v>81</v>
      </c>
      <c r="K270" t="s">
        <v>54</v>
      </c>
      <c r="L270" t="s">
        <v>55</v>
      </c>
      <c r="O270" t="s">
        <v>82</v>
      </c>
      <c r="P270" t="s">
        <v>83</v>
      </c>
      <c r="Q270">
        <v>50350.37</v>
      </c>
      <c r="R270">
        <v>-51.96</v>
      </c>
      <c r="S270" t="s">
        <v>2895</v>
      </c>
      <c r="T270" t="s">
        <v>2896</v>
      </c>
      <c r="U270" t="s">
        <v>2897</v>
      </c>
    </row>
    <row r="271" spans="1:21">
      <c r="A271" t="s">
        <v>647</v>
      </c>
      <c r="B271" s="7">
        <v>46120</v>
      </c>
      <c r="C271" s="8">
        <v>0.8295717592592593</v>
      </c>
      <c r="D271" t="s">
        <v>17</v>
      </c>
      <c r="E271" t="s">
        <v>2</v>
      </c>
      <c r="F271" t="s">
        <v>50</v>
      </c>
      <c r="G271" t="s">
        <v>51</v>
      </c>
      <c r="H271">
        <v>12.04</v>
      </c>
      <c r="I271" t="s">
        <v>52</v>
      </c>
      <c r="J271" t="s">
        <v>53</v>
      </c>
      <c r="K271" t="s">
        <v>54</v>
      </c>
      <c r="L271" t="s">
        <v>55</v>
      </c>
      <c r="O271" t="s">
        <v>56</v>
      </c>
      <c r="P271" t="s">
        <v>57</v>
      </c>
      <c r="Q271">
        <v>50338.33</v>
      </c>
      <c r="R271">
        <v>-12.04</v>
      </c>
      <c r="S271" t="s">
        <v>2895</v>
      </c>
      <c r="T271" t="s">
        <v>2896</v>
      </c>
      <c r="U271" t="s">
        <v>2897</v>
      </c>
    </row>
    <row r="272" spans="1:21">
      <c r="A272" t="s">
        <v>649</v>
      </c>
      <c r="B272" s="7">
        <v>46121</v>
      </c>
      <c r="C272" s="8">
        <v>0.29181712962962963</v>
      </c>
      <c r="D272" t="s">
        <v>17</v>
      </c>
      <c r="E272" t="s">
        <v>2</v>
      </c>
      <c r="F272" t="s">
        <v>50</v>
      </c>
      <c r="G272" t="s">
        <v>51</v>
      </c>
      <c r="H272">
        <v>21.7</v>
      </c>
      <c r="I272" t="s">
        <v>52</v>
      </c>
      <c r="J272" t="s">
        <v>121</v>
      </c>
      <c r="K272" t="s">
        <v>54</v>
      </c>
      <c r="L272" t="s">
        <v>55</v>
      </c>
      <c r="O272" t="s">
        <v>122</v>
      </c>
      <c r="P272" t="s">
        <v>123</v>
      </c>
      <c r="Q272">
        <v>50302.41</v>
      </c>
      <c r="R272">
        <v>-21.7</v>
      </c>
      <c r="S272" t="s">
        <v>2895</v>
      </c>
      <c r="T272" t="s">
        <v>2896</v>
      </c>
      <c r="U272" t="s">
        <v>2897</v>
      </c>
    </row>
    <row r="273" spans="1:21">
      <c r="A273" t="s">
        <v>651</v>
      </c>
      <c r="B273" s="7">
        <v>46121</v>
      </c>
      <c r="C273" s="8">
        <v>0.32158564814814816</v>
      </c>
      <c r="D273" t="s">
        <v>17</v>
      </c>
      <c r="E273" t="s">
        <v>2</v>
      </c>
      <c r="F273" t="s">
        <v>50</v>
      </c>
      <c r="G273" t="s">
        <v>51</v>
      </c>
      <c r="H273">
        <v>14.3</v>
      </c>
      <c r="I273" t="s">
        <v>52</v>
      </c>
      <c r="J273" t="s">
        <v>126</v>
      </c>
      <c r="K273" t="s">
        <v>54</v>
      </c>
      <c r="L273" t="s">
        <v>55</v>
      </c>
      <c r="O273" t="s">
        <v>56</v>
      </c>
      <c r="P273" t="s">
        <v>57</v>
      </c>
      <c r="Q273">
        <v>50403.57</v>
      </c>
      <c r="R273">
        <v>-14.3</v>
      </c>
      <c r="S273" t="s">
        <v>2895</v>
      </c>
      <c r="T273" t="s">
        <v>2896</v>
      </c>
      <c r="U273" t="s">
        <v>2897</v>
      </c>
    </row>
    <row r="274" spans="1:21">
      <c r="A274" t="s">
        <v>653</v>
      </c>
      <c r="B274" s="7">
        <v>46121</v>
      </c>
      <c r="C274" s="8">
        <v>0.37225694444444446</v>
      </c>
      <c r="D274" t="s">
        <v>17</v>
      </c>
      <c r="E274" t="s">
        <v>2</v>
      </c>
      <c r="F274" t="s">
        <v>50</v>
      </c>
      <c r="G274" t="s">
        <v>51</v>
      </c>
      <c r="H274">
        <v>48.4</v>
      </c>
      <c r="I274" t="s">
        <v>52</v>
      </c>
      <c r="J274" t="s">
        <v>81</v>
      </c>
      <c r="K274" t="s">
        <v>54</v>
      </c>
      <c r="L274" t="s">
        <v>55</v>
      </c>
      <c r="O274" t="s">
        <v>82</v>
      </c>
      <c r="P274" t="s">
        <v>83</v>
      </c>
      <c r="Q274">
        <v>50417.87</v>
      </c>
      <c r="R274">
        <v>-48.4</v>
      </c>
      <c r="S274" t="s">
        <v>2895</v>
      </c>
      <c r="T274" t="s">
        <v>2896</v>
      </c>
      <c r="U274" t="s">
        <v>2897</v>
      </c>
    </row>
    <row r="275" spans="1:21">
      <c r="A275" t="s">
        <v>655</v>
      </c>
      <c r="B275" s="7">
        <v>46121</v>
      </c>
      <c r="C275" s="8">
        <v>0.38799768518518518</v>
      </c>
      <c r="D275" t="s">
        <v>17</v>
      </c>
      <c r="E275" t="s">
        <v>2</v>
      </c>
      <c r="F275" t="s">
        <v>50</v>
      </c>
      <c r="G275" t="s">
        <v>51</v>
      </c>
      <c r="H275">
        <v>39.26</v>
      </c>
      <c r="I275" t="s">
        <v>52</v>
      </c>
      <c r="J275" t="s">
        <v>60</v>
      </c>
      <c r="K275" t="s">
        <v>54</v>
      </c>
      <c r="L275" t="s">
        <v>55</v>
      </c>
      <c r="O275" t="s">
        <v>61</v>
      </c>
      <c r="P275" t="s">
        <v>62</v>
      </c>
      <c r="Q275">
        <v>50339.11</v>
      </c>
      <c r="R275">
        <v>-39.26</v>
      </c>
      <c r="S275" t="s">
        <v>2895</v>
      </c>
      <c r="T275" t="s">
        <v>2896</v>
      </c>
      <c r="U275" t="s">
        <v>2897</v>
      </c>
    </row>
    <row r="276" spans="1:21">
      <c r="A276" t="s">
        <v>657</v>
      </c>
      <c r="B276" s="7">
        <v>46121</v>
      </c>
      <c r="C276" s="8">
        <v>0.53370370370370368</v>
      </c>
      <c r="D276" t="s">
        <v>17</v>
      </c>
      <c r="E276" t="s">
        <v>2</v>
      </c>
      <c r="F276" t="s">
        <v>50</v>
      </c>
      <c r="G276" t="s">
        <v>100</v>
      </c>
      <c r="H276">
        <v>15</v>
      </c>
      <c r="I276" t="s">
        <v>52</v>
      </c>
      <c r="J276" t="s">
        <v>101</v>
      </c>
      <c r="K276" t="s">
        <v>54</v>
      </c>
      <c r="L276" t="s">
        <v>102</v>
      </c>
      <c r="O276" t="s">
        <v>103</v>
      </c>
      <c r="P276" t="s">
        <v>104</v>
      </c>
      <c r="Q276">
        <v>50378.37</v>
      </c>
      <c r="R276">
        <v>-15</v>
      </c>
      <c r="S276" t="s">
        <v>2895</v>
      </c>
      <c r="T276" t="s">
        <v>2896</v>
      </c>
      <c r="U276" t="s">
        <v>2897</v>
      </c>
    </row>
    <row r="277" spans="1:21">
      <c r="A277" t="s">
        <v>659</v>
      </c>
      <c r="B277" s="7">
        <v>46121</v>
      </c>
      <c r="C277" s="8">
        <v>0.54543981481481485</v>
      </c>
      <c r="D277" t="s">
        <v>17</v>
      </c>
      <c r="E277" t="s">
        <v>2</v>
      </c>
      <c r="F277" t="s">
        <v>50</v>
      </c>
      <c r="G277" t="s">
        <v>100</v>
      </c>
      <c r="H277">
        <v>182.45</v>
      </c>
      <c r="I277" t="s">
        <v>52</v>
      </c>
      <c r="J277" t="s">
        <v>177</v>
      </c>
      <c r="K277" t="s">
        <v>54</v>
      </c>
      <c r="L277" t="s">
        <v>102</v>
      </c>
      <c r="O277" t="s">
        <v>178</v>
      </c>
      <c r="P277" t="s">
        <v>179</v>
      </c>
      <c r="Q277">
        <v>46871.8</v>
      </c>
      <c r="R277">
        <v>-182.45</v>
      </c>
      <c r="S277" t="s">
        <v>2895</v>
      </c>
      <c r="T277" t="s">
        <v>2896</v>
      </c>
      <c r="U277" t="s">
        <v>2897</v>
      </c>
    </row>
    <row r="278" spans="1:21">
      <c r="A278" t="s">
        <v>661</v>
      </c>
      <c r="B278" s="7">
        <v>46121</v>
      </c>
      <c r="C278" s="8">
        <v>0.62655092592592587</v>
      </c>
      <c r="D278" t="s">
        <v>17</v>
      </c>
      <c r="E278" t="s">
        <v>2</v>
      </c>
      <c r="F278" t="s">
        <v>50</v>
      </c>
      <c r="G278" t="s">
        <v>100</v>
      </c>
      <c r="H278">
        <v>15</v>
      </c>
      <c r="I278" t="s">
        <v>52</v>
      </c>
      <c r="J278" t="s">
        <v>101</v>
      </c>
      <c r="K278" t="s">
        <v>54</v>
      </c>
      <c r="L278" t="s">
        <v>102</v>
      </c>
      <c r="O278" t="s">
        <v>103</v>
      </c>
      <c r="P278" t="s">
        <v>104</v>
      </c>
      <c r="Q278">
        <v>50324.11</v>
      </c>
      <c r="R278">
        <v>-15</v>
      </c>
      <c r="S278" t="s">
        <v>2895</v>
      </c>
      <c r="T278" t="s">
        <v>2896</v>
      </c>
      <c r="U278" t="s">
        <v>2897</v>
      </c>
    </row>
    <row r="279" spans="1:21">
      <c r="A279" t="s">
        <v>663</v>
      </c>
      <c r="B279" s="7">
        <v>46121</v>
      </c>
      <c r="C279" s="8">
        <v>0.63896990740740744</v>
      </c>
      <c r="D279" t="s">
        <v>17</v>
      </c>
      <c r="E279" t="s">
        <v>2</v>
      </c>
      <c r="F279" t="s">
        <v>149</v>
      </c>
      <c r="G279" t="s">
        <v>72</v>
      </c>
      <c r="H279">
        <v>142.27000000000001</v>
      </c>
      <c r="I279" t="s">
        <v>52</v>
      </c>
      <c r="J279" t="s">
        <v>638</v>
      </c>
      <c r="K279" t="s">
        <v>54</v>
      </c>
      <c r="L279" t="s">
        <v>74</v>
      </c>
      <c r="O279" t="s">
        <v>75</v>
      </c>
      <c r="P279" t="s">
        <v>76</v>
      </c>
      <c r="Q279">
        <v>50444.68</v>
      </c>
      <c r="R279">
        <v>142.27000000000001</v>
      </c>
      <c r="S279" t="s">
        <v>2895</v>
      </c>
      <c r="T279" t="s">
        <v>2896</v>
      </c>
      <c r="U279" t="s">
        <v>2897</v>
      </c>
    </row>
    <row r="280" spans="1:21">
      <c r="A280" t="s">
        <v>665</v>
      </c>
      <c r="B280" s="7">
        <v>46121</v>
      </c>
      <c r="C280" s="8">
        <v>0.72206018518518522</v>
      </c>
      <c r="D280" t="s">
        <v>17</v>
      </c>
      <c r="E280" t="s">
        <v>2</v>
      </c>
      <c r="F280" t="s">
        <v>50</v>
      </c>
      <c r="G280" t="s">
        <v>100</v>
      </c>
      <c r="H280">
        <v>15</v>
      </c>
      <c r="I280" t="s">
        <v>52</v>
      </c>
      <c r="J280" t="s">
        <v>101</v>
      </c>
      <c r="K280" t="s">
        <v>54</v>
      </c>
      <c r="L280" t="s">
        <v>102</v>
      </c>
      <c r="O280" t="s">
        <v>103</v>
      </c>
      <c r="P280" t="s">
        <v>104</v>
      </c>
      <c r="Q280">
        <v>50466.27</v>
      </c>
      <c r="R280">
        <v>-15</v>
      </c>
      <c r="S280" t="s">
        <v>2895</v>
      </c>
      <c r="T280" t="s">
        <v>2896</v>
      </c>
      <c r="U280" t="s">
        <v>2897</v>
      </c>
    </row>
    <row r="281" spans="1:21">
      <c r="A281" t="s">
        <v>667</v>
      </c>
      <c r="B281" s="7">
        <v>46121</v>
      </c>
      <c r="C281" s="8">
        <v>0.79939814814814814</v>
      </c>
      <c r="D281" t="s">
        <v>17</v>
      </c>
      <c r="E281" t="s">
        <v>2</v>
      </c>
      <c r="F281" t="s">
        <v>50</v>
      </c>
      <c r="G281" t="s">
        <v>88</v>
      </c>
      <c r="H281">
        <v>160</v>
      </c>
      <c r="I281" t="s">
        <v>52</v>
      </c>
      <c r="J281" t="s">
        <v>89</v>
      </c>
      <c r="K281" t="s">
        <v>54</v>
      </c>
      <c r="L281" t="s">
        <v>90</v>
      </c>
      <c r="M281" t="s">
        <v>91</v>
      </c>
      <c r="N281" t="s">
        <v>12</v>
      </c>
      <c r="O281" t="s">
        <v>92</v>
      </c>
      <c r="P281" t="s">
        <v>93</v>
      </c>
      <c r="Q281">
        <v>50284.68</v>
      </c>
      <c r="R281">
        <v>-160</v>
      </c>
      <c r="S281" t="s">
        <v>2895</v>
      </c>
      <c r="T281" t="s">
        <v>2896</v>
      </c>
      <c r="U281" t="s">
        <v>2897</v>
      </c>
    </row>
    <row r="282" spans="1:21">
      <c r="A282" t="s">
        <v>669</v>
      </c>
      <c r="B282" s="7">
        <v>46121</v>
      </c>
      <c r="C282" s="8">
        <v>0.81363425925925925</v>
      </c>
      <c r="D282" t="s">
        <v>17</v>
      </c>
      <c r="E282" t="s">
        <v>2</v>
      </c>
      <c r="F282" t="s">
        <v>50</v>
      </c>
      <c r="G282" t="s">
        <v>51</v>
      </c>
      <c r="H282">
        <v>10.199999999999999</v>
      </c>
      <c r="I282" t="s">
        <v>52</v>
      </c>
      <c r="J282" t="s">
        <v>53</v>
      </c>
      <c r="K282" t="s">
        <v>54</v>
      </c>
      <c r="L282" t="s">
        <v>55</v>
      </c>
      <c r="O282" t="s">
        <v>56</v>
      </c>
      <c r="P282" t="s">
        <v>57</v>
      </c>
      <c r="Q282">
        <v>50393.37</v>
      </c>
      <c r="R282">
        <v>-10.199999999999999</v>
      </c>
      <c r="S282" t="s">
        <v>2895</v>
      </c>
      <c r="T282" t="s">
        <v>2896</v>
      </c>
      <c r="U282" t="s">
        <v>2897</v>
      </c>
    </row>
    <row r="283" spans="1:21">
      <c r="A283" t="s">
        <v>671</v>
      </c>
      <c r="B283" s="7">
        <v>46122</v>
      </c>
      <c r="C283" s="8">
        <v>0.31042824074074077</v>
      </c>
      <c r="D283" t="s">
        <v>17</v>
      </c>
      <c r="E283" t="s">
        <v>2</v>
      </c>
      <c r="F283" t="s">
        <v>50</v>
      </c>
      <c r="G283" t="s">
        <v>51</v>
      </c>
      <c r="H283">
        <v>11.75</v>
      </c>
      <c r="I283" t="s">
        <v>52</v>
      </c>
      <c r="J283" t="s">
        <v>81</v>
      </c>
      <c r="K283" t="s">
        <v>54</v>
      </c>
      <c r="L283" t="s">
        <v>55</v>
      </c>
      <c r="O283" t="s">
        <v>82</v>
      </c>
      <c r="P283" t="s">
        <v>83</v>
      </c>
      <c r="Q283">
        <v>50252.37</v>
      </c>
      <c r="R283">
        <v>-11.75</v>
      </c>
      <c r="S283" t="s">
        <v>2895</v>
      </c>
      <c r="T283" t="s">
        <v>2896</v>
      </c>
      <c r="U283" t="s">
        <v>2897</v>
      </c>
    </row>
    <row r="284" spans="1:21">
      <c r="A284" t="s">
        <v>673</v>
      </c>
      <c r="B284" s="7">
        <v>46122</v>
      </c>
      <c r="C284" s="8">
        <v>0.39828703703703705</v>
      </c>
      <c r="D284" t="s">
        <v>17</v>
      </c>
      <c r="E284" t="s">
        <v>2</v>
      </c>
      <c r="F284" t="s">
        <v>50</v>
      </c>
      <c r="G284" t="s">
        <v>88</v>
      </c>
      <c r="H284">
        <v>160</v>
      </c>
      <c r="I284" t="s">
        <v>52</v>
      </c>
      <c r="J284" t="s">
        <v>89</v>
      </c>
      <c r="K284" t="s">
        <v>54</v>
      </c>
      <c r="L284" t="s">
        <v>90</v>
      </c>
      <c r="M284" t="s">
        <v>91</v>
      </c>
      <c r="N284" t="s">
        <v>12</v>
      </c>
      <c r="O284" t="s">
        <v>92</v>
      </c>
      <c r="P284" t="s">
        <v>93</v>
      </c>
      <c r="Q284">
        <v>49988.78</v>
      </c>
      <c r="R284">
        <v>-160</v>
      </c>
      <c r="S284" t="s">
        <v>2895</v>
      </c>
      <c r="T284" t="s">
        <v>2896</v>
      </c>
      <c r="U284" t="s">
        <v>2897</v>
      </c>
    </row>
    <row r="285" spans="1:21">
      <c r="A285" t="s">
        <v>675</v>
      </c>
      <c r="B285" s="7">
        <v>46122</v>
      </c>
      <c r="C285" s="8">
        <v>0.67420138888888892</v>
      </c>
      <c r="D285" t="s">
        <v>17</v>
      </c>
      <c r="E285" t="s">
        <v>2</v>
      </c>
      <c r="F285" t="s">
        <v>50</v>
      </c>
      <c r="G285" t="s">
        <v>51</v>
      </c>
      <c r="H285">
        <v>3.4</v>
      </c>
      <c r="I285" t="s">
        <v>52</v>
      </c>
      <c r="J285" t="s">
        <v>121</v>
      </c>
      <c r="K285" t="s">
        <v>54</v>
      </c>
      <c r="L285" t="s">
        <v>55</v>
      </c>
      <c r="O285" t="s">
        <v>122</v>
      </c>
      <c r="P285" t="s">
        <v>123</v>
      </c>
      <c r="Q285">
        <v>50217.49</v>
      </c>
      <c r="R285">
        <v>-3.4</v>
      </c>
      <c r="S285" t="s">
        <v>2895</v>
      </c>
      <c r="T285" t="s">
        <v>2896</v>
      </c>
      <c r="U285" t="s">
        <v>2897</v>
      </c>
    </row>
    <row r="286" spans="1:21">
      <c r="A286" t="s">
        <v>677</v>
      </c>
      <c r="B286" s="7">
        <v>46122</v>
      </c>
      <c r="C286" s="8">
        <v>0.67663194444444441</v>
      </c>
      <c r="D286" t="s">
        <v>17</v>
      </c>
      <c r="E286" t="s">
        <v>2</v>
      </c>
      <c r="F286" t="s">
        <v>50</v>
      </c>
      <c r="G286" t="s">
        <v>51</v>
      </c>
      <c r="H286">
        <v>19.54</v>
      </c>
      <c r="I286" t="s">
        <v>52</v>
      </c>
      <c r="J286" t="s">
        <v>121</v>
      </c>
      <c r="K286" t="s">
        <v>54</v>
      </c>
      <c r="L286" t="s">
        <v>55</v>
      </c>
      <c r="O286" t="s">
        <v>122</v>
      </c>
      <c r="P286" t="s">
        <v>123</v>
      </c>
      <c r="Q286">
        <v>50148.78</v>
      </c>
      <c r="R286">
        <v>-19.54</v>
      </c>
      <c r="S286" t="s">
        <v>2895</v>
      </c>
      <c r="T286" t="s">
        <v>2896</v>
      </c>
      <c r="U286" t="s">
        <v>2897</v>
      </c>
    </row>
    <row r="287" spans="1:21">
      <c r="A287" t="s">
        <v>679</v>
      </c>
      <c r="B287" s="7">
        <v>46122</v>
      </c>
      <c r="C287" s="8">
        <v>0.6919791666666667</v>
      </c>
      <c r="D287" t="s">
        <v>17</v>
      </c>
      <c r="E287" t="s">
        <v>2</v>
      </c>
      <c r="F287" t="s">
        <v>50</v>
      </c>
      <c r="G287" t="s">
        <v>100</v>
      </c>
      <c r="H287">
        <v>15</v>
      </c>
      <c r="I287" t="s">
        <v>52</v>
      </c>
      <c r="J287" t="s">
        <v>101</v>
      </c>
      <c r="K287" t="s">
        <v>54</v>
      </c>
      <c r="L287" t="s">
        <v>102</v>
      </c>
      <c r="O287" t="s">
        <v>103</v>
      </c>
      <c r="P287" t="s">
        <v>104</v>
      </c>
      <c r="Q287">
        <v>50237.37</v>
      </c>
      <c r="R287">
        <v>-15</v>
      </c>
      <c r="S287" t="s">
        <v>2895</v>
      </c>
      <c r="T287" t="s">
        <v>2896</v>
      </c>
      <c r="U287" t="s">
        <v>2897</v>
      </c>
    </row>
    <row r="288" spans="1:21">
      <c r="A288" t="s">
        <v>681</v>
      </c>
      <c r="B288" s="7">
        <v>46122</v>
      </c>
      <c r="C288" s="8">
        <v>0.71211805555555552</v>
      </c>
      <c r="D288" t="s">
        <v>17</v>
      </c>
      <c r="E288" t="s">
        <v>2</v>
      </c>
      <c r="F288" t="s">
        <v>50</v>
      </c>
      <c r="G288" t="s">
        <v>100</v>
      </c>
      <c r="H288">
        <v>15</v>
      </c>
      <c r="I288" t="s">
        <v>52</v>
      </c>
      <c r="J288" t="s">
        <v>101</v>
      </c>
      <c r="K288" t="s">
        <v>54</v>
      </c>
      <c r="L288" t="s">
        <v>102</v>
      </c>
      <c r="O288" t="s">
        <v>103</v>
      </c>
      <c r="P288" t="s">
        <v>104</v>
      </c>
      <c r="Q288">
        <v>50202.49</v>
      </c>
      <c r="R288">
        <v>-15</v>
      </c>
      <c r="S288" t="s">
        <v>2895</v>
      </c>
      <c r="T288" t="s">
        <v>2896</v>
      </c>
      <c r="U288" t="s">
        <v>2897</v>
      </c>
    </row>
    <row r="289" spans="1:21">
      <c r="A289" t="s">
        <v>683</v>
      </c>
      <c r="B289" s="7">
        <v>46122</v>
      </c>
      <c r="C289" s="8">
        <v>0.772974537037037</v>
      </c>
      <c r="D289" t="s">
        <v>17</v>
      </c>
      <c r="E289" t="s">
        <v>2</v>
      </c>
      <c r="F289" t="s">
        <v>50</v>
      </c>
      <c r="G289" t="s">
        <v>51</v>
      </c>
      <c r="H289">
        <v>34.17</v>
      </c>
      <c r="I289" t="s">
        <v>52</v>
      </c>
      <c r="J289" t="s">
        <v>60</v>
      </c>
      <c r="K289" t="s">
        <v>54</v>
      </c>
      <c r="L289" t="s">
        <v>55</v>
      </c>
      <c r="O289" t="s">
        <v>61</v>
      </c>
      <c r="P289" t="s">
        <v>62</v>
      </c>
      <c r="Q289">
        <v>50168.32</v>
      </c>
      <c r="R289">
        <v>-34.17</v>
      </c>
      <c r="S289" t="s">
        <v>2895</v>
      </c>
      <c r="T289" t="s">
        <v>2896</v>
      </c>
      <c r="U289" t="s">
        <v>2897</v>
      </c>
    </row>
    <row r="290" spans="1:21">
      <c r="A290" t="s">
        <v>685</v>
      </c>
      <c r="B290" s="7">
        <v>46122</v>
      </c>
      <c r="C290" s="8">
        <v>0.80424768518518519</v>
      </c>
      <c r="D290" t="s">
        <v>17</v>
      </c>
      <c r="E290" t="s">
        <v>2</v>
      </c>
      <c r="F290" t="s">
        <v>50</v>
      </c>
      <c r="G290" t="s">
        <v>51</v>
      </c>
      <c r="H290">
        <v>16.48</v>
      </c>
      <c r="I290" t="s">
        <v>52</v>
      </c>
      <c r="J290" t="s">
        <v>121</v>
      </c>
      <c r="K290" t="s">
        <v>54</v>
      </c>
      <c r="L290" t="s">
        <v>55</v>
      </c>
      <c r="O290" t="s">
        <v>122</v>
      </c>
      <c r="P290" t="s">
        <v>123</v>
      </c>
      <c r="Q290">
        <v>50220.89</v>
      </c>
      <c r="R290">
        <v>-16.48</v>
      </c>
      <c r="S290" t="s">
        <v>2895</v>
      </c>
      <c r="T290" t="s">
        <v>2896</v>
      </c>
      <c r="U290" t="s">
        <v>2897</v>
      </c>
    </row>
    <row r="291" spans="1:21">
      <c r="A291" t="s">
        <v>687</v>
      </c>
      <c r="B291" s="7">
        <v>46122</v>
      </c>
      <c r="C291" s="8">
        <v>0.94158564814814816</v>
      </c>
      <c r="D291" t="s">
        <v>17</v>
      </c>
      <c r="E291" t="s">
        <v>2</v>
      </c>
      <c r="F291" t="s">
        <v>50</v>
      </c>
      <c r="G291" t="s">
        <v>100</v>
      </c>
      <c r="H291">
        <v>20.56</v>
      </c>
      <c r="I291" t="s">
        <v>52</v>
      </c>
      <c r="J291" t="s">
        <v>114</v>
      </c>
      <c r="K291" t="s">
        <v>54</v>
      </c>
      <c r="L291" t="s">
        <v>102</v>
      </c>
      <c r="O291" t="s">
        <v>103</v>
      </c>
      <c r="P291" t="s">
        <v>104</v>
      </c>
      <c r="Q291">
        <v>50264.12</v>
      </c>
      <c r="R291">
        <v>-20.56</v>
      </c>
      <c r="S291" t="s">
        <v>2895</v>
      </c>
      <c r="T291" t="s">
        <v>2896</v>
      </c>
      <c r="U291" t="s">
        <v>2897</v>
      </c>
    </row>
    <row r="292" spans="1:21">
      <c r="A292" t="s">
        <v>689</v>
      </c>
      <c r="B292" s="7">
        <v>46123</v>
      </c>
      <c r="C292" s="8">
        <v>0.30731481481481482</v>
      </c>
      <c r="D292" t="s">
        <v>17</v>
      </c>
      <c r="E292" t="s">
        <v>2</v>
      </c>
      <c r="F292" t="s">
        <v>50</v>
      </c>
      <c r="G292" t="s">
        <v>51</v>
      </c>
      <c r="H292">
        <v>15.15</v>
      </c>
      <c r="I292" t="s">
        <v>52</v>
      </c>
      <c r="J292" t="s">
        <v>53</v>
      </c>
      <c r="K292" t="s">
        <v>54</v>
      </c>
      <c r="L292" t="s">
        <v>55</v>
      </c>
      <c r="O292" t="s">
        <v>56</v>
      </c>
      <c r="P292" t="s">
        <v>57</v>
      </c>
      <c r="Q292">
        <v>49867.42</v>
      </c>
      <c r="R292">
        <v>-15.15</v>
      </c>
      <c r="S292" t="s">
        <v>2895</v>
      </c>
      <c r="T292" t="s">
        <v>2896</v>
      </c>
      <c r="U292" t="s">
        <v>2897</v>
      </c>
    </row>
    <row r="293" spans="1:21">
      <c r="A293" t="s">
        <v>691</v>
      </c>
      <c r="B293" s="7">
        <v>46123</v>
      </c>
      <c r="C293" s="8">
        <v>0.35449074074074072</v>
      </c>
      <c r="D293" t="s">
        <v>17</v>
      </c>
      <c r="E293" t="s">
        <v>2</v>
      </c>
      <c r="F293" t="s">
        <v>50</v>
      </c>
      <c r="G293" t="s">
        <v>51</v>
      </c>
      <c r="H293">
        <v>15.85</v>
      </c>
      <c r="I293" t="s">
        <v>52</v>
      </c>
      <c r="J293" t="s">
        <v>81</v>
      </c>
      <c r="K293" t="s">
        <v>54</v>
      </c>
      <c r="L293" t="s">
        <v>55</v>
      </c>
      <c r="O293" t="s">
        <v>82</v>
      </c>
      <c r="P293" t="s">
        <v>83</v>
      </c>
      <c r="Q293">
        <v>49882.57</v>
      </c>
      <c r="R293">
        <v>-15.85</v>
      </c>
      <c r="S293" t="s">
        <v>2895</v>
      </c>
      <c r="T293" t="s">
        <v>2896</v>
      </c>
      <c r="U293" t="s">
        <v>2897</v>
      </c>
    </row>
    <row r="294" spans="1:21">
      <c r="A294" t="s">
        <v>693</v>
      </c>
      <c r="B294" s="7">
        <v>46123</v>
      </c>
      <c r="C294" s="8">
        <v>0.42715277777777777</v>
      </c>
      <c r="D294" t="s">
        <v>17</v>
      </c>
      <c r="E294" t="s">
        <v>2</v>
      </c>
      <c r="F294" t="s">
        <v>50</v>
      </c>
      <c r="G294" t="s">
        <v>51</v>
      </c>
      <c r="H294">
        <v>26.26</v>
      </c>
      <c r="I294" t="s">
        <v>52</v>
      </c>
      <c r="J294" t="s">
        <v>81</v>
      </c>
      <c r="K294" t="s">
        <v>54</v>
      </c>
      <c r="L294" t="s">
        <v>55</v>
      </c>
      <c r="O294" t="s">
        <v>82</v>
      </c>
      <c r="P294" t="s">
        <v>83</v>
      </c>
      <c r="Q294">
        <v>49962.52</v>
      </c>
      <c r="R294">
        <v>-26.26</v>
      </c>
      <c r="S294" t="s">
        <v>2895</v>
      </c>
      <c r="T294" t="s">
        <v>2896</v>
      </c>
      <c r="U294" t="s">
        <v>2897</v>
      </c>
    </row>
    <row r="295" spans="1:21">
      <c r="A295" t="s">
        <v>695</v>
      </c>
      <c r="B295" s="7">
        <v>46123</v>
      </c>
      <c r="C295" s="8">
        <v>0.4848263888888889</v>
      </c>
      <c r="D295" t="s">
        <v>17</v>
      </c>
      <c r="E295" t="s">
        <v>2</v>
      </c>
      <c r="F295" t="s">
        <v>50</v>
      </c>
      <c r="G295" t="s">
        <v>51</v>
      </c>
      <c r="H295">
        <v>18.239999999999998</v>
      </c>
      <c r="I295" t="s">
        <v>52</v>
      </c>
      <c r="J295" t="s">
        <v>126</v>
      </c>
      <c r="K295" t="s">
        <v>54</v>
      </c>
      <c r="L295" t="s">
        <v>55</v>
      </c>
      <c r="O295" t="s">
        <v>56</v>
      </c>
      <c r="P295" t="s">
        <v>57</v>
      </c>
      <c r="Q295">
        <v>49944.28</v>
      </c>
      <c r="R295">
        <v>-18.239999999999998</v>
      </c>
      <c r="S295" t="s">
        <v>2895</v>
      </c>
      <c r="T295" t="s">
        <v>2896</v>
      </c>
      <c r="U295" t="s">
        <v>2897</v>
      </c>
    </row>
    <row r="296" spans="1:21">
      <c r="A296" t="s">
        <v>697</v>
      </c>
      <c r="B296" s="7">
        <v>46123</v>
      </c>
      <c r="C296" s="8">
        <v>0.62825231481481481</v>
      </c>
      <c r="D296" t="s">
        <v>17</v>
      </c>
      <c r="E296" t="s">
        <v>2</v>
      </c>
      <c r="F296" t="s">
        <v>50</v>
      </c>
      <c r="G296" t="s">
        <v>72</v>
      </c>
      <c r="H296">
        <v>29.1</v>
      </c>
      <c r="I296" t="s">
        <v>52</v>
      </c>
      <c r="J296" t="s">
        <v>73</v>
      </c>
      <c r="K296" t="s">
        <v>54</v>
      </c>
      <c r="L296" t="s">
        <v>74</v>
      </c>
      <c r="O296" t="s">
        <v>75</v>
      </c>
      <c r="P296" t="s">
        <v>76</v>
      </c>
      <c r="Q296">
        <v>49838.32</v>
      </c>
      <c r="R296">
        <v>-29.1</v>
      </c>
      <c r="S296" t="s">
        <v>2895</v>
      </c>
      <c r="T296" t="s">
        <v>2896</v>
      </c>
      <c r="U296" t="s">
        <v>2897</v>
      </c>
    </row>
    <row r="297" spans="1:21">
      <c r="A297" t="s">
        <v>699</v>
      </c>
      <c r="B297" s="7">
        <v>46123</v>
      </c>
      <c r="C297" s="8">
        <v>0.70532407407407405</v>
      </c>
      <c r="D297" t="s">
        <v>17</v>
      </c>
      <c r="E297" t="s">
        <v>2</v>
      </c>
      <c r="F297" t="s">
        <v>50</v>
      </c>
      <c r="G297" t="s">
        <v>100</v>
      </c>
      <c r="H297">
        <v>15</v>
      </c>
      <c r="I297" t="s">
        <v>52</v>
      </c>
      <c r="J297" t="s">
        <v>101</v>
      </c>
      <c r="K297" t="s">
        <v>54</v>
      </c>
      <c r="L297" t="s">
        <v>102</v>
      </c>
      <c r="O297" t="s">
        <v>103</v>
      </c>
      <c r="P297" t="s">
        <v>104</v>
      </c>
      <c r="Q297">
        <v>49898.42</v>
      </c>
      <c r="R297">
        <v>-15</v>
      </c>
      <c r="S297" t="s">
        <v>2895</v>
      </c>
      <c r="T297" t="s">
        <v>2896</v>
      </c>
      <c r="U297" t="s">
        <v>2897</v>
      </c>
    </row>
    <row r="298" spans="1:21">
      <c r="A298" t="s">
        <v>701</v>
      </c>
      <c r="B298" s="7">
        <v>46123</v>
      </c>
      <c r="C298" s="8">
        <v>0.89569444444444446</v>
      </c>
      <c r="D298" t="s">
        <v>17</v>
      </c>
      <c r="E298" t="s">
        <v>2</v>
      </c>
      <c r="F298" t="s">
        <v>50</v>
      </c>
      <c r="G298" t="s">
        <v>51</v>
      </c>
      <c r="H298">
        <v>30.86</v>
      </c>
      <c r="I298" t="s">
        <v>52</v>
      </c>
      <c r="J298" t="s">
        <v>60</v>
      </c>
      <c r="K298" t="s">
        <v>54</v>
      </c>
      <c r="L298" t="s">
        <v>55</v>
      </c>
      <c r="O298" t="s">
        <v>61</v>
      </c>
      <c r="P298" t="s">
        <v>62</v>
      </c>
      <c r="Q298">
        <v>49913.42</v>
      </c>
      <c r="R298">
        <v>-30.86</v>
      </c>
      <c r="S298" t="s">
        <v>2895</v>
      </c>
      <c r="T298" t="s">
        <v>2896</v>
      </c>
      <c r="U298" t="s">
        <v>2897</v>
      </c>
    </row>
    <row r="299" spans="1:21">
      <c r="A299" t="s">
        <v>703</v>
      </c>
      <c r="B299" s="7">
        <v>46124</v>
      </c>
      <c r="C299" s="8">
        <v>0.30260416666666667</v>
      </c>
      <c r="D299" t="s">
        <v>17</v>
      </c>
      <c r="E299" t="s">
        <v>2</v>
      </c>
      <c r="F299" t="s">
        <v>50</v>
      </c>
      <c r="G299" t="s">
        <v>100</v>
      </c>
      <c r="H299">
        <v>19.690000000000001</v>
      </c>
      <c r="I299" t="s">
        <v>52</v>
      </c>
      <c r="J299" t="s">
        <v>114</v>
      </c>
      <c r="K299" t="s">
        <v>54</v>
      </c>
      <c r="L299" t="s">
        <v>102</v>
      </c>
      <c r="O299" t="s">
        <v>103</v>
      </c>
      <c r="P299" t="s">
        <v>104</v>
      </c>
      <c r="Q299">
        <v>49658.41</v>
      </c>
      <c r="R299">
        <v>-19.690000000000001</v>
      </c>
      <c r="S299" t="s">
        <v>2895</v>
      </c>
      <c r="T299" t="s">
        <v>2896</v>
      </c>
      <c r="U299" t="s">
        <v>2897</v>
      </c>
    </row>
    <row r="300" spans="1:21">
      <c r="A300" t="s">
        <v>705</v>
      </c>
      <c r="B300" s="7">
        <v>46124</v>
      </c>
      <c r="C300" s="8">
        <v>0.31178240740740742</v>
      </c>
      <c r="D300" t="s">
        <v>17</v>
      </c>
      <c r="E300" t="s">
        <v>2</v>
      </c>
      <c r="F300" t="s">
        <v>50</v>
      </c>
      <c r="G300" t="s">
        <v>100</v>
      </c>
      <c r="H300">
        <v>15.77</v>
      </c>
      <c r="I300" t="s">
        <v>52</v>
      </c>
      <c r="J300" t="s">
        <v>114</v>
      </c>
      <c r="K300" t="s">
        <v>54</v>
      </c>
      <c r="L300" t="s">
        <v>102</v>
      </c>
      <c r="O300" t="s">
        <v>103</v>
      </c>
      <c r="P300" t="s">
        <v>104</v>
      </c>
      <c r="Q300">
        <v>49822.55</v>
      </c>
      <c r="R300">
        <v>-15.77</v>
      </c>
      <c r="S300" t="s">
        <v>2895</v>
      </c>
      <c r="T300" t="s">
        <v>2896</v>
      </c>
      <c r="U300" t="s">
        <v>2897</v>
      </c>
    </row>
    <row r="301" spans="1:21">
      <c r="A301" t="s">
        <v>707</v>
      </c>
      <c r="B301" s="7">
        <v>46124</v>
      </c>
      <c r="C301" s="8">
        <v>0.66968749999999999</v>
      </c>
      <c r="D301" t="s">
        <v>17</v>
      </c>
      <c r="E301" t="s">
        <v>2</v>
      </c>
      <c r="F301" t="s">
        <v>50</v>
      </c>
      <c r="G301" t="s">
        <v>88</v>
      </c>
      <c r="H301">
        <v>160</v>
      </c>
      <c r="I301" t="s">
        <v>52</v>
      </c>
      <c r="J301" t="s">
        <v>89</v>
      </c>
      <c r="K301" t="s">
        <v>54</v>
      </c>
      <c r="L301" t="s">
        <v>90</v>
      </c>
      <c r="M301" t="s">
        <v>91</v>
      </c>
      <c r="N301" t="s">
        <v>12</v>
      </c>
      <c r="O301" t="s">
        <v>92</v>
      </c>
      <c r="P301" t="s">
        <v>93</v>
      </c>
      <c r="Q301">
        <v>49565.4</v>
      </c>
      <c r="R301">
        <v>-160</v>
      </c>
      <c r="S301" t="s">
        <v>2895</v>
      </c>
      <c r="T301" t="s">
        <v>2896</v>
      </c>
      <c r="U301" t="s">
        <v>2897</v>
      </c>
    </row>
    <row r="302" spans="1:21">
      <c r="A302" t="s">
        <v>709</v>
      </c>
      <c r="B302" s="7">
        <v>46124</v>
      </c>
      <c r="C302" s="8">
        <v>0.69696759259259256</v>
      </c>
      <c r="D302" t="s">
        <v>17</v>
      </c>
      <c r="E302" t="s">
        <v>2</v>
      </c>
      <c r="F302" t="s">
        <v>149</v>
      </c>
      <c r="G302" t="s">
        <v>72</v>
      </c>
      <c r="H302">
        <v>81.99</v>
      </c>
      <c r="I302" t="s">
        <v>52</v>
      </c>
      <c r="J302" t="s">
        <v>233</v>
      </c>
      <c r="K302" t="s">
        <v>54</v>
      </c>
      <c r="L302" t="s">
        <v>74</v>
      </c>
      <c r="O302" t="s">
        <v>75</v>
      </c>
      <c r="P302" t="s">
        <v>76</v>
      </c>
      <c r="Q302">
        <v>49725.4</v>
      </c>
      <c r="R302">
        <v>81.99</v>
      </c>
      <c r="S302" t="s">
        <v>2895</v>
      </c>
      <c r="T302" t="s">
        <v>2896</v>
      </c>
      <c r="U302" t="s">
        <v>2897</v>
      </c>
    </row>
    <row r="303" spans="1:21">
      <c r="A303" t="s">
        <v>711</v>
      </c>
      <c r="B303" s="7">
        <v>46124</v>
      </c>
      <c r="C303" s="8">
        <v>0.69797453703703705</v>
      </c>
      <c r="D303" t="s">
        <v>17</v>
      </c>
      <c r="E303" t="s">
        <v>2</v>
      </c>
      <c r="F303" t="s">
        <v>50</v>
      </c>
      <c r="G303" t="s">
        <v>51</v>
      </c>
      <c r="H303">
        <v>75.22</v>
      </c>
      <c r="I303" t="s">
        <v>52</v>
      </c>
      <c r="J303" t="s">
        <v>65</v>
      </c>
      <c r="K303" t="s">
        <v>54</v>
      </c>
      <c r="L303" t="s">
        <v>55</v>
      </c>
      <c r="O303" t="s">
        <v>66</v>
      </c>
      <c r="P303" t="s">
        <v>67</v>
      </c>
      <c r="Q303">
        <v>49678.1</v>
      </c>
      <c r="R303">
        <v>-75.22</v>
      </c>
      <c r="S303" t="s">
        <v>2895</v>
      </c>
      <c r="T303" t="s">
        <v>2896</v>
      </c>
      <c r="U303" t="s">
        <v>2897</v>
      </c>
    </row>
    <row r="304" spans="1:21">
      <c r="A304" t="s">
        <v>713</v>
      </c>
      <c r="B304" s="7">
        <v>46124</v>
      </c>
      <c r="C304" s="8">
        <v>0.89732638888888894</v>
      </c>
      <c r="D304" t="s">
        <v>17</v>
      </c>
      <c r="E304" t="s">
        <v>2</v>
      </c>
      <c r="F304" t="s">
        <v>50</v>
      </c>
      <c r="G304" t="s">
        <v>51</v>
      </c>
      <c r="H304">
        <v>69.23</v>
      </c>
      <c r="I304" t="s">
        <v>52</v>
      </c>
      <c r="J304" t="s">
        <v>196</v>
      </c>
      <c r="K304" t="s">
        <v>54</v>
      </c>
      <c r="L304" t="s">
        <v>55</v>
      </c>
      <c r="O304" t="s">
        <v>197</v>
      </c>
      <c r="P304" t="s">
        <v>198</v>
      </c>
      <c r="Q304">
        <v>49753.32</v>
      </c>
      <c r="R304">
        <v>-69.23</v>
      </c>
      <c r="S304" t="s">
        <v>2895</v>
      </c>
      <c r="T304" t="s">
        <v>2896</v>
      </c>
      <c r="U304" t="s">
        <v>2897</v>
      </c>
    </row>
    <row r="305" spans="1:21">
      <c r="A305" t="s">
        <v>715</v>
      </c>
      <c r="B305" s="7">
        <v>46124</v>
      </c>
      <c r="C305" s="8">
        <v>0.94003472222222217</v>
      </c>
      <c r="D305" t="s">
        <v>17</v>
      </c>
      <c r="E305" t="s">
        <v>2</v>
      </c>
      <c r="F305" t="s">
        <v>50</v>
      </c>
      <c r="G305" t="s">
        <v>100</v>
      </c>
      <c r="H305">
        <v>15</v>
      </c>
      <c r="I305" t="s">
        <v>52</v>
      </c>
      <c r="J305" t="s">
        <v>101</v>
      </c>
      <c r="K305" t="s">
        <v>54</v>
      </c>
      <c r="L305" t="s">
        <v>102</v>
      </c>
      <c r="O305" t="s">
        <v>103</v>
      </c>
      <c r="P305" t="s">
        <v>104</v>
      </c>
      <c r="Q305">
        <v>49643.41</v>
      </c>
      <c r="R305">
        <v>-15</v>
      </c>
      <c r="S305" t="s">
        <v>2895</v>
      </c>
      <c r="T305" t="s">
        <v>2896</v>
      </c>
      <c r="U305" t="s">
        <v>2897</v>
      </c>
    </row>
    <row r="306" spans="1:21">
      <c r="A306" t="s">
        <v>717</v>
      </c>
      <c r="B306" s="7">
        <v>46125</v>
      </c>
      <c r="C306" s="8">
        <v>0.45719907407407406</v>
      </c>
      <c r="D306" t="s">
        <v>17</v>
      </c>
      <c r="E306" t="s">
        <v>2</v>
      </c>
      <c r="F306" t="s">
        <v>50</v>
      </c>
      <c r="G306" t="s">
        <v>51</v>
      </c>
      <c r="H306">
        <v>21.33</v>
      </c>
      <c r="I306" t="s">
        <v>52</v>
      </c>
      <c r="J306" t="s">
        <v>126</v>
      </c>
      <c r="K306" t="s">
        <v>54</v>
      </c>
      <c r="L306" t="s">
        <v>55</v>
      </c>
      <c r="O306" t="s">
        <v>56</v>
      </c>
      <c r="P306" t="s">
        <v>57</v>
      </c>
      <c r="Q306">
        <v>49523.89</v>
      </c>
      <c r="R306">
        <v>-21.33</v>
      </c>
      <c r="S306" t="s">
        <v>2895</v>
      </c>
      <c r="T306" t="s">
        <v>2896</v>
      </c>
      <c r="U306" t="s">
        <v>2897</v>
      </c>
    </row>
    <row r="307" spans="1:21">
      <c r="A307" t="s">
        <v>719</v>
      </c>
      <c r="B307" s="7">
        <v>46125</v>
      </c>
      <c r="C307" s="8">
        <v>0.63664351851851853</v>
      </c>
      <c r="D307" t="s">
        <v>17</v>
      </c>
      <c r="E307" t="s">
        <v>2</v>
      </c>
      <c r="F307" t="s">
        <v>50</v>
      </c>
      <c r="G307" t="s">
        <v>100</v>
      </c>
      <c r="H307">
        <v>20.18</v>
      </c>
      <c r="I307" t="s">
        <v>52</v>
      </c>
      <c r="J307" t="s">
        <v>114</v>
      </c>
      <c r="K307" t="s">
        <v>54</v>
      </c>
      <c r="L307" t="s">
        <v>102</v>
      </c>
      <c r="O307" t="s">
        <v>103</v>
      </c>
      <c r="P307" t="s">
        <v>104</v>
      </c>
      <c r="Q307">
        <v>49545.22</v>
      </c>
      <c r="R307">
        <v>-20.18</v>
      </c>
      <c r="S307" t="s">
        <v>2895</v>
      </c>
      <c r="T307" t="s">
        <v>2896</v>
      </c>
      <c r="U307" t="s">
        <v>2897</v>
      </c>
    </row>
    <row r="308" spans="1:21">
      <c r="A308" t="s">
        <v>721</v>
      </c>
      <c r="B308" s="7">
        <v>46125</v>
      </c>
      <c r="C308" s="8">
        <v>0.75599537037037035</v>
      </c>
      <c r="D308" t="s">
        <v>17</v>
      </c>
      <c r="E308" t="s">
        <v>2</v>
      </c>
      <c r="F308" t="s">
        <v>50</v>
      </c>
      <c r="G308" t="s">
        <v>51</v>
      </c>
      <c r="H308">
        <v>17.55</v>
      </c>
      <c r="I308" t="s">
        <v>52</v>
      </c>
      <c r="J308" t="s">
        <v>53</v>
      </c>
      <c r="K308" t="s">
        <v>54</v>
      </c>
      <c r="L308" t="s">
        <v>55</v>
      </c>
      <c r="O308" t="s">
        <v>56</v>
      </c>
      <c r="P308" t="s">
        <v>57</v>
      </c>
      <c r="Q308">
        <v>49506.34</v>
      </c>
      <c r="R308">
        <v>-17.55</v>
      </c>
      <c r="S308" t="s">
        <v>2895</v>
      </c>
      <c r="T308" t="s">
        <v>2896</v>
      </c>
      <c r="U308" t="s">
        <v>2897</v>
      </c>
    </row>
    <row r="309" spans="1:21">
      <c r="A309" t="s">
        <v>723</v>
      </c>
      <c r="B309" s="7">
        <v>46125</v>
      </c>
      <c r="C309" s="8">
        <v>0.77905092592592595</v>
      </c>
      <c r="D309" t="s">
        <v>17</v>
      </c>
      <c r="E309" t="s">
        <v>2</v>
      </c>
      <c r="F309" t="s">
        <v>50</v>
      </c>
      <c r="G309" t="s">
        <v>51</v>
      </c>
      <c r="H309">
        <v>37.479999999999997</v>
      </c>
      <c r="I309" t="s">
        <v>52</v>
      </c>
      <c r="J309" t="s">
        <v>60</v>
      </c>
      <c r="K309" t="s">
        <v>54</v>
      </c>
      <c r="L309" t="s">
        <v>55</v>
      </c>
      <c r="O309" t="s">
        <v>61</v>
      </c>
      <c r="P309" t="s">
        <v>62</v>
      </c>
      <c r="Q309">
        <v>49468.86</v>
      </c>
      <c r="R309">
        <v>-37.479999999999997</v>
      </c>
      <c r="S309" t="s">
        <v>2895</v>
      </c>
      <c r="T309" t="s">
        <v>2896</v>
      </c>
      <c r="U309" t="s">
        <v>2897</v>
      </c>
    </row>
    <row r="310" spans="1:21">
      <c r="A310" t="s">
        <v>725</v>
      </c>
      <c r="B310" s="7">
        <v>46125</v>
      </c>
      <c r="C310" s="8">
        <v>0.92061342592592588</v>
      </c>
      <c r="D310" t="s">
        <v>17</v>
      </c>
      <c r="E310" t="s">
        <v>2</v>
      </c>
      <c r="F310" t="s">
        <v>50</v>
      </c>
      <c r="G310" t="s">
        <v>51</v>
      </c>
      <c r="H310">
        <v>50.29</v>
      </c>
      <c r="I310" t="s">
        <v>52</v>
      </c>
      <c r="J310" t="s">
        <v>81</v>
      </c>
      <c r="K310" t="s">
        <v>54</v>
      </c>
      <c r="L310" t="s">
        <v>55</v>
      </c>
      <c r="O310" t="s">
        <v>82</v>
      </c>
      <c r="P310" t="s">
        <v>83</v>
      </c>
      <c r="Q310">
        <v>49418.57</v>
      </c>
      <c r="R310">
        <v>-50.29</v>
      </c>
      <c r="S310" t="s">
        <v>2895</v>
      </c>
      <c r="T310" t="s">
        <v>2896</v>
      </c>
      <c r="U310" t="s">
        <v>2897</v>
      </c>
    </row>
    <row r="311" spans="1:21">
      <c r="A311" t="s">
        <v>727</v>
      </c>
      <c r="B311" s="7">
        <v>46126</v>
      </c>
      <c r="C311" s="8">
        <v>0.39778935185185182</v>
      </c>
      <c r="D311" t="s">
        <v>17</v>
      </c>
      <c r="E311" t="s">
        <v>2</v>
      </c>
      <c r="F311" t="s">
        <v>50</v>
      </c>
      <c r="G311" t="s">
        <v>51</v>
      </c>
      <c r="H311">
        <v>15.82</v>
      </c>
      <c r="I311" t="s">
        <v>52</v>
      </c>
      <c r="J311" t="s">
        <v>53</v>
      </c>
      <c r="K311" t="s">
        <v>54</v>
      </c>
      <c r="L311" t="s">
        <v>55</v>
      </c>
      <c r="O311" t="s">
        <v>56</v>
      </c>
      <c r="P311" t="s">
        <v>57</v>
      </c>
      <c r="Q311">
        <v>49363.69</v>
      </c>
      <c r="R311">
        <v>-15.82</v>
      </c>
      <c r="S311" t="s">
        <v>2895</v>
      </c>
      <c r="T311" t="s">
        <v>2896</v>
      </c>
      <c r="U311" t="s">
        <v>2897</v>
      </c>
    </row>
    <row r="312" spans="1:21">
      <c r="A312" t="s">
        <v>729</v>
      </c>
      <c r="B312" s="7">
        <v>46126</v>
      </c>
      <c r="C312" s="8">
        <v>0.42296296296296299</v>
      </c>
      <c r="D312" t="s">
        <v>17</v>
      </c>
      <c r="E312" t="s">
        <v>2</v>
      </c>
      <c r="F312" t="s">
        <v>50</v>
      </c>
      <c r="G312" t="s">
        <v>100</v>
      </c>
      <c r="H312">
        <v>15</v>
      </c>
      <c r="I312" t="s">
        <v>52</v>
      </c>
      <c r="J312" t="s">
        <v>101</v>
      </c>
      <c r="K312" t="s">
        <v>54</v>
      </c>
      <c r="L312" t="s">
        <v>102</v>
      </c>
      <c r="O312" t="s">
        <v>103</v>
      </c>
      <c r="P312" t="s">
        <v>104</v>
      </c>
      <c r="Q312">
        <v>49379.51</v>
      </c>
      <c r="R312">
        <v>-15</v>
      </c>
      <c r="S312" t="s">
        <v>2895</v>
      </c>
      <c r="T312" t="s">
        <v>2896</v>
      </c>
      <c r="U312" t="s">
        <v>2897</v>
      </c>
    </row>
    <row r="313" spans="1:21">
      <c r="A313" t="s">
        <v>731</v>
      </c>
      <c r="B313" s="7">
        <v>46126</v>
      </c>
      <c r="C313" s="8">
        <v>0.44333333333333336</v>
      </c>
      <c r="D313" t="s">
        <v>17</v>
      </c>
      <c r="E313" t="s">
        <v>2</v>
      </c>
      <c r="F313" t="s">
        <v>50</v>
      </c>
      <c r="G313" t="s">
        <v>51</v>
      </c>
      <c r="H313">
        <v>53.57</v>
      </c>
      <c r="I313" t="s">
        <v>52</v>
      </c>
      <c r="J313" t="s">
        <v>81</v>
      </c>
      <c r="K313" t="s">
        <v>54</v>
      </c>
      <c r="L313" t="s">
        <v>55</v>
      </c>
      <c r="O313" t="s">
        <v>82</v>
      </c>
      <c r="P313" t="s">
        <v>83</v>
      </c>
      <c r="Q313">
        <v>49287.59</v>
      </c>
      <c r="R313">
        <v>-53.57</v>
      </c>
      <c r="S313" t="s">
        <v>2895</v>
      </c>
      <c r="T313" t="s">
        <v>2896</v>
      </c>
      <c r="U313" t="s">
        <v>2897</v>
      </c>
    </row>
    <row r="314" spans="1:21">
      <c r="A314" t="s">
        <v>733</v>
      </c>
      <c r="B314" s="7">
        <v>46126</v>
      </c>
      <c r="C314" s="8">
        <v>0.49060185185185184</v>
      </c>
      <c r="D314" t="s">
        <v>17</v>
      </c>
      <c r="E314" t="s">
        <v>2</v>
      </c>
      <c r="F314" t="s">
        <v>149</v>
      </c>
      <c r="G314" t="s">
        <v>72</v>
      </c>
      <c r="H314">
        <v>143.38</v>
      </c>
      <c r="I314" t="s">
        <v>52</v>
      </c>
      <c r="J314" t="s">
        <v>638</v>
      </c>
      <c r="K314" t="s">
        <v>54</v>
      </c>
      <c r="L314" t="s">
        <v>74</v>
      </c>
      <c r="O314" t="s">
        <v>75</v>
      </c>
      <c r="P314" t="s">
        <v>76</v>
      </c>
      <c r="Q314">
        <v>49430.97</v>
      </c>
      <c r="R314">
        <v>143.38</v>
      </c>
      <c r="S314" t="s">
        <v>2895</v>
      </c>
      <c r="T314" t="s">
        <v>2896</v>
      </c>
      <c r="U314" t="s">
        <v>2897</v>
      </c>
    </row>
    <row r="315" spans="1:21">
      <c r="A315" t="s">
        <v>735</v>
      </c>
      <c r="B315" s="7">
        <v>46126</v>
      </c>
      <c r="C315" s="8">
        <v>0.51515046296296296</v>
      </c>
      <c r="D315" t="s">
        <v>17</v>
      </c>
      <c r="E315" t="s">
        <v>2</v>
      </c>
      <c r="F315" t="s">
        <v>50</v>
      </c>
      <c r="G315" t="s">
        <v>51</v>
      </c>
      <c r="H315">
        <v>24.06</v>
      </c>
      <c r="I315" t="s">
        <v>52</v>
      </c>
      <c r="J315" t="s">
        <v>81</v>
      </c>
      <c r="K315" t="s">
        <v>54</v>
      </c>
      <c r="L315" t="s">
        <v>55</v>
      </c>
      <c r="O315" t="s">
        <v>82</v>
      </c>
      <c r="P315" t="s">
        <v>83</v>
      </c>
      <c r="Q315">
        <v>49394.51</v>
      </c>
      <c r="R315">
        <v>-24.06</v>
      </c>
      <c r="S315" t="s">
        <v>2895</v>
      </c>
      <c r="T315" t="s">
        <v>2896</v>
      </c>
      <c r="U315" t="s">
        <v>2897</v>
      </c>
    </row>
    <row r="316" spans="1:21">
      <c r="A316" t="s">
        <v>737</v>
      </c>
      <c r="B316" s="7">
        <v>46126</v>
      </c>
      <c r="C316" s="8">
        <v>0.52604166666666663</v>
      </c>
      <c r="D316" t="s">
        <v>17</v>
      </c>
      <c r="E316" t="s">
        <v>2</v>
      </c>
      <c r="F316" t="s">
        <v>50</v>
      </c>
      <c r="G316" t="s">
        <v>100</v>
      </c>
      <c r="H316">
        <v>72.12</v>
      </c>
      <c r="I316" t="s">
        <v>52</v>
      </c>
      <c r="J316" t="s">
        <v>244</v>
      </c>
      <c r="K316" t="s">
        <v>54</v>
      </c>
      <c r="L316" t="s">
        <v>102</v>
      </c>
      <c r="O316" t="s">
        <v>178</v>
      </c>
      <c r="P316" t="s">
        <v>245</v>
      </c>
      <c r="Q316">
        <v>46799.68</v>
      </c>
      <c r="R316">
        <v>-72.12</v>
      </c>
      <c r="S316" t="s">
        <v>2895</v>
      </c>
      <c r="T316" t="s">
        <v>2896</v>
      </c>
      <c r="U316" t="s">
        <v>2897</v>
      </c>
    </row>
    <row r="317" spans="1:21">
      <c r="A317" t="s">
        <v>739</v>
      </c>
      <c r="B317" s="7">
        <v>46126</v>
      </c>
      <c r="C317" s="8">
        <v>0.56156249999999996</v>
      </c>
      <c r="D317" t="s">
        <v>17</v>
      </c>
      <c r="E317" t="s">
        <v>2</v>
      </c>
      <c r="F317" t="s">
        <v>50</v>
      </c>
      <c r="G317" t="s">
        <v>88</v>
      </c>
      <c r="H317">
        <v>80</v>
      </c>
      <c r="I317" t="s">
        <v>52</v>
      </c>
      <c r="J317" t="s">
        <v>89</v>
      </c>
      <c r="K317" t="s">
        <v>54</v>
      </c>
      <c r="L317" t="s">
        <v>90</v>
      </c>
      <c r="M317" t="s">
        <v>91</v>
      </c>
      <c r="N317" t="s">
        <v>12</v>
      </c>
      <c r="O317" t="s">
        <v>92</v>
      </c>
      <c r="P317" t="s">
        <v>93</v>
      </c>
      <c r="Q317">
        <v>49350.97</v>
      </c>
      <c r="R317">
        <v>-80</v>
      </c>
      <c r="S317" t="s">
        <v>2895</v>
      </c>
      <c r="T317" t="s">
        <v>2896</v>
      </c>
      <c r="U317" t="s">
        <v>2897</v>
      </c>
    </row>
    <row r="318" spans="1:21">
      <c r="A318" t="s">
        <v>741</v>
      </c>
      <c r="B318" s="7">
        <v>46126</v>
      </c>
      <c r="C318" s="8">
        <v>0.9185416666666667</v>
      </c>
      <c r="D318" t="s">
        <v>17</v>
      </c>
      <c r="E318" t="s">
        <v>2</v>
      </c>
      <c r="F318" t="s">
        <v>50</v>
      </c>
      <c r="G318" t="s">
        <v>100</v>
      </c>
      <c r="H318">
        <v>22.53</v>
      </c>
      <c r="I318" t="s">
        <v>52</v>
      </c>
      <c r="J318" t="s">
        <v>114</v>
      </c>
      <c r="K318" t="s">
        <v>54</v>
      </c>
      <c r="L318" t="s">
        <v>102</v>
      </c>
      <c r="O318" t="s">
        <v>103</v>
      </c>
      <c r="P318" t="s">
        <v>104</v>
      </c>
      <c r="Q318">
        <v>49341.16</v>
      </c>
      <c r="R318">
        <v>-22.53</v>
      </c>
      <c r="S318" t="s">
        <v>2895</v>
      </c>
      <c r="T318" t="s">
        <v>2896</v>
      </c>
      <c r="U318" t="s">
        <v>2897</v>
      </c>
    </row>
    <row r="319" spans="1:21">
      <c r="A319" t="s">
        <v>743</v>
      </c>
      <c r="B319" s="7">
        <v>46127</v>
      </c>
      <c r="C319" s="8">
        <v>0.32048611111111114</v>
      </c>
      <c r="D319" t="s">
        <v>17</v>
      </c>
      <c r="E319" t="s">
        <v>2</v>
      </c>
      <c r="F319" t="s">
        <v>50</v>
      </c>
      <c r="G319" t="s">
        <v>51</v>
      </c>
      <c r="H319">
        <v>42.92</v>
      </c>
      <c r="I319" t="s">
        <v>52</v>
      </c>
      <c r="J319" t="s">
        <v>126</v>
      </c>
      <c r="K319" t="s">
        <v>54</v>
      </c>
      <c r="L319" t="s">
        <v>55</v>
      </c>
      <c r="O319" t="s">
        <v>56</v>
      </c>
      <c r="P319" t="s">
        <v>57</v>
      </c>
      <c r="Q319">
        <v>49245.14</v>
      </c>
      <c r="R319">
        <v>-42.92</v>
      </c>
      <c r="S319" t="s">
        <v>2895</v>
      </c>
      <c r="T319" t="s">
        <v>2896</v>
      </c>
      <c r="U319" t="s">
        <v>2897</v>
      </c>
    </row>
    <row r="320" spans="1:21">
      <c r="A320" t="s">
        <v>745</v>
      </c>
      <c r="B320" s="7">
        <v>46127</v>
      </c>
      <c r="C320" s="8">
        <v>0.40687499999999999</v>
      </c>
      <c r="D320" t="s">
        <v>17</v>
      </c>
      <c r="E320" t="s">
        <v>2</v>
      </c>
      <c r="F320" t="s">
        <v>50</v>
      </c>
      <c r="G320" t="s">
        <v>51</v>
      </c>
      <c r="H320">
        <v>36.840000000000003</v>
      </c>
      <c r="I320" t="s">
        <v>52</v>
      </c>
      <c r="J320" t="s">
        <v>81</v>
      </c>
      <c r="K320" t="s">
        <v>54</v>
      </c>
      <c r="L320" t="s">
        <v>55</v>
      </c>
      <c r="O320" t="s">
        <v>82</v>
      </c>
      <c r="P320" t="s">
        <v>83</v>
      </c>
      <c r="Q320">
        <v>49208.3</v>
      </c>
      <c r="R320">
        <v>-36.840000000000003</v>
      </c>
      <c r="S320" t="s">
        <v>2895</v>
      </c>
      <c r="T320" t="s">
        <v>2896</v>
      </c>
      <c r="U320" t="s">
        <v>2897</v>
      </c>
    </row>
    <row r="321" spans="1:21">
      <c r="A321" t="s">
        <v>747</v>
      </c>
      <c r="B321" s="7">
        <v>46127</v>
      </c>
      <c r="C321" s="8">
        <v>0.49458333333333332</v>
      </c>
      <c r="D321" t="s">
        <v>17</v>
      </c>
      <c r="E321" t="s">
        <v>2</v>
      </c>
      <c r="F321" t="s">
        <v>50</v>
      </c>
      <c r="G321" t="s">
        <v>100</v>
      </c>
      <c r="H321">
        <v>17.91</v>
      </c>
      <c r="I321" t="s">
        <v>52</v>
      </c>
      <c r="J321" t="s">
        <v>114</v>
      </c>
      <c r="K321" t="s">
        <v>54</v>
      </c>
      <c r="L321" t="s">
        <v>102</v>
      </c>
      <c r="O321" t="s">
        <v>103</v>
      </c>
      <c r="P321" t="s">
        <v>104</v>
      </c>
      <c r="Q321">
        <v>49288.06</v>
      </c>
      <c r="R321">
        <v>-17.91</v>
      </c>
      <c r="S321" t="s">
        <v>2895</v>
      </c>
      <c r="T321" t="s">
        <v>2896</v>
      </c>
      <c r="U321" t="s">
        <v>2897</v>
      </c>
    </row>
    <row r="322" spans="1:21">
      <c r="A322" t="s">
        <v>749</v>
      </c>
      <c r="B322" s="7">
        <v>46127</v>
      </c>
      <c r="C322" s="8">
        <v>0.51646990740740739</v>
      </c>
      <c r="D322" t="s">
        <v>17</v>
      </c>
      <c r="E322" t="s">
        <v>2</v>
      </c>
      <c r="F322" t="s">
        <v>50</v>
      </c>
      <c r="G322" t="s">
        <v>100</v>
      </c>
      <c r="H322">
        <v>15</v>
      </c>
      <c r="I322" t="s">
        <v>52</v>
      </c>
      <c r="J322" t="s">
        <v>101</v>
      </c>
      <c r="K322" t="s">
        <v>54</v>
      </c>
      <c r="L322" t="s">
        <v>102</v>
      </c>
      <c r="O322" t="s">
        <v>103</v>
      </c>
      <c r="P322" t="s">
        <v>104</v>
      </c>
      <c r="Q322">
        <v>49320.97</v>
      </c>
      <c r="R322">
        <v>-15</v>
      </c>
      <c r="S322" t="s">
        <v>2895</v>
      </c>
      <c r="T322" t="s">
        <v>2896</v>
      </c>
      <c r="U322" t="s">
        <v>2897</v>
      </c>
    </row>
    <row r="323" spans="1:21">
      <c r="A323" t="s">
        <v>751</v>
      </c>
      <c r="B323" s="7">
        <v>46127</v>
      </c>
      <c r="C323" s="8">
        <v>0.5554513888888889</v>
      </c>
      <c r="D323" t="s">
        <v>17</v>
      </c>
      <c r="E323" t="s">
        <v>2</v>
      </c>
      <c r="F323" t="s">
        <v>50</v>
      </c>
      <c r="G323" t="s">
        <v>100</v>
      </c>
      <c r="H323">
        <v>15</v>
      </c>
      <c r="I323" t="s">
        <v>52</v>
      </c>
      <c r="J323" t="s">
        <v>101</v>
      </c>
      <c r="K323" t="s">
        <v>54</v>
      </c>
      <c r="L323" t="s">
        <v>102</v>
      </c>
      <c r="O323" t="s">
        <v>103</v>
      </c>
      <c r="P323" t="s">
        <v>104</v>
      </c>
      <c r="Q323">
        <v>49335.97</v>
      </c>
      <c r="R323">
        <v>-15</v>
      </c>
      <c r="S323" t="s">
        <v>2895</v>
      </c>
      <c r="T323" t="s">
        <v>2896</v>
      </c>
      <c r="U323" t="s">
        <v>2897</v>
      </c>
    </row>
    <row r="324" spans="1:21">
      <c r="A324" t="s">
        <v>753</v>
      </c>
      <c r="B324" s="7">
        <v>46127</v>
      </c>
      <c r="C324" s="8">
        <v>0.62902777777777774</v>
      </c>
      <c r="D324" t="s">
        <v>17</v>
      </c>
      <c r="E324" t="s">
        <v>2</v>
      </c>
      <c r="F324" t="s">
        <v>50</v>
      </c>
      <c r="G324" t="s">
        <v>100</v>
      </c>
      <c r="H324">
        <v>22.77</v>
      </c>
      <c r="I324" t="s">
        <v>52</v>
      </c>
      <c r="J324" t="s">
        <v>114</v>
      </c>
      <c r="K324" t="s">
        <v>54</v>
      </c>
      <c r="L324" t="s">
        <v>102</v>
      </c>
      <c r="O324" t="s">
        <v>103</v>
      </c>
      <c r="P324" t="s">
        <v>104</v>
      </c>
      <c r="Q324">
        <v>49185.53</v>
      </c>
      <c r="R324">
        <v>-22.77</v>
      </c>
      <c r="S324" t="s">
        <v>2895</v>
      </c>
      <c r="T324" t="s">
        <v>2896</v>
      </c>
      <c r="U324" t="s">
        <v>2897</v>
      </c>
    </row>
    <row r="325" spans="1:21">
      <c r="A325" t="s">
        <v>755</v>
      </c>
      <c r="B325" s="7">
        <v>46127</v>
      </c>
      <c r="C325" s="8">
        <v>0.65930555555555559</v>
      </c>
      <c r="D325" t="s">
        <v>17</v>
      </c>
      <c r="E325" t="s">
        <v>2</v>
      </c>
      <c r="F325" t="s">
        <v>50</v>
      </c>
      <c r="G325" t="s">
        <v>100</v>
      </c>
      <c r="H325">
        <v>15</v>
      </c>
      <c r="I325" t="s">
        <v>52</v>
      </c>
      <c r="J325" t="s">
        <v>101</v>
      </c>
      <c r="K325" t="s">
        <v>54</v>
      </c>
      <c r="L325" t="s">
        <v>102</v>
      </c>
      <c r="O325" t="s">
        <v>103</v>
      </c>
      <c r="P325" t="s">
        <v>104</v>
      </c>
      <c r="Q325">
        <v>49305.97</v>
      </c>
      <c r="R325">
        <v>-15</v>
      </c>
      <c r="S325" t="s">
        <v>2895</v>
      </c>
      <c r="T325" t="s">
        <v>2896</v>
      </c>
      <c r="U325" t="s">
        <v>2897</v>
      </c>
    </row>
    <row r="326" spans="1:21">
      <c r="A326" t="s">
        <v>757</v>
      </c>
      <c r="B326" s="7">
        <v>46127</v>
      </c>
      <c r="C326" s="8">
        <v>0.7958101851851852</v>
      </c>
      <c r="D326" t="s">
        <v>17</v>
      </c>
      <c r="E326" t="s">
        <v>2</v>
      </c>
      <c r="F326" t="s">
        <v>149</v>
      </c>
      <c r="G326" t="s">
        <v>72</v>
      </c>
      <c r="H326">
        <v>43.58</v>
      </c>
      <c r="I326" t="s">
        <v>52</v>
      </c>
      <c r="J326" t="s">
        <v>73</v>
      </c>
      <c r="K326" t="s">
        <v>54</v>
      </c>
      <c r="L326" t="s">
        <v>74</v>
      </c>
      <c r="O326" t="s">
        <v>75</v>
      </c>
      <c r="P326" t="s">
        <v>76</v>
      </c>
      <c r="Q326">
        <v>49229.11</v>
      </c>
      <c r="R326">
        <v>43.58</v>
      </c>
      <c r="S326" t="s">
        <v>2895</v>
      </c>
      <c r="T326" t="s">
        <v>2896</v>
      </c>
      <c r="U326" t="s">
        <v>2897</v>
      </c>
    </row>
    <row r="327" spans="1:21">
      <c r="A327" t="s">
        <v>759</v>
      </c>
      <c r="B327" s="7">
        <v>46127</v>
      </c>
      <c r="C327" s="8">
        <v>0.9215740740740741</v>
      </c>
      <c r="D327" t="s">
        <v>17</v>
      </c>
      <c r="E327" t="s">
        <v>2</v>
      </c>
      <c r="F327" t="s">
        <v>149</v>
      </c>
      <c r="G327" t="s">
        <v>321</v>
      </c>
      <c r="H327">
        <v>3055.81</v>
      </c>
      <c r="I327" t="s">
        <v>52</v>
      </c>
      <c r="J327" t="s">
        <v>9</v>
      </c>
      <c r="K327" t="s">
        <v>54</v>
      </c>
      <c r="L327" t="s">
        <v>102</v>
      </c>
      <c r="O327" t="s">
        <v>322</v>
      </c>
      <c r="P327" t="s">
        <v>323</v>
      </c>
      <c r="Q327">
        <v>22712.32</v>
      </c>
      <c r="R327">
        <v>3055.81</v>
      </c>
      <c r="S327" t="s">
        <v>2895</v>
      </c>
      <c r="T327" t="s">
        <v>2896</v>
      </c>
      <c r="U327" t="s">
        <v>2897</v>
      </c>
    </row>
    <row r="328" spans="1:21">
      <c r="A328" t="s">
        <v>761</v>
      </c>
      <c r="B328" s="7">
        <v>46128</v>
      </c>
      <c r="C328" s="8">
        <v>0.28964120370370372</v>
      </c>
      <c r="D328" t="s">
        <v>17</v>
      </c>
      <c r="E328" t="s">
        <v>2</v>
      </c>
      <c r="F328" t="s">
        <v>50</v>
      </c>
      <c r="G328" t="s">
        <v>100</v>
      </c>
      <c r="H328">
        <v>15</v>
      </c>
      <c r="I328" t="s">
        <v>52</v>
      </c>
      <c r="J328" t="s">
        <v>101</v>
      </c>
      <c r="K328" t="s">
        <v>54</v>
      </c>
      <c r="L328" t="s">
        <v>102</v>
      </c>
      <c r="O328" t="s">
        <v>103</v>
      </c>
      <c r="P328" t="s">
        <v>104</v>
      </c>
      <c r="Q328">
        <v>49060.95</v>
      </c>
      <c r="R328">
        <v>-15</v>
      </c>
      <c r="S328" t="s">
        <v>2895</v>
      </c>
      <c r="T328" t="s">
        <v>2896</v>
      </c>
      <c r="U328" t="s">
        <v>2897</v>
      </c>
    </row>
    <row r="329" spans="1:21">
      <c r="A329" t="s">
        <v>763</v>
      </c>
      <c r="B329" s="7">
        <v>46128</v>
      </c>
      <c r="C329" s="8">
        <v>0.4123263888888889</v>
      </c>
      <c r="D329" t="s">
        <v>17</v>
      </c>
      <c r="E329" t="s">
        <v>2</v>
      </c>
      <c r="F329" t="s">
        <v>50</v>
      </c>
      <c r="G329" t="s">
        <v>51</v>
      </c>
      <c r="H329">
        <v>17.02</v>
      </c>
      <c r="I329" t="s">
        <v>52</v>
      </c>
      <c r="J329" t="s">
        <v>196</v>
      </c>
      <c r="K329" t="s">
        <v>54</v>
      </c>
      <c r="L329" t="s">
        <v>55</v>
      </c>
      <c r="O329" t="s">
        <v>197</v>
      </c>
      <c r="P329" t="s">
        <v>198</v>
      </c>
      <c r="Q329">
        <v>49140.1</v>
      </c>
      <c r="R329">
        <v>-17.02</v>
      </c>
      <c r="S329" t="s">
        <v>2895</v>
      </c>
      <c r="T329" t="s">
        <v>2896</v>
      </c>
      <c r="U329" t="s">
        <v>2897</v>
      </c>
    </row>
    <row r="330" spans="1:21">
      <c r="A330" t="s">
        <v>765</v>
      </c>
      <c r="B330" s="7">
        <v>46128</v>
      </c>
      <c r="C330" s="8">
        <v>0.41826388888888888</v>
      </c>
      <c r="D330" t="s">
        <v>17</v>
      </c>
      <c r="E330" t="s">
        <v>2</v>
      </c>
      <c r="F330" t="s">
        <v>50</v>
      </c>
      <c r="G330" t="s">
        <v>51</v>
      </c>
      <c r="H330">
        <v>49.15</v>
      </c>
      <c r="I330" t="s">
        <v>52</v>
      </c>
      <c r="J330" t="s">
        <v>81</v>
      </c>
      <c r="K330" t="s">
        <v>54</v>
      </c>
      <c r="L330" t="s">
        <v>55</v>
      </c>
      <c r="O330" t="s">
        <v>82</v>
      </c>
      <c r="P330" t="s">
        <v>83</v>
      </c>
      <c r="Q330">
        <v>49090.95</v>
      </c>
      <c r="R330">
        <v>-49.15</v>
      </c>
      <c r="S330" t="s">
        <v>2895</v>
      </c>
      <c r="T330" t="s">
        <v>2896</v>
      </c>
      <c r="U330" t="s">
        <v>2897</v>
      </c>
    </row>
    <row r="331" spans="1:21">
      <c r="A331" t="s">
        <v>767</v>
      </c>
      <c r="B331" s="7">
        <v>46128</v>
      </c>
      <c r="C331" s="8">
        <v>0.44150462962962961</v>
      </c>
      <c r="D331" t="s">
        <v>17</v>
      </c>
      <c r="E331" t="s">
        <v>2</v>
      </c>
      <c r="F331" t="s">
        <v>50</v>
      </c>
      <c r="G331" t="s">
        <v>51</v>
      </c>
      <c r="H331">
        <v>50.5</v>
      </c>
      <c r="I331" t="s">
        <v>52</v>
      </c>
      <c r="J331" t="s">
        <v>65</v>
      </c>
      <c r="K331" t="s">
        <v>54</v>
      </c>
      <c r="L331" t="s">
        <v>55</v>
      </c>
      <c r="O331" t="s">
        <v>66</v>
      </c>
      <c r="P331" t="s">
        <v>67</v>
      </c>
      <c r="Q331">
        <v>49010.45</v>
      </c>
      <c r="R331">
        <v>-50.5</v>
      </c>
      <c r="S331" t="s">
        <v>2895</v>
      </c>
      <c r="T331" t="s">
        <v>2896</v>
      </c>
      <c r="U331" t="s">
        <v>2897</v>
      </c>
    </row>
    <row r="332" spans="1:21">
      <c r="A332" t="s">
        <v>769</v>
      </c>
      <c r="B332" s="7">
        <v>46128</v>
      </c>
      <c r="C332" s="8">
        <v>0.45052083333333331</v>
      </c>
      <c r="D332" t="s">
        <v>17</v>
      </c>
      <c r="E332" t="s">
        <v>2</v>
      </c>
      <c r="F332" t="s">
        <v>50</v>
      </c>
      <c r="G332" t="s">
        <v>100</v>
      </c>
      <c r="H332">
        <v>15</v>
      </c>
      <c r="I332" t="s">
        <v>52</v>
      </c>
      <c r="J332" t="s">
        <v>101</v>
      </c>
      <c r="K332" t="s">
        <v>54</v>
      </c>
      <c r="L332" t="s">
        <v>102</v>
      </c>
      <c r="O332" t="s">
        <v>103</v>
      </c>
      <c r="P332" t="s">
        <v>104</v>
      </c>
      <c r="Q332">
        <v>49075.95</v>
      </c>
      <c r="R332">
        <v>-15</v>
      </c>
      <c r="S332" t="s">
        <v>2895</v>
      </c>
      <c r="T332" t="s">
        <v>2896</v>
      </c>
      <c r="U332" t="s">
        <v>2897</v>
      </c>
    </row>
    <row r="333" spans="1:21">
      <c r="A333" t="s">
        <v>771</v>
      </c>
      <c r="B333" s="7">
        <v>46128</v>
      </c>
      <c r="C333" s="8">
        <v>0.63563657407407403</v>
      </c>
      <c r="D333" t="s">
        <v>17</v>
      </c>
      <c r="E333" t="s">
        <v>2</v>
      </c>
      <c r="F333" t="s">
        <v>50</v>
      </c>
      <c r="G333" t="s">
        <v>100</v>
      </c>
      <c r="H333">
        <v>16.350000000000001</v>
      </c>
      <c r="I333" t="s">
        <v>52</v>
      </c>
      <c r="J333" t="s">
        <v>114</v>
      </c>
      <c r="K333" t="s">
        <v>54</v>
      </c>
      <c r="L333" t="s">
        <v>102</v>
      </c>
      <c r="O333" t="s">
        <v>103</v>
      </c>
      <c r="P333" t="s">
        <v>104</v>
      </c>
      <c r="Q333">
        <v>48994.1</v>
      </c>
      <c r="R333">
        <v>-16.350000000000001</v>
      </c>
      <c r="S333" t="s">
        <v>2895</v>
      </c>
      <c r="T333" t="s">
        <v>2896</v>
      </c>
      <c r="U333" t="s">
        <v>2897</v>
      </c>
    </row>
    <row r="334" spans="1:21">
      <c r="A334" t="s">
        <v>773</v>
      </c>
      <c r="B334" s="7">
        <v>46128</v>
      </c>
      <c r="C334" s="8">
        <v>0.75373842592592588</v>
      </c>
      <c r="D334" t="s">
        <v>17</v>
      </c>
      <c r="E334" t="s">
        <v>2</v>
      </c>
      <c r="F334" t="s">
        <v>50</v>
      </c>
      <c r="G334" t="s">
        <v>100</v>
      </c>
      <c r="H334">
        <v>15.61</v>
      </c>
      <c r="I334" t="s">
        <v>52</v>
      </c>
      <c r="J334" t="s">
        <v>114</v>
      </c>
      <c r="K334" t="s">
        <v>54</v>
      </c>
      <c r="L334" t="s">
        <v>102</v>
      </c>
      <c r="O334" t="s">
        <v>103</v>
      </c>
      <c r="P334" t="s">
        <v>104</v>
      </c>
      <c r="Q334">
        <v>49157.120000000003</v>
      </c>
      <c r="R334">
        <v>-15.61</v>
      </c>
      <c r="S334" t="s">
        <v>2895</v>
      </c>
      <c r="T334" t="s">
        <v>2896</v>
      </c>
      <c r="U334" t="s">
        <v>2897</v>
      </c>
    </row>
    <row r="335" spans="1:21">
      <c r="A335" t="s">
        <v>775</v>
      </c>
      <c r="B335" s="7">
        <v>46128</v>
      </c>
      <c r="C335" s="8">
        <v>0.79403935185185182</v>
      </c>
      <c r="D335" t="s">
        <v>17</v>
      </c>
      <c r="E335" t="s">
        <v>2</v>
      </c>
      <c r="F335" t="s">
        <v>50</v>
      </c>
      <c r="G335" t="s">
        <v>51</v>
      </c>
      <c r="H335">
        <v>56.38</v>
      </c>
      <c r="I335" t="s">
        <v>52</v>
      </c>
      <c r="J335" t="s">
        <v>81</v>
      </c>
      <c r="K335" t="s">
        <v>54</v>
      </c>
      <c r="L335" t="s">
        <v>55</v>
      </c>
      <c r="O335" t="s">
        <v>82</v>
      </c>
      <c r="P335" t="s">
        <v>83</v>
      </c>
      <c r="Q335">
        <v>49172.73</v>
      </c>
      <c r="R335">
        <v>-56.38</v>
      </c>
      <c r="S335" t="s">
        <v>2895</v>
      </c>
      <c r="T335" t="s">
        <v>2896</v>
      </c>
      <c r="U335" t="s">
        <v>2897</v>
      </c>
    </row>
    <row r="336" spans="1:21">
      <c r="A336" t="s">
        <v>777</v>
      </c>
      <c r="B336" s="7">
        <v>46128</v>
      </c>
      <c r="C336" s="8">
        <v>0.83619212962962963</v>
      </c>
      <c r="D336" t="s">
        <v>17</v>
      </c>
      <c r="E336" t="s">
        <v>2</v>
      </c>
      <c r="F336" t="s">
        <v>50</v>
      </c>
      <c r="G336" t="s">
        <v>72</v>
      </c>
      <c r="H336">
        <v>147.02000000000001</v>
      </c>
      <c r="I336" t="s">
        <v>52</v>
      </c>
      <c r="J336" t="s">
        <v>638</v>
      </c>
      <c r="K336" t="s">
        <v>54</v>
      </c>
      <c r="L336" t="s">
        <v>74</v>
      </c>
      <c r="O336" t="s">
        <v>75</v>
      </c>
      <c r="P336" t="s">
        <v>76</v>
      </c>
      <c r="Q336">
        <v>48847.08</v>
      </c>
      <c r="R336">
        <v>-147.02000000000001</v>
      </c>
      <c r="S336" t="s">
        <v>2895</v>
      </c>
      <c r="T336" t="s">
        <v>2896</v>
      </c>
      <c r="U336" t="s">
        <v>2897</v>
      </c>
    </row>
    <row r="337" spans="1:21">
      <c r="A337" t="s">
        <v>779</v>
      </c>
      <c r="B337" s="7">
        <v>46129</v>
      </c>
      <c r="C337" s="8">
        <v>0.2658564814814815</v>
      </c>
      <c r="D337" t="s">
        <v>17</v>
      </c>
      <c r="E337" t="s">
        <v>2</v>
      </c>
      <c r="F337" t="s">
        <v>50</v>
      </c>
      <c r="G337" t="s">
        <v>51</v>
      </c>
      <c r="H337">
        <v>21.19</v>
      </c>
      <c r="I337" t="s">
        <v>52</v>
      </c>
      <c r="J337" t="s">
        <v>81</v>
      </c>
      <c r="K337" t="s">
        <v>54</v>
      </c>
      <c r="L337" t="s">
        <v>55</v>
      </c>
      <c r="O337" t="s">
        <v>82</v>
      </c>
      <c r="P337" t="s">
        <v>83</v>
      </c>
      <c r="Q337">
        <v>48597.04</v>
      </c>
      <c r="R337">
        <v>-21.19</v>
      </c>
      <c r="S337" t="s">
        <v>2895</v>
      </c>
      <c r="T337" t="s">
        <v>2896</v>
      </c>
      <c r="U337" t="s">
        <v>2897</v>
      </c>
    </row>
    <row r="338" spans="1:21">
      <c r="A338" t="s">
        <v>781</v>
      </c>
      <c r="B338" s="7">
        <v>46129</v>
      </c>
      <c r="C338" s="8">
        <v>0.27733796296296298</v>
      </c>
      <c r="D338" t="s">
        <v>17</v>
      </c>
      <c r="E338" t="s">
        <v>2</v>
      </c>
      <c r="F338" t="s">
        <v>50</v>
      </c>
      <c r="G338" t="s">
        <v>51</v>
      </c>
      <c r="H338">
        <v>19.649999999999999</v>
      </c>
      <c r="I338" t="s">
        <v>52</v>
      </c>
      <c r="J338" t="s">
        <v>126</v>
      </c>
      <c r="K338" t="s">
        <v>54</v>
      </c>
      <c r="L338" t="s">
        <v>55</v>
      </c>
      <c r="O338" t="s">
        <v>56</v>
      </c>
      <c r="P338" t="s">
        <v>57</v>
      </c>
      <c r="Q338">
        <v>48817.18</v>
      </c>
      <c r="R338">
        <v>-19.649999999999999</v>
      </c>
      <c r="S338" t="s">
        <v>2895</v>
      </c>
      <c r="T338" t="s">
        <v>2896</v>
      </c>
      <c r="U338" t="s">
        <v>2897</v>
      </c>
    </row>
    <row r="339" spans="1:21">
      <c r="A339" t="s">
        <v>783</v>
      </c>
      <c r="B339" s="7">
        <v>46129</v>
      </c>
      <c r="C339" s="8">
        <v>0.31972222222222224</v>
      </c>
      <c r="D339" t="s">
        <v>17</v>
      </c>
      <c r="E339" t="s">
        <v>2</v>
      </c>
      <c r="F339" t="s">
        <v>50</v>
      </c>
      <c r="G339" t="s">
        <v>51</v>
      </c>
      <c r="H339">
        <v>19.59</v>
      </c>
      <c r="I339" t="s">
        <v>52</v>
      </c>
      <c r="J339" t="s">
        <v>121</v>
      </c>
      <c r="K339" t="s">
        <v>54</v>
      </c>
      <c r="L339" t="s">
        <v>55</v>
      </c>
      <c r="O339" t="s">
        <v>122</v>
      </c>
      <c r="P339" t="s">
        <v>123</v>
      </c>
      <c r="Q339">
        <v>48618.23</v>
      </c>
      <c r="R339">
        <v>-19.59</v>
      </c>
      <c r="S339" t="s">
        <v>2895</v>
      </c>
      <c r="T339" t="s">
        <v>2896</v>
      </c>
      <c r="U339" t="s">
        <v>2897</v>
      </c>
    </row>
    <row r="340" spans="1:21">
      <c r="A340" t="s">
        <v>785</v>
      </c>
      <c r="B340" s="7">
        <v>46129</v>
      </c>
      <c r="C340" s="8">
        <v>0.40945601851851854</v>
      </c>
      <c r="D340" t="s">
        <v>17</v>
      </c>
      <c r="E340" t="s">
        <v>2</v>
      </c>
      <c r="F340" t="s">
        <v>50</v>
      </c>
      <c r="G340" t="s">
        <v>51</v>
      </c>
      <c r="H340">
        <v>39.24</v>
      </c>
      <c r="I340" t="s">
        <v>52</v>
      </c>
      <c r="J340" t="s">
        <v>60</v>
      </c>
      <c r="K340" t="s">
        <v>54</v>
      </c>
      <c r="L340" t="s">
        <v>55</v>
      </c>
      <c r="O340" t="s">
        <v>61</v>
      </c>
      <c r="P340" t="s">
        <v>62</v>
      </c>
      <c r="Q340">
        <v>48557.8</v>
      </c>
      <c r="R340">
        <v>-39.24</v>
      </c>
      <c r="S340" t="s">
        <v>2895</v>
      </c>
      <c r="T340" t="s">
        <v>2896</v>
      </c>
      <c r="U340" t="s">
        <v>2897</v>
      </c>
    </row>
    <row r="341" spans="1:21">
      <c r="A341" t="s">
        <v>787</v>
      </c>
      <c r="B341" s="7">
        <v>46129</v>
      </c>
      <c r="C341" s="8">
        <v>0.48798611111111112</v>
      </c>
      <c r="D341" t="s">
        <v>17</v>
      </c>
      <c r="E341" t="s">
        <v>2</v>
      </c>
      <c r="F341" t="s">
        <v>50</v>
      </c>
      <c r="G341" t="s">
        <v>51</v>
      </c>
      <c r="H341">
        <v>113.58</v>
      </c>
      <c r="I341" t="s">
        <v>52</v>
      </c>
      <c r="J341" t="s">
        <v>196</v>
      </c>
      <c r="K341" t="s">
        <v>54</v>
      </c>
      <c r="L341" t="s">
        <v>55</v>
      </c>
      <c r="O341" t="s">
        <v>197</v>
      </c>
      <c r="P341" t="s">
        <v>198</v>
      </c>
      <c r="Q341">
        <v>48703.6</v>
      </c>
      <c r="R341">
        <v>-113.58</v>
      </c>
      <c r="S341" t="s">
        <v>2895</v>
      </c>
      <c r="T341" t="s">
        <v>2896</v>
      </c>
      <c r="U341" t="s">
        <v>2897</v>
      </c>
    </row>
    <row r="342" spans="1:21">
      <c r="A342" t="s">
        <v>789</v>
      </c>
      <c r="B342" s="7">
        <v>46129</v>
      </c>
      <c r="C342" s="8">
        <v>0.71149305555555553</v>
      </c>
      <c r="D342" t="s">
        <v>17</v>
      </c>
      <c r="E342" t="s">
        <v>2</v>
      </c>
      <c r="F342" t="s">
        <v>50</v>
      </c>
      <c r="G342" t="s">
        <v>51</v>
      </c>
      <c r="H342">
        <v>48.17</v>
      </c>
      <c r="I342" t="s">
        <v>52</v>
      </c>
      <c r="J342" t="s">
        <v>60</v>
      </c>
      <c r="K342" t="s">
        <v>54</v>
      </c>
      <c r="L342" t="s">
        <v>55</v>
      </c>
      <c r="O342" t="s">
        <v>61</v>
      </c>
      <c r="P342" t="s">
        <v>62</v>
      </c>
      <c r="Q342">
        <v>48655.43</v>
      </c>
      <c r="R342">
        <v>-48.17</v>
      </c>
      <c r="S342" t="s">
        <v>2895</v>
      </c>
      <c r="T342" t="s">
        <v>2896</v>
      </c>
      <c r="U342" t="s">
        <v>2897</v>
      </c>
    </row>
    <row r="343" spans="1:21">
      <c r="A343" t="s">
        <v>791</v>
      </c>
      <c r="B343" s="7">
        <v>46129</v>
      </c>
      <c r="C343" s="8">
        <v>0.94098379629629625</v>
      </c>
      <c r="D343" t="s">
        <v>17</v>
      </c>
      <c r="E343" t="s">
        <v>2</v>
      </c>
      <c r="F343" t="s">
        <v>50</v>
      </c>
      <c r="G343" t="s">
        <v>100</v>
      </c>
      <c r="H343">
        <v>17.61</v>
      </c>
      <c r="I343" t="s">
        <v>52</v>
      </c>
      <c r="J343" t="s">
        <v>114</v>
      </c>
      <c r="K343" t="s">
        <v>54</v>
      </c>
      <c r="L343" t="s">
        <v>102</v>
      </c>
      <c r="O343" t="s">
        <v>103</v>
      </c>
      <c r="P343" t="s">
        <v>104</v>
      </c>
      <c r="Q343">
        <v>48637.82</v>
      </c>
      <c r="R343">
        <v>-17.61</v>
      </c>
      <c r="S343" t="s">
        <v>2895</v>
      </c>
      <c r="T343" t="s">
        <v>2896</v>
      </c>
      <c r="U343" t="s">
        <v>2897</v>
      </c>
    </row>
    <row r="344" spans="1:21">
      <c r="A344" t="s">
        <v>793</v>
      </c>
      <c r="B344" s="7">
        <v>46129</v>
      </c>
      <c r="C344" s="8">
        <v>0.94184027777777779</v>
      </c>
      <c r="D344" t="s">
        <v>17</v>
      </c>
      <c r="E344" t="s">
        <v>2</v>
      </c>
      <c r="F344" t="s">
        <v>50</v>
      </c>
      <c r="G344" t="s">
        <v>100</v>
      </c>
      <c r="H344">
        <v>10.25</v>
      </c>
      <c r="I344" t="s">
        <v>52</v>
      </c>
      <c r="J344" t="s">
        <v>114</v>
      </c>
      <c r="K344" t="s">
        <v>54</v>
      </c>
      <c r="L344" t="s">
        <v>102</v>
      </c>
      <c r="O344" t="s">
        <v>103</v>
      </c>
      <c r="P344" t="s">
        <v>104</v>
      </c>
      <c r="Q344">
        <v>48836.83</v>
      </c>
      <c r="R344">
        <v>-10.25</v>
      </c>
      <c r="S344" t="s">
        <v>2895</v>
      </c>
      <c r="T344" t="s">
        <v>2896</v>
      </c>
      <c r="U344" t="s">
        <v>2897</v>
      </c>
    </row>
    <row r="345" spans="1:21">
      <c r="A345" t="s">
        <v>795</v>
      </c>
      <c r="B345" s="7">
        <v>46130</v>
      </c>
      <c r="C345" s="8">
        <v>0.49570601851851853</v>
      </c>
      <c r="D345" t="s">
        <v>17</v>
      </c>
      <c r="E345" t="s">
        <v>2</v>
      </c>
      <c r="F345" t="s">
        <v>50</v>
      </c>
      <c r="G345" t="s">
        <v>51</v>
      </c>
      <c r="H345">
        <v>36.39</v>
      </c>
      <c r="I345" t="s">
        <v>52</v>
      </c>
      <c r="J345" t="s">
        <v>81</v>
      </c>
      <c r="K345" t="s">
        <v>54</v>
      </c>
      <c r="L345" t="s">
        <v>55</v>
      </c>
      <c r="O345" t="s">
        <v>82</v>
      </c>
      <c r="P345" t="s">
        <v>83</v>
      </c>
      <c r="Q345">
        <v>48521.41</v>
      </c>
      <c r="R345">
        <v>-36.39</v>
      </c>
      <c r="S345" t="s">
        <v>2895</v>
      </c>
      <c r="T345" t="s">
        <v>2896</v>
      </c>
      <c r="U345" t="s">
        <v>2897</v>
      </c>
    </row>
    <row r="346" spans="1:21">
      <c r="A346" t="s">
        <v>797</v>
      </c>
      <c r="B346" s="7">
        <v>46130</v>
      </c>
      <c r="C346" s="8">
        <v>0.53891203703703705</v>
      </c>
      <c r="D346" t="s">
        <v>17</v>
      </c>
      <c r="E346" t="s">
        <v>2</v>
      </c>
      <c r="F346" t="s">
        <v>50</v>
      </c>
      <c r="G346" t="s">
        <v>51</v>
      </c>
      <c r="H346">
        <v>19.8</v>
      </c>
      <c r="I346" t="s">
        <v>52</v>
      </c>
      <c r="J346" t="s">
        <v>196</v>
      </c>
      <c r="K346" t="s">
        <v>54</v>
      </c>
      <c r="L346" t="s">
        <v>55</v>
      </c>
      <c r="O346" t="s">
        <v>197</v>
      </c>
      <c r="P346" t="s">
        <v>198</v>
      </c>
      <c r="Q346">
        <v>48476.09</v>
      </c>
      <c r="R346">
        <v>-19.8</v>
      </c>
      <c r="S346" t="s">
        <v>2895</v>
      </c>
      <c r="T346" t="s">
        <v>2896</v>
      </c>
      <c r="U346" t="s">
        <v>2897</v>
      </c>
    </row>
    <row r="347" spans="1:21">
      <c r="A347" t="s">
        <v>799</v>
      </c>
      <c r="B347" s="7">
        <v>46130</v>
      </c>
      <c r="C347" s="8">
        <v>0.83493055555555551</v>
      </c>
      <c r="D347" t="s">
        <v>17</v>
      </c>
      <c r="E347" t="s">
        <v>2</v>
      </c>
      <c r="F347" t="s">
        <v>50</v>
      </c>
      <c r="G347" t="s">
        <v>51</v>
      </c>
      <c r="H347">
        <v>10.52</v>
      </c>
      <c r="I347" t="s">
        <v>52</v>
      </c>
      <c r="J347" t="s">
        <v>126</v>
      </c>
      <c r="K347" t="s">
        <v>54</v>
      </c>
      <c r="L347" t="s">
        <v>55</v>
      </c>
      <c r="O347" t="s">
        <v>56</v>
      </c>
      <c r="P347" t="s">
        <v>57</v>
      </c>
      <c r="Q347">
        <v>48495.89</v>
      </c>
      <c r="R347">
        <v>-10.52</v>
      </c>
      <c r="S347" t="s">
        <v>2895</v>
      </c>
      <c r="T347" t="s">
        <v>2896</v>
      </c>
      <c r="U347" t="s">
        <v>2897</v>
      </c>
    </row>
    <row r="348" spans="1:21">
      <c r="A348" t="s">
        <v>801</v>
      </c>
      <c r="B348" s="7">
        <v>46130</v>
      </c>
      <c r="C348" s="8">
        <v>0.90290509259259255</v>
      </c>
      <c r="D348" t="s">
        <v>17</v>
      </c>
      <c r="E348" t="s">
        <v>2</v>
      </c>
      <c r="F348" t="s">
        <v>50</v>
      </c>
      <c r="G348" t="s">
        <v>100</v>
      </c>
      <c r="H348">
        <v>15</v>
      </c>
      <c r="I348" t="s">
        <v>52</v>
      </c>
      <c r="J348" t="s">
        <v>101</v>
      </c>
      <c r="K348" t="s">
        <v>54</v>
      </c>
      <c r="L348" t="s">
        <v>102</v>
      </c>
      <c r="O348" t="s">
        <v>103</v>
      </c>
      <c r="P348" t="s">
        <v>104</v>
      </c>
      <c r="Q348">
        <v>48506.41</v>
      </c>
      <c r="R348">
        <v>-15</v>
      </c>
      <c r="S348" t="s">
        <v>2895</v>
      </c>
      <c r="T348" t="s">
        <v>2896</v>
      </c>
      <c r="U348" t="s">
        <v>2897</v>
      </c>
    </row>
    <row r="349" spans="1:21">
      <c r="A349" t="s">
        <v>803</v>
      </c>
      <c r="B349" s="7">
        <v>46130</v>
      </c>
      <c r="C349" s="8">
        <v>0.93462962962962959</v>
      </c>
      <c r="D349" t="s">
        <v>17</v>
      </c>
      <c r="E349" t="s">
        <v>2</v>
      </c>
      <c r="F349" t="s">
        <v>50</v>
      </c>
      <c r="G349" t="s">
        <v>51</v>
      </c>
      <c r="H349">
        <v>56.54</v>
      </c>
      <c r="I349" t="s">
        <v>52</v>
      </c>
      <c r="J349" t="s">
        <v>81</v>
      </c>
      <c r="K349" t="s">
        <v>54</v>
      </c>
      <c r="L349" t="s">
        <v>55</v>
      </c>
      <c r="O349" t="s">
        <v>82</v>
      </c>
      <c r="P349" t="s">
        <v>83</v>
      </c>
      <c r="Q349">
        <v>48419.55</v>
      </c>
      <c r="R349">
        <v>-56.54</v>
      </c>
      <c r="S349" t="s">
        <v>2895</v>
      </c>
      <c r="T349" t="s">
        <v>2896</v>
      </c>
      <c r="U349" t="s">
        <v>2897</v>
      </c>
    </row>
    <row r="350" spans="1:21">
      <c r="A350" t="s">
        <v>805</v>
      </c>
      <c r="B350" s="7">
        <v>46131</v>
      </c>
      <c r="C350" s="8">
        <v>0.33033564814814814</v>
      </c>
      <c r="D350" t="s">
        <v>17</v>
      </c>
      <c r="E350" t="s">
        <v>2</v>
      </c>
      <c r="F350" t="s">
        <v>50</v>
      </c>
      <c r="G350" t="s">
        <v>51</v>
      </c>
      <c r="H350">
        <v>9</v>
      </c>
      <c r="I350" t="s">
        <v>52</v>
      </c>
      <c r="J350" t="s">
        <v>53</v>
      </c>
      <c r="K350" t="s">
        <v>54</v>
      </c>
      <c r="L350" t="s">
        <v>55</v>
      </c>
      <c r="O350" t="s">
        <v>56</v>
      </c>
      <c r="P350" t="s">
        <v>57</v>
      </c>
      <c r="Q350">
        <v>48410.55</v>
      </c>
      <c r="R350">
        <v>-9</v>
      </c>
      <c r="S350" t="s">
        <v>2895</v>
      </c>
      <c r="T350" t="s">
        <v>2896</v>
      </c>
      <c r="U350" t="s">
        <v>2897</v>
      </c>
    </row>
    <row r="351" spans="1:21">
      <c r="A351" t="s">
        <v>807</v>
      </c>
      <c r="B351" s="7">
        <v>46131</v>
      </c>
      <c r="C351" s="8">
        <v>0.36559027777777775</v>
      </c>
      <c r="D351" t="s">
        <v>17</v>
      </c>
      <c r="E351" t="s">
        <v>2</v>
      </c>
      <c r="F351" t="s">
        <v>50</v>
      </c>
      <c r="G351" t="s">
        <v>100</v>
      </c>
      <c r="H351">
        <v>14</v>
      </c>
      <c r="I351" t="s">
        <v>52</v>
      </c>
      <c r="J351" t="s">
        <v>114</v>
      </c>
      <c r="K351" t="s">
        <v>54</v>
      </c>
      <c r="L351" t="s">
        <v>102</v>
      </c>
      <c r="O351" t="s">
        <v>103</v>
      </c>
      <c r="P351" t="s">
        <v>104</v>
      </c>
      <c r="Q351">
        <v>48342.22</v>
      </c>
      <c r="R351">
        <v>-14</v>
      </c>
      <c r="S351" t="s">
        <v>2895</v>
      </c>
      <c r="T351" t="s">
        <v>2896</v>
      </c>
      <c r="U351" t="s">
        <v>2897</v>
      </c>
    </row>
    <row r="352" spans="1:21">
      <c r="A352" t="s">
        <v>809</v>
      </c>
      <c r="B352" s="7">
        <v>46131</v>
      </c>
      <c r="C352" s="8">
        <v>0.48215277777777776</v>
      </c>
      <c r="D352" t="s">
        <v>17</v>
      </c>
      <c r="E352" t="s">
        <v>2</v>
      </c>
      <c r="F352" t="s">
        <v>50</v>
      </c>
      <c r="G352" t="s">
        <v>51</v>
      </c>
      <c r="H352">
        <v>43.53</v>
      </c>
      <c r="I352" t="s">
        <v>52</v>
      </c>
      <c r="J352" t="s">
        <v>60</v>
      </c>
      <c r="K352" t="s">
        <v>54</v>
      </c>
      <c r="L352" t="s">
        <v>55</v>
      </c>
      <c r="O352" t="s">
        <v>61</v>
      </c>
      <c r="P352" t="s">
        <v>62</v>
      </c>
      <c r="Q352">
        <v>48298.69</v>
      </c>
      <c r="R352">
        <v>-43.53</v>
      </c>
      <c r="S352" t="s">
        <v>2895</v>
      </c>
      <c r="T352" t="s">
        <v>2896</v>
      </c>
      <c r="U352" t="s">
        <v>2897</v>
      </c>
    </row>
    <row r="353" spans="1:21">
      <c r="A353" t="s">
        <v>811</v>
      </c>
      <c r="B353" s="7">
        <v>46131</v>
      </c>
      <c r="C353" s="8">
        <v>0.72773148148148148</v>
      </c>
      <c r="D353" t="s">
        <v>17</v>
      </c>
      <c r="E353" t="s">
        <v>2</v>
      </c>
      <c r="F353" t="s">
        <v>50</v>
      </c>
      <c r="G353" t="s">
        <v>51</v>
      </c>
      <c r="H353">
        <v>22.21</v>
      </c>
      <c r="I353" t="s">
        <v>52</v>
      </c>
      <c r="J353" t="s">
        <v>81</v>
      </c>
      <c r="K353" t="s">
        <v>54</v>
      </c>
      <c r="L353" t="s">
        <v>55</v>
      </c>
      <c r="O353" t="s">
        <v>82</v>
      </c>
      <c r="P353" t="s">
        <v>83</v>
      </c>
      <c r="Q353">
        <v>48388.34</v>
      </c>
      <c r="R353">
        <v>-22.21</v>
      </c>
      <c r="S353" t="s">
        <v>2895</v>
      </c>
      <c r="T353" t="s">
        <v>2896</v>
      </c>
      <c r="U353" t="s">
        <v>2897</v>
      </c>
    </row>
    <row r="354" spans="1:21">
      <c r="A354" t="s">
        <v>813</v>
      </c>
      <c r="B354" s="7">
        <v>46131</v>
      </c>
      <c r="C354" s="8">
        <v>0.74989583333333332</v>
      </c>
      <c r="D354" t="s">
        <v>17</v>
      </c>
      <c r="E354" t="s">
        <v>2</v>
      </c>
      <c r="F354" t="s">
        <v>50</v>
      </c>
      <c r="G354" t="s">
        <v>100</v>
      </c>
      <c r="H354">
        <v>15</v>
      </c>
      <c r="I354" t="s">
        <v>52</v>
      </c>
      <c r="J354" t="s">
        <v>101</v>
      </c>
      <c r="K354" t="s">
        <v>54</v>
      </c>
      <c r="L354" t="s">
        <v>102</v>
      </c>
      <c r="O354" t="s">
        <v>103</v>
      </c>
      <c r="P354" t="s">
        <v>104</v>
      </c>
      <c r="Q354">
        <v>48356.22</v>
      </c>
      <c r="R354">
        <v>-15</v>
      </c>
      <c r="S354" t="s">
        <v>2895</v>
      </c>
      <c r="T354" t="s">
        <v>2896</v>
      </c>
      <c r="U354" t="s">
        <v>2897</v>
      </c>
    </row>
    <row r="355" spans="1:21">
      <c r="A355" t="s">
        <v>815</v>
      </c>
      <c r="B355" s="7">
        <v>46131</v>
      </c>
      <c r="C355" s="8">
        <v>0.76471064814814815</v>
      </c>
      <c r="D355" t="s">
        <v>17</v>
      </c>
      <c r="E355" t="s">
        <v>2</v>
      </c>
      <c r="F355" t="s">
        <v>50</v>
      </c>
      <c r="G355" t="s">
        <v>51</v>
      </c>
      <c r="H355">
        <v>17.12</v>
      </c>
      <c r="I355" t="s">
        <v>52</v>
      </c>
      <c r="J355" t="s">
        <v>121</v>
      </c>
      <c r="K355" t="s">
        <v>54</v>
      </c>
      <c r="L355" t="s">
        <v>55</v>
      </c>
      <c r="O355" t="s">
        <v>122</v>
      </c>
      <c r="P355" t="s">
        <v>123</v>
      </c>
      <c r="Q355">
        <v>48371.22</v>
      </c>
      <c r="R355">
        <v>-17.12</v>
      </c>
      <c r="S355" t="s">
        <v>2895</v>
      </c>
      <c r="T355" t="s">
        <v>2896</v>
      </c>
      <c r="U355" t="s">
        <v>2897</v>
      </c>
    </row>
    <row r="356" spans="1:21">
      <c r="A356" t="s">
        <v>817</v>
      </c>
      <c r="B356" s="7">
        <v>46131</v>
      </c>
      <c r="C356" s="8">
        <v>0.86024305555555558</v>
      </c>
      <c r="D356" t="s">
        <v>17</v>
      </c>
      <c r="E356" t="s">
        <v>2</v>
      </c>
      <c r="F356" t="s">
        <v>50</v>
      </c>
      <c r="G356" t="s">
        <v>72</v>
      </c>
      <c r="H356">
        <v>67.3</v>
      </c>
      <c r="I356" t="s">
        <v>52</v>
      </c>
      <c r="J356" t="s">
        <v>150</v>
      </c>
      <c r="K356" t="s">
        <v>54</v>
      </c>
      <c r="L356" t="s">
        <v>74</v>
      </c>
      <c r="O356" t="s">
        <v>75</v>
      </c>
      <c r="P356" t="s">
        <v>76</v>
      </c>
      <c r="Q356">
        <v>48231.39</v>
      </c>
      <c r="R356">
        <v>-67.3</v>
      </c>
      <c r="S356" t="s">
        <v>2895</v>
      </c>
      <c r="T356" t="s">
        <v>2896</v>
      </c>
      <c r="U356" t="s">
        <v>2897</v>
      </c>
    </row>
    <row r="357" spans="1:21">
      <c r="A357" t="s">
        <v>819</v>
      </c>
      <c r="B357" s="7">
        <v>46132</v>
      </c>
      <c r="C357" s="8">
        <v>0.29493055555555553</v>
      </c>
      <c r="D357" t="s">
        <v>17</v>
      </c>
      <c r="E357" t="s">
        <v>2</v>
      </c>
      <c r="F357" t="s">
        <v>50</v>
      </c>
      <c r="G357" t="s">
        <v>51</v>
      </c>
      <c r="H357">
        <v>12.95</v>
      </c>
      <c r="I357" t="s">
        <v>52</v>
      </c>
      <c r="J357" t="s">
        <v>53</v>
      </c>
      <c r="K357" t="s">
        <v>54</v>
      </c>
      <c r="L357" t="s">
        <v>55</v>
      </c>
      <c r="O357" t="s">
        <v>56</v>
      </c>
      <c r="P357" t="s">
        <v>57</v>
      </c>
      <c r="Q357">
        <v>48187.19</v>
      </c>
      <c r="R357">
        <v>-12.95</v>
      </c>
      <c r="S357" t="s">
        <v>2895</v>
      </c>
      <c r="T357" t="s">
        <v>2896</v>
      </c>
      <c r="U357" t="s">
        <v>2897</v>
      </c>
    </row>
    <row r="358" spans="1:21">
      <c r="A358" t="s">
        <v>821</v>
      </c>
      <c r="B358" s="7">
        <v>46132</v>
      </c>
      <c r="C358" s="8">
        <v>0.31815972222222222</v>
      </c>
      <c r="D358" t="s">
        <v>17</v>
      </c>
      <c r="E358" t="s">
        <v>2</v>
      </c>
      <c r="F358" t="s">
        <v>50</v>
      </c>
      <c r="G358" t="s">
        <v>51</v>
      </c>
      <c r="H358">
        <v>26.83</v>
      </c>
      <c r="I358" t="s">
        <v>52</v>
      </c>
      <c r="J358" t="s">
        <v>81</v>
      </c>
      <c r="K358" t="s">
        <v>54</v>
      </c>
      <c r="L358" t="s">
        <v>55</v>
      </c>
      <c r="O358" t="s">
        <v>82</v>
      </c>
      <c r="P358" t="s">
        <v>83</v>
      </c>
      <c r="Q358">
        <v>48135.46</v>
      </c>
      <c r="R358">
        <v>-26.83</v>
      </c>
      <c r="S358" t="s">
        <v>2895</v>
      </c>
      <c r="T358" t="s">
        <v>2896</v>
      </c>
      <c r="U358" t="s">
        <v>2897</v>
      </c>
    </row>
    <row r="359" spans="1:21">
      <c r="A359" t="s">
        <v>823</v>
      </c>
      <c r="B359" s="7">
        <v>46132</v>
      </c>
      <c r="C359" s="8">
        <v>0.34431712962962963</v>
      </c>
      <c r="D359" t="s">
        <v>17</v>
      </c>
      <c r="E359" t="s">
        <v>2</v>
      </c>
      <c r="F359" t="s">
        <v>50</v>
      </c>
      <c r="G359" t="s">
        <v>100</v>
      </c>
      <c r="H359">
        <v>15</v>
      </c>
      <c r="I359" t="s">
        <v>52</v>
      </c>
      <c r="J359" t="s">
        <v>101</v>
      </c>
      <c r="K359" t="s">
        <v>54</v>
      </c>
      <c r="L359" t="s">
        <v>102</v>
      </c>
      <c r="O359" t="s">
        <v>103</v>
      </c>
      <c r="P359" t="s">
        <v>104</v>
      </c>
      <c r="Q359">
        <v>48162.29</v>
      </c>
      <c r="R359">
        <v>-15</v>
      </c>
      <c r="S359" t="s">
        <v>2895</v>
      </c>
      <c r="T359" t="s">
        <v>2896</v>
      </c>
      <c r="U359" t="s">
        <v>2897</v>
      </c>
    </row>
    <row r="360" spans="1:21">
      <c r="A360" t="s">
        <v>825</v>
      </c>
      <c r="B360" s="7">
        <v>46132</v>
      </c>
      <c r="C360" s="8">
        <v>0.45913194444444444</v>
      </c>
      <c r="D360" t="s">
        <v>17</v>
      </c>
      <c r="E360" t="s">
        <v>2</v>
      </c>
      <c r="F360" t="s">
        <v>50</v>
      </c>
      <c r="G360" t="s">
        <v>51</v>
      </c>
      <c r="H360">
        <v>9.9</v>
      </c>
      <c r="I360" t="s">
        <v>52</v>
      </c>
      <c r="J360" t="s">
        <v>121</v>
      </c>
      <c r="K360" t="s">
        <v>54</v>
      </c>
      <c r="L360" t="s">
        <v>55</v>
      </c>
      <c r="O360" t="s">
        <v>122</v>
      </c>
      <c r="P360" t="s">
        <v>123</v>
      </c>
      <c r="Q360">
        <v>48177.29</v>
      </c>
      <c r="R360">
        <v>-9.9</v>
      </c>
      <c r="S360" t="s">
        <v>2895</v>
      </c>
      <c r="T360" t="s">
        <v>2896</v>
      </c>
      <c r="U360" t="s">
        <v>2897</v>
      </c>
    </row>
    <row r="361" spans="1:21">
      <c r="A361" t="s">
        <v>827</v>
      </c>
      <c r="B361" s="7">
        <v>46132</v>
      </c>
      <c r="C361" s="8">
        <v>0.54653935185185187</v>
      </c>
      <c r="D361" t="s">
        <v>17</v>
      </c>
      <c r="E361" t="s">
        <v>2</v>
      </c>
      <c r="F361" t="s">
        <v>50</v>
      </c>
      <c r="G361" t="s">
        <v>51</v>
      </c>
      <c r="H361">
        <v>41.78</v>
      </c>
      <c r="I361" t="s">
        <v>52</v>
      </c>
      <c r="J361" t="s">
        <v>81</v>
      </c>
      <c r="K361" t="s">
        <v>54</v>
      </c>
      <c r="L361" t="s">
        <v>55</v>
      </c>
      <c r="O361" t="s">
        <v>82</v>
      </c>
      <c r="P361" t="s">
        <v>83</v>
      </c>
      <c r="Q361">
        <v>48027.98</v>
      </c>
      <c r="R361">
        <v>-41.78</v>
      </c>
      <c r="S361" t="s">
        <v>2895</v>
      </c>
      <c r="T361" t="s">
        <v>2896</v>
      </c>
      <c r="U361" t="s">
        <v>2897</v>
      </c>
    </row>
    <row r="362" spans="1:21">
      <c r="A362" t="s">
        <v>829</v>
      </c>
      <c r="B362" s="7">
        <v>46132</v>
      </c>
      <c r="C362" s="8">
        <v>0.72833333333333339</v>
      </c>
      <c r="D362" t="s">
        <v>17</v>
      </c>
      <c r="E362" t="s">
        <v>2</v>
      </c>
      <c r="F362" t="s">
        <v>50</v>
      </c>
      <c r="G362" t="s">
        <v>100</v>
      </c>
      <c r="H362">
        <v>15</v>
      </c>
      <c r="I362" t="s">
        <v>52</v>
      </c>
      <c r="J362" t="s">
        <v>101</v>
      </c>
      <c r="K362" t="s">
        <v>54</v>
      </c>
      <c r="L362" t="s">
        <v>102</v>
      </c>
      <c r="O362" t="s">
        <v>103</v>
      </c>
      <c r="P362" t="s">
        <v>104</v>
      </c>
      <c r="Q362">
        <v>48120.46</v>
      </c>
      <c r="R362">
        <v>-15</v>
      </c>
      <c r="S362" t="s">
        <v>2895</v>
      </c>
      <c r="T362" t="s">
        <v>2896</v>
      </c>
      <c r="U362" t="s">
        <v>2897</v>
      </c>
    </row>
    <row r="363" spans="1:21">
      <c r="A363" t="s">
        <v>831</v>
      </c>
      <c r="B363" s="7">
        <v>46132</v>
      </c>
      <c r="C363" s="8">
        <v>0.73572916666666666</v>
      </c>
      <c r="D363" t="s">
        <v>17</v>
      </c>
      <c r="E363" t="s">
        <v>2</v>
      </c>
      <c r="F363" t="s">
        <v>50</v>
      </c>
      <c r="G363" t="s">
        <v>51</v>
      </c>
      <c r="H363">
        <v>31.25</v>
      </c>
      <c r="I363" t="s">
        <v>52</v>
      </c>
      <c r="J363" t="s">
        <v>81</v>
      </c>
      <c r="K363" t="s">
        <v>54</v>
      </c>
      <c r="L363" t="s">
        <v>55</v>
      </c>
      <c r="O363" t="s">
        <v>82</v>
      </c>
      <c r="P363" t="s">
        <v>83</v>
      </c>
      <c r="Q363">
        <v>48200.14</v>
      </c>
      <c r="R363">
        <v>-31.25</v>
      </c>
      <c r="S363" t="s">
        <v>2895</v>
      </c>
      <c r="T363" t="s">
        <v>2896</v>
      </c>
      <c r="U363" t="s">
        <v>2897</v>
      </c>
    </row>
    <row r="364" spans="1:21">
      <c r="A364" t="s">
        <v>833</v>
      </c>
      <c r="B364" s="7">
        <v>46132</v>
      </c>
      <c r="C364" s="8">
        <v>0.93292824074074077</v>
      </c>
      <c r="D364" t="s">
        <v>17</v>
      </c>
      <c r="E364" t="s">
        <v>2</v>
      </c>
      <c r="F364" t="s">
        <v>50</v>
      </c>
      <c r="G364" t="s">
        <v>51</v>
      </c>
      <c r="H364">
        <v>50.7</v>
      </c>
      <c r="I364" t="s">
        <v>52</v>
      </c>
      <c r="J364" t="s">
        <v>60</v>
      </c>
      <c r="K364" t="s">
        <v>54</v>
      </c>
      <c r="L364" t="s">
        <v>55</v>
      </c>
      <c r="O364" t="s">
        <v>61</v>
      </c>
      <c r="P364" t="s">
        <v>62</v>
      </c>
      <c r="Q364">
        <v>48069.760000000002</v>
      </c>
      <c r="R364">
        <v>-50.7</v>
      </c>
      <c r="S364" t="s">
        <v>2895</v>
      </c>
      <c r="T364" t="s">
        <v>2896</v>
      </c>
      <c r="U364" t="s">
        <v>2897</v>
      </c>
    </row>
    <row r="365" spans="1:21">
      <c r="A365" t="s">
        <v>835</v>
      </c>
      <c r="B365" s="7">
        <v>46133</v>
      </c>
      <c r="C365" s="8">
        <v>0.35803240740740738</v>
      </c>
      <c r="D365" t="s">
        <v>17</v>
      </c>
      <c r="E365" t="s">
        <v>2</v>
      </c>
      <c r="F365" t="s">
        <v>50</v>
      </c>
      <c r="G365" t="s">
        <v>51</v>
      </c>
      <c r="H365">
        <v>42.73</v>
      </c>
      <c r="I365" t="s">
        <v>52</v>
      </c>
      <c r="J365" t="s">
        <v>81</v>
      </c>
      <c r="K365" t="s">
        <v>54</v>
      </c>
      <c r="L365" t="s">
        <v>55</v>
      </c>
      <c r="O365" t="s">
        <v>82</v>
      </c>
      <c r="P365" t="s">
        <v>83</v>
      </c>
      <c r="Q365">
        <v>47754.13</v>
      </c>
      <c r="R365">
        <v>-42.73</v>
      </c>
      <c r="S365" t="s">
        <v>2895</v>
      </c>
      <c r="T365" t="s">
        <v>2896</v>
      </c>
      <c r="U365" t="s">
        <v>2897</v>
      </c>
    </row>
    <row r="366" spans="1:21">
      <c r="A366" t="s">
        <v>837</v>
      </c>
      <c r="B366" s="7">
        <v>46133</v>
      </c>
      <c r="C366" s="8">
        <v>0.44439814814814815</v>
      </c>
      <c r="D366" t="s">
        <v>17</v>
      </c>
      <c r="E366" t="s">
        <v>2</v>
      </c>
      <c r="F366" t="s">
        <v>149</v>
      </c>
      <c r="G366" t="s">
        <v>72</v>
      </c>
      <c r="H366">
        <v>94.78</v>
      </c>
      <c r="I366" t="s">
        <v>52</v>
      </c>
      <c r="J366" t="s">
        <v>606</v>
      </c>
      <c r="K366" t="s">
        <v>54</v>
      </c>
      <c r="L366" t="s">
        <v>74</v>
      </c>
      <c r="O366" t="s">
        <v>75</v>
      </c>
      <c r="P366" t="s">
        <v>76</v>
      </c>
      <c r="Q366">
        <v>47639.69</v>
      </c>
      <c r="R366">
        <v>94.78</v>
      </c>
      <c r="S366" t="s">
        <v>2895</v>
      </c>
      <c r="T366" t="s">
        <v>2896</v>
      </c>
      <c r="U366" t="s">
        <v>2897</v>
      </c>
    </row>
    <row r="367" spans="1:21">
      <c r="A367" t="s">
        <v>839</v>
      </c>
      <c r="B367" s="7">
        <v>46133</v>
      </c>
      <c r="C367" s="8">
        <v>0.45421296296296299</v>
      </c>
      <c r="D367" t="s">
        <v>17</v>
      </c>
      <c r="E367" t="s">
        <v>2</v>
      </c>
      <c r="F367" t="s">
        <v>50</v>
      </c>
      <c r="G367" t="s">
        <v>100</v>
      </c>
      <c r="H367">
        <v>15</v>
      </c>
      <c r="I367" t="s">
        <v>52</v>
      </c>
      <c r="J367" t="s">
        <v>101</v>
      </c>
      <c r="K367" t="s">
        <v>54</v>
      </c>
      <c r="L367" t="s">
        <v>102</v>
      </c>
      <c r="O367" t="s">
        <v>103</v>
      </c>
      <c r="P367" t="s">
        <v>104</v>
      </c>
      <c r="Q367">
        <v>47811.86</v>
      </c>
      <c r="R367">
        <v>-15</v>
      </c>
      <c r="S367" t="s">
        <v>2895</v>
      </c>
      <c r="T367" t="s">
        <v>2896</v>
      </c>
      <c r="U367" t="s">
        <v>2897</v>
      </c>
    </row>
    <row r="368" spans="1:21">
      <c r="A368" t="s">
        <v>841</v>
      </c>
      <c r="B368" s="7">
        <v>46133</v>
      </c>
      <c r="C368" s="8">
        <v>0.49010416666666667</v>
      </c>
      <c r="D368" t="s">
        <v>17</v>
      </c>
      <c r="E368" t="s">
        <v>2</v>
      </c>
      <c r="F368" t="s">
        <v>50</v>
      </c>
      <c r="G368" t="s">
        <v>51</v>
      </c>
      <c r="H368">
        <v>16.48</v>
      </c>
      <c r="I368" t="s">
        <v>52</v>
      </c>
      <c r="J368" t="s">
        <v>53</v>
      </c>
      <c r="K368" t="s">
        <v>54</v>
      </c>
      <c r="L368" t="s">
        <v>55</v>
      </c>
      <c r="O368" t="s">
        <v>56</v>
      </c>
      <c r="P368" t="s">
        <v>57</v>
      </c>
      <c r="Q368">
        <v>47737.65</v>
      </c>
      <c r="R368">
        <v>-16.48</v>
      </c>
      <c r="S368" t="s">
        <v>2895</v>
      </c>
      <c r="T368" t="s">
        <v>2896</v>
      </c>
      <c r="U368" t="s">
        <v>2897</v>
      </c>
    </row>
    <row r="369" spans="1:21">
      <c r="A369" t="s">
        <v>843</v>
      </c>
      <c r="B369" s="7">
        <v>46133</v>
      </c>
      <c r="C369" s="8">
        <v>0.57674768518518515</v>
      </c>
      <c r="D369" t="s">
        <v>17</v>
      </c>
      <c r="E369" t="s">
        <v>2</v>
      </c>
      <c r="F369" t="s">
        <v>50</v>
      </c>
      <c r="G369" t="s">
        <v>51</v>
      </c>
      <c r="H369">
        <v>152.99</v>
      </c>
      <c r="I369" t="s">
        <v>52</v>
      </c>
      <c r="J369" t="s">
        <v>196</v>
      </c>
      <c r="K369" t="s">
        <v>54</v>
      </c>
      <c r="L369" t="s">
        <v>55</v>
      </c>
      <c r="O369" t="s">
        <v>197</v>
      </c>
      <c r="P369" t="s">
        <v>198</v>
      </c>
      <c r="Q369">
        <v>47544.91</v>
      </c>
      <c r="R369">
        <v>-152.99</v>
      </c>
      <c r="S369" t="s">
        <v>2895</v>
      </c>
      <c r="T369" t="s">
        <v>2896</v>
      </c>
      <c r="U369" t="s">
        <v>2897</v>
      </c>
    </row>
    <row r="370" spans="1:21">
      <c r="A370" t="s">
        <v>845</v>
      </c>
      <c r="B370" s="7">
        <v>46133</v>
      </c>
      <c r="C370" s="8">
        <v>0.58386574074074071</v>
      </c>
      <c r="D370" t="s">
        <v>17</v>
      </c>
      <c r="E370" t="s">
        <v>2</v>
      </c>
      <c r="F370" t="s">
        <v>50</v>
      </c>
      <c r="G370" t="s">
        <v>100</v>
      </c>
      <c r="H370">
        <v>89.99</v>
      </c>
      <c r="I370" t="s">
        <v>52</v>
      </c>
      <c r="J370" t="s">
        <v>384</v>
      </c>
      <c r="K370" t="s">
        <v>54</v>
      </c>
      <c r="L370" t="s">
        <v>102</v>
      </c>
      <c r="O370" t="s">
        <v>178</v>
      </c>
      <c r="P370" t="s">
        <v>385</v>
      </c>
      <c r="Q370">
        <v>46709.69</v>
      </c>
      <c r="R370">
        <v>-89.99</v>
      </c>
      <c r="S370" t="s">
        <v>2895</v>
      </c>
      <c r="T370" t="s">
        <v>2896</v>
      </c>
      <c r="U370" t="s">
        <v>2897</v>
      </c>
    </row>
    <row r="371" spans="1:21">
      <c r="A371" t="s">
        <v>847</v>
      </c>
      <c r="B371" s="7">
        <v>46133</v>
      </c>
      <c r="C371" s="8">
        <v>0.61490740740740746</v>
      </c>
      <c r="D371" t="s">
        <v>17</v>
      </c>
      <c r="E371" t="s">
        <v>2</v>
      </c>
      <c r="F371" t="s">
        <v>50</v>
      </c>
      <c r="G371" t="s">
        <v>100</v>
      </c>
      <c r="H371">
        <v>11.77</v>
      </c>
      <c r="I371" t="s">
        <v>52</v>
      </c>
      <c r="J371" t="s">
        <v>114</v>
      </c>
      <c r="K371" t="s">
        <v>54</v>
      </c>
      <c r="L371" t="s">
        <v>102</v>
      </c>
      <c r="O371" t="s">
        <v>103</v>
      </c>
      <c r="P371" t="s">
        <v>104</v>
      </c>
      <c r="Q371">
        <v>48016.21</v>
      </c>
      <c r="R371">
        <v>-11.77</v>
      </c>
      <c r="S371" t="s">
        <v>2895</v>
      </c>
      <c r="T371" t="s">
        <v>2896</v>
      </c>
      <c r="U371" t="s">
        <v>2897</v>
      </c>
    </row>
    <row r="372" spans="1:21">
      <c r="A372" t="s">
        <v>849</v>
      </c>
      <c r="B372" s="7">
        <v>46133</v>
      </c>
      <c r="C372" s="8">
        <v>0.65622685185185181</v>
      </c>
      <c r="D372" t="s">
        <v>17</v>
      </c>
      <c r="E372" t="s">
        <v>2</v>
      </c>
      <c r="F372" t="s">
        <v>50</v>
      </c>
      <c r="G372" t="s">
        <v>51</v>
      </c>
      <c r="H372">
        <v>189.35</v>
      </c>
      <c r="I372" t="s">
        <v>52</v>
      </c>
      <c r="J372" t="s">
        <v>196</v>
      </c>
      <c r="K372" t="s">
        <v>54</v>
      </c>
      <c r="L372" t="s">
        <v>55</v>
      </c>
      <c r="O372" t="s">
        <v>197</v>
      </c>
      <c r="P372" t="s">
        <v>198</v>
      </c>
      <c r="Q372">
        <v>47826.86</v>
      </c>
      <c r="R372">
        <v>-189.35</v>
      </c>
      <c r="S372" t="s">
        <v>2895</v>
      </c>
      <c r="T372" t="s">
        <v>2896</v>
      </c>
      <c r="U372" t="s">
        <v>2897</v>
      </c>
    </row>
    <row r="373" spans="1:21">
      <c r="A373" t="s">
        <v>851</v>
      </c>
      <c r="B373" s="7">
        <v>46133</v>
      </c>
      <c r="C373" s="8">
        <v>0.78178240740740745</v>
      </c>
      <c r="D373" t="s">
        <v>17</v>
      </c>
      <c r="E373" t="s">
        <v>2</v>
      </c>
      <c r="F373" t="s">
        <v>50</v>
      </c>
      <c r="G373" t="s">
        <v>88</v>
      </c>
      <c r="H373">
        <v>80</v>
      </c>
      <c r="I373" t="s">
        <v>52</v>
      </c>
      <c r="J373" t="s">
        <v>89</v>
      </c>
      <c r="K373" t="s">
        <v>54</v>
      </c>
      <c r="L373" t="s">
        <v>90</v>
      </c>
      <c r="M373" t="s">
        <v>91</v>
      </c>
      <c r="N373" t="s">
        <v>12</v>
      </c>
      <c r="O373" t="s">
        <v>92</v>
      </c>
      <c r="P373" t="s">
        <v>93</v>
      </c>
      <c r="Q373">
        <v>47559.69</v>
      </c>
      <c r="R373">
        <v>-80</v>
      </c>
      <c r="S373" t="s">
        <v>2895</v>
      </c>
      <c r="T373" t="s">
        <v>2896</v>
      </c>
      <c r="U373" t="s">
        <v>2897</v>
      </c>
    </row>
    <row r="374" spans="1:21">
      <c r="A374" t="s">
        <v>853</v>
      </c>
      <c r="B374" s="7">
        <v>46133</v>
      </c>
      <c r="C374" s="8">
        <v>0.83739583333333334</v>
      </c>
      <c r="D374" t="s">
        <v>17</v>
      </c>
      <c r="E374" t="s">
        <v>2</v>
      </c>
      <c r="F374" t="s">
        <v>50</v>
      </c>
      <c r="G374" t="s">
        <v>100</v>
      </c>
      <c r="H374">
        <v>15</v>
      </c>
      <c r="I374" t="s">
        <v>52</v>
      </c>
      <c r="J374" t="s">
        <v>101</v>
      </c>
      <c r="K374" t="s">
        <v>54</v>
      </c>
      <c r="L374" t="s">
        <v>102</v>
      </c>
      <c r="O374" t="s">
        <v>103</v>
      </c>
      <c r="P374" t="s">
        <v>104</v>
      </c>
      <c r="Q374">
        <v>47796.86</v>
      </c>
      <c r="R374">
        <v>-15</v>
      </c>
      <c r="S374" t="s">
        <v>2895</v>
      </c>
      <c r="T374" t="s">
        <v>2896</v>
      </c>
      <c r="U374" t="s">
        <v>2897</v>
      </c>
    </row>
    <row r="375" spans="1:21">
      <c r="A375" t="s">
        <v>855</v>
      </c>
      <c r="B375" s="7">
        <v>46133</v>
      </c>
      <c r="C375" s="8">
        <v>0.92646990740740742</v>
      </c>
      <c r="D375" t="s">
        <v>17</v>
      </c>
      <c r="E375" t="s">
        <v>2</v>
      </c>
      <c r="F375" t="s">
        <v>50</v>
      </c>
      <c r="G375" t="s">
        <v>51</v>
      </c>
      <c r="H375">
        <v>39.75</v>
      </c>
      <c r="I375" t="s">
        <v>52</v>
      </c>
      <c r="J375" t="s">
        <v>126</v>
      </c>
      <c r="K375" t="s">
        <v>54</v>
      </c>
      <c r="L375" t="s">
        <v>55</v>
      </c>
      <c r="O375" t="s">
        <v>56</v>
      </c>
      <c r="P375" t="s">
        <v>57</v>
      </c>
      <c r="Q375">
        <v>47697.9</v>
      </c>
      <c r="R375">
        <v>-39.75</v>
      </c>
      <c r="S375" t="s">
        <v>2895</v>
      </c>
      <c r="T375" t="s">
        <v>2896</v>
      </c>
      <c r="U375" t="s">
        <v>2897</v>
      </c>
    </row>
    <row r="376" spans="1:21">
      <c r="A376" t="s">
        <v>857</v>
      </c>
      <c r="B376" s="7">
        <v>46134</v>
      </c>
      <c r="C376" s="8">
        <v>0.32855324074074072</v>
      </c>
      <c r="D376" t="s">
        <v>17</v>
      </c>
      <c r="E376" t="s">
        <v>2</v>
      </c>
      <c r="F376" t="s">
        <v>50</v>
      </c>
      <c r="G376" t="s">
        <v>51</v>
      </c>
      <c r="H376">
        <v>12.55</v>
      </c>
      <c r="I376" t="s">
        <v>52</v>
      </c>
      <c r="J376" t="s">
        <v>121</v>
      </c>
      <c r="K376" t="s">
        <v>54</v>
      </c>
      <c r="L376" t="s">
        <v>55</v>
      </c>
      <c r="O376" t="s">
        <v>122</v>
      </c>
      <c r="P376" t="s">
        <v>123</v>
      </c>
      <c r="Q376">
        <v>47468.11</v>
      </c>
      <c r="R376">
        <v>-12.55</v>
      </c>
      <c r="S376" t="s">
        <v>2895</v>
      </c>
      <c r="T376" t="s">
        <v>2896</v>
      </c>
      <c r="U376" t="s">
        <v>2897</v>
      </c>
    </row>
    <row r="377" spans="1:21">
      <c r="A377" t="s">
        <v>859</v>
      </c>
      <c r="B377" s="7">
        <v>46134</v>
      </c>
      <c r="C377" s="8">
        <v>0.42409722222222224</v>
      </c>
      <c r="D377" t="s">
        <v>17</v>
      </c>
      <c r="E377" t="s">
        <v>2</v>
      </c>
      <c r="F377" t="s">
        <v>50</v>
      </c>
      <c r="G377" t="s">
        <v>72</v>
      </c>
      <c r="H377">
        <v>122.56</v>
      </c>
      <c r="I377" t="s">
        <v>52</v>
      </c>
      <c r="J377" t="s">
        <v>606</v>
      </c>
      <c r="K377" t="s">
        <v>54</v>
      </c>
      <c r="L377" t="s">
        <v>74</v>
      </c>
      <c r="O377" t="s">
        <v>75</v>
      </c>
      <c r="P377" t="s">
        <v>76</v>
      </c>
      <c r="Q377">
        <v>47225.13</v>
      </c>
      <c r="R377">
        <v>-122.56</v>
      </c>
      <c r="S377" t="s">
        <v>2895</v>
      </c>
      <c r="T377" t="s">
        <v>2896</v>
      </c>
      <c r="U377" t="s">
        <v>2897</v>
      </c>
    </row>
    <row r="378" spans="1:21">
      <c r="A378" t="s">
        <v>861</v>
      </c>
      <c r="B378" s="7">
        <v>46134</v>
      </c>
      <c r="C378" s="8">
        <v>0.46550925925925923</v>
      </c>
      <c r="D378" t="s">
        <v>17</v>
      </c>
      <c r="E378" t="s">
        <v>2</v>
      </c>
      <c r="F378" t="s">
        <v>50</v>
      </c>
      <c r="G378" t="s">
        <v>100</v>
      </c>
      <c r="H378">
        <v>12.3</v>
      </c>
      <c r="I378" t="s">
        <v>52</v>
      </c>
      <c r="J378" t="s">
        <v>114</v>
      </c>
      <c r="K378" t="s">
        <v>54</v>
      </c>
      <c r="L378" t="s">
        <v>102</v>
      </c>
      <c r="O378" t="s">
        <v>103</v>
      </c>
      <c r="P378" t="s">
        <v>104</v>
      </c>
      <c r="Q378">
        <v>47455.81</v>
      </c>
      <c r="R378">
        <v>-12.3</v>
      </c>
      <c r="S378" t="s">
        <v>2895</v>
      </c>
      <c r="T378" t="s">
        <v>2896</v>
      </c>
      <c r="U378" t="s">
        <v>2897</v>
      </c>
    </row>
    <row r="379" spans="1:21">
      <c r="A379" t="s">
        <v>863</v>
      </c>
      <c r="B379" s="7">
        <v>46134</v>
      </c>
      <c r="C379" s="8">
        <v>0.49245370370370373</v>
      </c>
      <c r="D379" t="s">
        <v>17</v>
      </c>
      <c r="E379" t="s">
        <v>2</v>
      </c>
      <c r="F379" t="s">
        <v>50</v>
      </c>
      <c r="G379" t="s">
        <v>100</v>
      </c>
      <c r="H379">
        <v>19.600000000000001</v>
      </c>
      <c r="I379" t="s">
        <v>52</v>
      </c>
      <c r="J379" t="s">
        <v>114</v>
      </c>
      <c r="K379" t="s">
        <v>54</v>
      </c>
      <c r="L379" t="s">
        <v>102</v>
      </c>
      <c r="O379" t="s">
        <v>103</v>
      </c>
      <c r="P379" t="s">
        <v>104</v>
      </c>
      <c r="Q379">
        <v>47480.66</v>
      </c>
      <c r="R379">
        <v>-19.600000000000001</v>
      </c>
      <c r="S379" t="s">
        <v>2895</v>
      </c>
      <c r="T379" t="s">
        <v>2896</v>
      </c>
      <c r="U379" t="s">
        <v>2897</v>
      </c>
    </row>
    <row r="380" spans="1:21">
      <c r="A380" t="s">
        <v>865</v>
      </c>
      <c r="B380" s="7">
        <v>46134</v>
      </c>
      <c r="C380" s="8">
        <v>0.5893518518518519</v>
      </c>
      <c r="D380" t="s">
        <v>17</v>
      </c>
      <c r="E380" t="s">
        <v>2</v>
      </c>
      <c r="F380" t="s">
        <v>50</v>
      </c>
      <c r="G380" t="s">
        <v>51</v>
      </c>
      <c r="H380">
        <v>34.53</v>
      </c>
      <c r="I380" t="s">
        <v>52</v>
      </c>
      <c r="J380" t="s">
        <v>60</v>
      </c>
      <c r="K380" t="s">
        <v>54</v>
      </c>
      <c r="L380" t="s">
        <v>55</v>
      </c>
      <c r="O380" t="s">
        <v>61</v>
      </c>
      <c r="P380" t="s">
        <v>62</v>
      </c>
      <c r="Q380">
        <v>47347.69</v>
      </c>
      <c r="R380">
        <v>-34.53</v>
      </c>
      <c r="S380" t="s">
        <v>2895</v>
      </c>
      <c r="T380" t="s">
        <v>2896</v>
      </c>
      <c r="U380" t="s">
        <v>2897</v>
      </c>
    </row>
    <row r="381" spans="1:21">
      <c r="A381" t="s">
        <v>867</v>
      </c>
      <c r="B381" s="7">
        <v>46134</v>
      </c>
      <c r="C381" s="8">
        <v>0.69518518518518524</v>
      </c>
      <c r="D381" t="s">
        <v>17</v>
      </c>
      <c r="E381" t="s">
        <v>2</v>
      </c>
      <c r="F381" t="s">
        <v>50</v>
      </c>
      <c r="G381" t="s">
        <v>51</v>
      </c>
      <c r="H381">
        <v>28.27</v>
      </c>
      <c r="I381" t="s">
        <v>52</v>
      </c>
      <c r="J381" t="s">
        <v>60</v>
      </c>
      <c r="K381" t="s">
        <v>54</v>
      </c>
      <c r="L381" t="s">
        <v>55</v>
      </c>
      <c r="O381" t="s">
        <v>61</v>
      </c>
      <c r="P381" t="s">
        <v>62</v>
      </c>
      <c r="Q381">
        <v>47515.26</v>
      </c>
      <c r="R381">
        <v>-28.27</v>
      </c>
      <c r="S381" t="s">
        <v>2895</v>
      </c>
      <c r="T381" t="s">
        <v>2896</v>
      </c>
      <c r="U381" t="s">
        <v>2897</v>
      </c>
    </row>
    <row r="382" spans="1:21">
      <c r="A382" t="s">
        <v>869</v>
      </c>
      <c r="B382" s="7">
        <v>46134</v>
      </c>
      <c r="C382" s="8">
        <v>0.82819444444444446</v>
      </c>
      <c r="D382" t="s">
        <v>17</v>
      </c>
      <c r="E382" t="s">
        <v>2</v>
      </c>
      <c r="F382" t="s">
        <v>50</v>
      </c>
      <c r="G382" t="s">
        <v>100</v>
      </c>
      <c r="H382">
        <v>16.16</v>
      </c>
      <c r="I382" t="s">
        <v>52</v>
      </c>
      <c r="J382" t="s">
        <v>114</v>
      </c>
      <c r="K382" t="s">
        <v>54</v>
      </c>
      <c r="L382" t="s">
        <v>102</v>
      </c>
      <c r="O382" t="s">
        <v>103</v>
      </c>
      <c r="P382" t="s">
        <v>104</v>
      </c>
      <c r="Q382">
        <v>47543.53</v>
      </c>
      <c r="R382">
        <v>-16.16</v>
      </c>
      <c r="S382" t="s">
        <v>2895</v>
      </c>
      <c r="T382" t="s">
        <v>2896</v>
      </c>
      <c r="U382" t="s">
        <v>2897</v>
      </c>
    </row>
    <row r="383" spans="1:21">
      <c r="A383" t="s">
        <v>871</v>
      </c>
      <c r="B383" s="7">
        <v>46134</v>
      </c>
      <c r="C383" s="8">
        <v>0.932037037037037</v>
      </c>
      <c r="D383" t="s">
        <v>17</v>
      </c>
      <c r="E383" t="s">
        <v>2</v>
      </c>
      <c r="F383" t="s">
        <v>50</v>
      </c>
      <c r="G383" t="s">
        <v>100</v>
      </c>
      <c r="H383">
        <v>15</v>
      </c>
      <c r="I383" t="s">
        <v>52</v>
      </c>
      <c r="J383" t="s">
        <v>101</v>
      </c>
      <c r="K383" t="s">
        <v>54</v>
      </c>
      <c r="L383" t="s">
        <v>102</v>
      </c>
      <c r="O383" t="s">
        <v>103</v>
      </c>
      <c r="P383" t="s">
        <v>104</v>
      </c>
      <c r="Q383">
        <v>47500.26</v>
      </c>
      <c r="R383">
        <v>-15</v>
      </c>
      <c r="S383" t="s">
        <v>2895</v>
      </c>
      <c r="T383" t="s">
        <v>2896</v>
      </c>
      <c r="U383" t="s">
        <v>2897</v>
      </c>
    </row>
    <row r="384" spans="1:21">
      <c r="A384" t="s">
        <v>873</v>
      </c>
      <c r="B384" s="7">
        <v>46134</v>
      </c>
      <c r="C384" s="8">
        <v>0.9564583333333333</v>
      </c>
      <c r="D384" t="s">
        <v>17</v>
      </c>
      <c r="E384" t="s">
        <v>2</v>
      </c>
      <c r="F384" t="s">
        <v>50</v>
      </c>
      <c r="G384" t="s">
        <v>51</v>
      </c>
      <c r="H384">
        <v>73.59</v>
      </c>
      <c r="I384" t="s">
        <v>52</v>
      </c>
      <c r="J384" t="s">
        <v>196</v>
      </c>
      <c r="K384" t="s">
        <v>54</v>
      </c>
      <c r="L384" t="s">
        <v>55</v>
      </c>
      <c r="O384" t="s">
        <v>197</v>
      </c>
      <c r="P384" t="s">
        <v>198</v>
      </c>
      <c r="Q384">
        <v>47382.22</v>
      </c>
      <c r="R384">
        <v>-73.59</v>
      </c>
      <c r="S384" t="s">
        <v>2895</v>
      </c>
      <c r="T384" t="s">
        <v>2896</v>
      </c>
      <c r="U384" t="s">
        <v>2897</v>
      </c>
    </row>
    <row r="385" spans="1:21">
      <c r="A385" t="s">
        <v>875</v>
      </c>
      <c r="B385" s="7">
        <v>46135</v>
      </c>
      <c r="C385" s="8">
        <v>0.25349537037037034</v>
      </c>
      <c r="D385" t="s">
        <v>17</v>
      </c>
      <c r="E385" t="s">
        <v>2</v>
      </c>
      <c r="F385" t="s">
        <v>50</v>
      </c>
      <c r="G385" t="s">
        <v>51</v>
      </c>
      <c r="H385">
        <v>122.81</v>
      </c>
      <c r="I385" t="s">
        <v>52</v>
      </c>
      <c r="J385" t="s">
        <v>65</v>
      </c>
      <c r="K385" t="s">
        <v>54</v>
      </c>
      <c r="L385" t="s">
        <v>55</v>
      </c>
      <c r="O385" t="s">
        <v>66</v>
      </c>
      <c r="P385" t="s">
        <v>67</v>
      </c>
      <c r="Q385">
        <v>47102.32</v>
      </c>
      <c r="R385">
        <v>-122.81</v>
      </c>
      <c r="S385" t="s">
        <v>2895</v>
      </c>
      <c r="T385" t="s">
        <v>2896</v>
      </c>
      <c r="U385" t="s">
        <v>2897</v>
      </c>
    </row>
    <row r="386" spans="1:21">
      <c r="A386" t="s">
        <v>877</v>
      </c>
      <c r="B386" s="7">
        <v>46135</v>
      </c>
      <c r="C386" s="8">
        <v>0.38906249999999998</v>
      </c>
      <c r="D386" t="s">
        <v>17</v>
      </c>
      <c r="E386" t="s">
        <v>2</v>
      </c>
      <c r="F386" t="s">
        <v>50</v>
      </c>
      <c r="G386" t="s">
        <v>72</v>
      </c>
      <c r="H386">
        <v>79.290000000000006</v>
      </c>
      <c r="I386" t="s">
        <v>52</v>
      </c>
      <c r="J386" t="s">
        <v>73</v>
      </c>
      <c r="K386" t="s">
        <v>54</v>
      </c>
      <c r="L386" t="s">
        <v>74</v>
      </c>
      <c r="O386" t="s">
        <v>75</v>
      </c>
      <c r="P386" t="s">
        <v>76</v>
      </c>
      <c r="Q386">
        <v>46789.43</v>
      </c>
      <c r="R386">
        <v>-79.290000000000006</v>
      </c>
      <c r="S386" t="s">
        <v>2895</v>
      </c>
      <c r="T386" t="s">
        <v>2896</v>
      </c>
      <c r="U386" t="s">
        <v>2897</v>
      </c>
    </row>
    <row r="387" spans="1:21">
      <c r="A387" t="s">
        <v>879</v>
      </c>
      <c r="B387" s="7">
        <v>46135</v>
      </c>
      <c r="C387" s="8">
        <v>0.4780787037037037</v>
      </c>
      <c r="D387" t="s">
        <v>17</v>
      </c>
      <c r="E387" t="s">
        <v>2</v>
      </c>
      <c r="F387" t="s">
        <v>50</v>
      </c>
      <c r="G387" t="s">
        <v>51</v>
      </c>
      <c r="H387">
        <v>56.43</v>
      </c>
      <c r="I387" t="s">
        <v>52</v>
      </c>
      <c r="J387" t="s">
        <v>60</v>
      </c>
      <c r="K387" t="s">
        <v>54</v>
      </c>
      <c r="L387" t="s">
        <v>55</v>
      </c>
      <c r="O387" t="s">
        <v>61</v>
      </c>
      <c r="P387" t="s">
        <v>62</v>
      </c>
      <c r="Q387">
        <v>46936.52</v>
      </c>
      <c r="R387">
        <v>-56.43</v>
      </c>
      <c r="S387" t="s">
        <v>2895</v>
      </c>
      <c r="T387" t="s">
        <v>2896</v>
      </c>
      <c r="U387" t="s">
        <v>2897</v>
      </c>
    </row>
    <row r="388" spans="1:21">
      <c r="A388" t="s">
        <v>881</v>
      </c>
      <c r="B388" s="7">
        <v>46135</v>
      </c>
      <c r="C388" s="8">
        <v>0.65369212962962964</v>
      </c>
      <c r="D388" t="s">
        <v>17</v>
      </c>
      <c r="E388" t="s">
        <v>2</v>
      </c>
      <c r="F388" t="s">
        <v>50</v>
      </c>
      <c r="G388" t="s">
        <v>51</v>
      </c>
      <c r="H388">
        <v>81.25</v>
      </c>
      <c r="I388" t="s">
        <v>52</v>
      </c>
      <c r="J388" t="s">
        <v>65</v>
      </c>
      <c r="K388" t="s">
        <v>54</v>
      </c>
      <c r="L388" t="s">
        <v>55</v>
      </c>
      <c r="O388" t="s">
        <v>66</v>
      </c>
      <c r="P388" t="s">
        <v>67</v>
      </c>
      <c r="Q388">
        <v>47007.95</v>
      </c>
      <c r="R388">
        <v>-81.25</v>
      </c>
      <c r="S388" t="s">
        <v>2895</v>
      </c>
      <c r="T388" t="s">
        <v>2896</v>
      </c>
      <c r="U388" t="s">
        <v>2897</v>
      </c>
    </row>
    <row r="389" spans="1:21">
      <c r="A389" t="s">
        <v>883</v>
      </c>
      <c r="B389" s="7">
        <v>46135</v>
      </c>
      <c r="C389" s="8">
        <v>0.69315972222222222</v>
      </c>
      <c r="D389" t="s">
        <v>17</v>
      </c>
      <c r="E389" t="s">
        <v>2</v>
      </c>
      <c r="F389" t="s">
        <v>50</v>
      </c>
      <c r="G389" t="s">
        <v>100</v>
      </c>
      <c r="H389">
        <v>15</v>
      </c>
      <c r="I389" t="s">
        <v>52</v>
      </c>
      <c r="J389" t="s">
        <v>101</v>
      </c>
      <c r="K389" t="s">
        <v>54</v>
      </c>
      <c r="L389" t="s">
        <v>102</v>
      </c>
      <c r="O389" t="s">
        <v>103</v>
      </c>
      <c r="P389" t="s">
        <v>104</v>
      </c>
      <c r="Q389">
        <v>46921.52</v>
      </c>
      <c r="R389">
        <v>-15</v>
      </c>
      <c r="S389" t="s">
        <v>2895</v>
      </c>
      <c r="T389" t="s">
        <v>2896</v>
      </c>
      <c r="U389" t="s">
        <v>2897</v>
      </c>
    </row>
    <row r="390" spans="1:21">
      <c r="A390" t="s">
        <v>885</v>
      </c>
      <c r="B390" s="7">
        <v>46135</v>
      </c>
      <c r="C390" s="8">
        <v>0.69924768518518521</v>
      </c>
      <c r="D390" t="s">
        <v>17</v>
      </c>
      <c r="E390" t="s">
        <v>2</v>
      </c>
      <c r="F390" t="s">
        <v>50</v>
      </c>
      <c r="G390" t="s">
        <v>51</v>
      </c>
      <c r="H390">
        <v>52.8</v>
      </c>
      <c r="I390" t="s">
        <v>52</v>
      </c>
      <c r="J390" t="s">
        <v>81</v>
      </c>
      <c r="K390" t="s">
        <v>54</v>
      </c>
      <c r="L390" t="s">
        <v>55</v>
      </c>
      <c r="O390" t="s">
        <v>82</v>
      </c>
      <c r="P390" t="s">
        <v>83</v>
      </c>
      <c r="Q390">
        <v>46868.72</v>
      </c>
      <c r="R390">
        <v>-52.8</v>
      </c>
      <c r="S390" t="s">
        <v>2895</v>
      </c>
      <c r="T390" t="s">
        <v>2896</v>
      </c>
      <c r="U390" t="s">
        <v>2897</v>
      </c>
    </row>
    <row r="391" spans="1:21">
      <c r="A391" t="s">
        <v>887</v>
      </c>
      <c r="B391" s="7">
        <v>46135</v>
      </c>
      <c r="C391" s="8">
        <v>0.76353009259259264</v>
      </c>
      <c r="D391" t="s">
        <v>17</v>
      </c>
      <c r="E391" t="s">
        <v>2</v>
      </c>
      <c r="F391" t="s">
        <v>50</v>
      </c>
      <c r="G391" t="s">
        <v>100</v>
      </c>
      <c r="H391">
        <v>15</v>
      </c>
      <c r="I391" t="s">
        <v>52</v>
      </c>
      <c r="J391" t="s">
        <v>101</v>
      </c>
      <c r="K391" t="s">
        <v>54</v>
      </c>
      <c r="L391" t="s">
        <v>102</v>
      </c>
      <c r="O391" t="s">
        <v>103</v>
      </c>
      <c r="P391" t="s">
        <v>104</v>
      </c>
      <c r="Q391">
        <v>46992.95</v>
      </c>
      <c r="R391">
        <v>-15</v>
      </c>
      <c r="S391" t="s">
        <v>2895</v>
      </c>
      <c r="T391" t="s">
        <v>2896</v>
      </c>
      <c r="U391" t="s">
        <v>2897</v>
      </c>
    </row>
    <row r="392" spans="1:21">
      <c r="A392" t="s">
        <v>889</v>
      </c>
      <c r="B392" s="7">
        <v>46135</v>
      </c>
      <c r="C392" s="8">
        <v>0.81921296296296298</v>
      </c>
      <c r="D392" t="s">
        <v>17</v>
      </c>
      <c r="E392" t="s">
        <v>2</v>
      </c>
      <c r="F392" t="s">
        <v>50</v>
      </c>
      <c r="G392" t="s">
        <v>51</v>
      </c>
      <c r="H392">
        <v>13.12</v>
      </c>
      <c r="I392" t="s">
        <v>52</v>
      </c>
      <c r="J392" t="s">
        <v>53</v>
      </c>
      <c r="K392" t="s">
        <v>54</v>
      </c>
      <c r="L392" t="s">
        <v>55</v>
      </c>
      <c r="O392" t="s">
        <v>56</v>
      </c>
      <c r="P392" t="s">
        <v>57</v>
      </c>
      <c r="Q392">
        <v>47089.2</v>
      </c>
      <c r="R392">
        <v>-13.12</v>
      </c>
      <c r="S392" t="s">
        <v>2895</v>
      </c>
      <c r="T392" t="s">
        <v>2896</v>
      </c>
      <c r="U392" t="s">
        <v>2897</v>
      </c>
    </row>
    <row r="393" spans="1:21">
      <c r="A393" t="s">
        <v>891</v>
      </c>
      <c r="B393" s="7">
        <v>46136</v>
      </c>
      <c r="C393" s="8">
        <v>0.35106481481481483</v>
      </c>
      <c r="D393" t="s">
        <v>17</v>
      </c>
      <c r="E393" t="s">
        <v>2</v>
      </c>
      <c r="F393" t="s">
        <v>50</v>
      </c>
      <c r="G393" t="s">
        <v>51</v>
      </c>
      <c r="H393">
        <v>10.96</v>
      </c>
      <c r="I393" t="s">
        <v>52</v>
      </c>
      <c r="J393" t="s">
        <v>53</v>
      </c>
      <c r="K393" t="s">
        <v>54</v>
      </c>
      <c r="L393" t="s">
        <v>55</v>
      </c>
      <c r="O393" t="s">
        <v>56</v>
      </c>
      <c r="P393" t="s">
        <v>57</v>
      </c>
      <c r="Q393">
        <v>46675.58</v>
      </c>
      <c r="R393">
        <v>-10.96</v>
      </c>
      <c r="S393" t="s">
        <v>2895</v>
      </c>
      <c r="T393" t="s">
        <v>2896</v>
      </c>
      <c r="U393" t="s">
        <v>2897</v>
      </c>
    </row>
    <row r="394" spans="1:21">
      <c r="A394" t="s">
        <v>893</v>
      </c>
      <c r="B394" s="7">
        <v>46136</v>
      </c>
      <c r="C394" s="8">
        <v>0.37729166666666669</v>
      </c>
      <c r="D394" t="s">
        <v>17</v>
      </c>
      <c r="E394" t="s">
        <v>2</v>
      </c>
      <c r="F394" t="s">
        <v>50</v>
      </c>
      <c r="G394" t="s">
        <v>100</v>
      </c>
      <c r="H394">
        <v>15</v>
      </c>
      <c r="I394" t="s">
        <v>52</v>
      </c>
      <c r="J394" t="s">
        <v>101</v>
      </c>
      <c r="K394" t="s">
        <v>54</v>
      </c>
      <c r="L394" t="s">
        <v>102</v>
      </c>
      <c r="O394" t="s">
        <v>103</v>
      </c>
      <c r="P394" t="s">
        <v>104</v>
      </c>
      <c r="Q394">
        <v>46774.43</v>
      </c>
      <c r="R394">
        <v>-15</v>
      </c>
      <c r="S394" t="s">
        <v>2895</v>
      </c>
      <c r="T394" t="s">
        <v>2896</v>
      </c>
      <c r="U394" t="s">
        <v>2897</v>
      </c>
    </row>
    <row r="395" spans="1:21">
      <c r="A395" t="s">
        <v>895</v>
      </c>
      <c r="B395" s="7">
        <v>46136</v>
      </c>
      <c r="C395" s="8">
        <v>0.5259490740740741</v>
      </c>
      <c r="D395" t="s">
        <v>17</v>
      </c>
      <c r="E395" t="s">
        <v>2</v>
      </c>
      <c r="F395" t="s">
        <v>50</v>
      </c>
      <c r="G395" t="s">
        <v>100</v>
      </c>
      <c r="H395">
        <v>15</v>
      </c>
      <c r="I395" t="s">
        <v>52</v>
      </c>
      <c r="J395" t="s">
        <v>101</v>
      </c>
      <c r="K395" t="s">
        <v>54</v>
      </c>
      <c r="L395" t="s">
        <v>102</v>
      </c>
      <c r="O395" t="s">
        <v>103</v>
      </c>
      <c r="P395" t="s">
        <v>104</v>
      </c>
      <c r="Q395">
        <v>46660.58</v>
      </c>
      <c r="R395">
        <v>-15</v>
      </c>
      <c r="S395" t="s">
        <v>2895</v>
      </c>
      <c r="T395" t="s">
        <v>2896</v>
      </c>
      <c r="U395" t="s">
        <v>2897</v>
      </c>
    </row>
    <row r="396" spans="1:21">
      <c r="A396" t="s">
        <v>897</v>
      </c>
      <c r="B396" s="7">
        <v>46136</v>
      </c>
      <c r="C396" s="8">
        <v>0.67555555555555558</v>
      </c>
      <c r="D396" t="s">
        <v>17</v>
      </c>
      <c r="E396" t="s">
        <v>2</v>
      </c>
      <c r="F396" t="s">
        <v>50</v>
      </c>
      <c r="G396" t="s">
        <v>51</v>
      </c>
      <c r="H396">
        <v>40.54</v>
      </c>
      <c r="I396" t="s">
        <v>52</v>
      </c>
      <c r="J396" t="s">
        <v>126</v>
      </c>
      <c r="K396" t="s">
        <v>54</v>
      </c>
      <c r="L396" t="s">
        <v>55</v>
      </c>
      <c r="O396" t="s">
        <v>56</v>
      </c>
      <c r="P396" t="s">
        <v>57</v>
      </c>
      <c r="Q396">
        <v>46714.47</v>
      </c>
      <c r="R396">
        <v>-40.54</v>
      </c>
      <c r="S396" t="s">
        <v>2895</v>
      </c>
      <c r="T396" t="s">
        <v>2896</v>
      </c>
      <c r="U396" t="s">
        <v>2897</v>
      </c>
    </row>
    <row r="397" spans="1:21">
      <c r="A397" t="s">
        <v>899</v>
      </c>
      <c r="B397" s="7">
        <v>46136</v>
      </c>
      <c r="C397" s="8">
        <v>0.8027199074074074</v>
      </c>
      <c r="D397" t="s">
        <v>17</v>
      </c>
      <c r="E397" t="s">
        <v>2</v>
      </c>
      <c r="F397" t="s">
        <v>50</v>
      </c>
      <c r="G397" t="s">
        <v>51</v>
      </c>
      <c r="H397">
        <v>19.420000000000002</v>
      </c>
      <c r="I397" t="s">
        <v>52</v>
      </c>
      <c r="J397" t="s">
        <v>121</v>
      </c>
      <c r="K397" t="s">
        <v>54</v>
      </c>
      <c r="L397" t="s">
        <v>55</v>
      </c>
      <c r="O397" t="s">
        <v>122</v>
      </c>
      <c r="P397" t="s">
        <v>123</v>
      </c>
      <c r="Q397">
        <v>46755.01</v>
      </c>
      <c r="R397">
        <v>-19.420000000000002</v>
      </c>
      <c r="S397" t="s">
        <v>2895</v>
      </c>
      <c r="T397" t="s">
        <v>2896</v>
      </c>
      <c r="U397" t="s">
        <v>2897</v>
      </c>
    </row>
    <row r="398" spans="1:21">
      <c r="A398" t="s">
        <v>901</v>
      </c>
      <c r="B398" s="7">
        <v>46136</v>
      </c>
      <c r="C398" s="8">
        <v>0.90203703703703708</v>
      </c>
      <c r="D398" t="s">
        <v>17</v>
      </c>
      <c r="E398" t="s">
        <v>2</v>
      </c>
      <c r="F398" t="s">
        <v>50</v>
      </c>
      <c r="G398" t="s">
        <v>51</v>
      </c>
      <c r="H398">
        <v>24.42</v>
      </c>
      <c r="I398" t="s">
        <v>52</v>
      </c>
      <c r="J398" t="s">
        <v>65</v>
      </c>
      <c r="K398" t="s">
        <v>54</v>
      </c>
      <c r="L398" t="s">
        <v>55</v>
      </c>
      <c r="O398" t="s">
        <v>66</v>
      </c>
      <c r="P398" t="s">
        <v>67</v>
      </c>
      <c r="Q398">
        <v>46636.160000000003</v>
      </c>
      <c r="R398">
        <v>-24.42</v>
      </c>
      <c r="S398" t="s">
        <v>2895</v>
      </c>
      <c r="T398" t="s">
        <v>2896</v>
      </c>
      <c r="U398" t="s">
        <v>2897</v>
      </c>
    </row>
    <row r="399" spans="1:21">
      <c r="A399" t="s">
        <v>903</v>
      </c>
      <c r="B399" s="7">
        <v>46136</v>
      </c>
      <c r="C399" s="8">
        <v>0.93716435185185187</v>
      </c>
      <c r="D399" t="s">
        <v>17</v>
      </c>
      <c r="E399" t="s">
        <v>2</v>
      </c>
      <c r="F399" t="s">
        <v>50</v>
      </c>
      <c r="G399" t="s">
        <v>51</v>
      </c>
      <c r="H399">
        <v>27.93</v>
      </c>
      <c r="I399" t="s">
        <v>52</v>
      </c>
      <c r="J399" t="s">
        <v>126</v>
      </c>
      <c r="K399" t="s">
        <v>54</v>
      </c>
      <c r="L399" t="s">
        <v>55</v>
      </c>
      <c r="O399" t="s">
        <v>56</v>
      </c>
      <c r="P399" t="s">
        <v>57</v>
      </c>
      <c r="Q399">
        <v>46686.54</v>
      </c>
      <c r="R399">
        <v>-27.93</v>
      </c>
      <c r="S399" t="s">
        <v>2895</v>
      </c>
      <c r="T399" t="s">
        <v>2896</v>
      </c>
      <c r="U399" t="s">
        <v>2897</v>
      </c>
    </row>
    <row r="400" spans="1:21">
      <c r="A400" t="s">
        <v>905</v>
      </c>
      <c r="B400" s="7">
        <v>46137</v>
      </c>
      <c r="C400" s="8">
        <v>0.38062499999999999</v>
      </c>
      <c r="D400" t="s">
        <v>17</v>
      </c>
      <c r="E400" t="s">
        <v>2</v>
      </c>
      <c r="F400" t="s">
        <v>50</v>
      </c>
      <c r="G400" t="s">
        <v>100</v>
      </c>
      <c r="H400">
        <v>14.2</v>
      </c>
      <c r="I400" t="s">
        <v>52</v>
      </c>
      <c r="J400" t="s">
        <v>114</v>
      </c>
      <c r="K400" t="s">
        <v>54</v>
      </c>
      <c r="L400" t="s">
        <v>102</v>
      </c>
      <c r="O400" t="s">
        <v>103</v>
      </c>
      <c r="P400" t="s">
        <v>104</v>
      </c>
      <c r="Q400">
        <v>46588.65</v>
      </c>
      <c r="R400">
        <v>-14.2</v>
      </c>
      <c r="S400" t="s">
        <v>2895</v>
      </c>
      <c r="T400" t="s">
        <v>2896</v>
      </c>
      <c r="U400" t="s">
        <v>2897</v>
      </c>
    </row>
    <row r="401" spans="1:21">
      <c r="A401" t="s">
        <v>907</v>
      </c>
      <c r="B401" s="7">
        <v>46137</v>
      </c>
      <c r="C401" s="8">
        <v>0.39384259259259258</v>
      </c>
      <c r="D401" t="s">
        <v>17</v>
      </c>
      <c r="E401" t="s">
        <v>2</v>
      </c>
      <c r="F401" t="s">
        <v>50</v>
      </c>
      <c r="G401" t="s">
        <v>100</v>
      </c>
      <c r="H401">
        <v>10.119999999999999</v>
      </c>
      <c r="I401" t="s">
        <v>52</v>
      </c>
      <c r="J401" t="s">
        <v>114</v>
      </c>
      <c r="K401" t="s">
        <v>54</v>
      </c>
      <c r="L401" t="s">
        <v>102</v>
      </c>
      <c r="O401" t="s">
        <v>103</v>
      </c>
      <c r="P401" t="s">
        <v>104</v>
      </c>
      <c r="Q401">
        <v>46626.04</v>
      </c>
      <c r="R401">
        <v>-10.119999999999999</v>
      </c>
      <c r="S401" t="s">
        <v>2895</v>
      </c>
      <c r="T401" t="s">
        <v>2896</v>
      </c>
      <c r="U401" t="s">
        <v>2897</v>
      </c>
    </row>
    <row r="402" spans="1:21">
      <c r="A402" t="s">
        <v>909</v>
      </c>
      <c r="B402" s="7">
        <v>46137</v>
      </c>
      <c r="C402" s="8">
        <v>0.51637731481481486</v>
      </c>
      <c r="D402" t="s">
        <v>17</v>
      </c>
      <c r="E402" t="s">
        <v>2</v>
      </c>
      <c r="F402" t="s">
        <v>50</v>
      </c>
      <c r="G402" t="s">
        <v>51</v>
      </c>
      <c r="H402">
        <v>3.97</v>
      </c>
      <c r="I402" t="s">
        <v>52</v>
      </c>
      <c r="J402" t="s">
        <v>121</v>
      </c>
      <c r="K402" t="s">
        <v>54</v>
      </c>
      <c r="L402" t="s">
        <v>55</v>
      </c>
      <c r="O402" t="s">
        <v>122</v>
      </c>
      <c r="P402" t="s">
        <v>123</v>
      </c>
      <c r="Q402">
        <v>46607.88</v>
      </c>
      <c r="R402">
        <v>-3.97</v>
      </c>
      <c r="S402" t="s">
        <v>2895</v>
      </c>
      <c r="T402" t="s">
        <v>2896</v>
      </c>
      <c r="U402" t="s">
        <v>2897</v>
      </c>
    </row>
    <row r="403" spans="1:21">
      <c r="A403" t="s">
        <v>911</v>
      </c>
      <c r="B403" s="7">
        <v>46137</v>
      </c>
      <c r="C403" s="8">
        <v>0.69123842592592588</v>
      </c>
      <c r="D403" t="s">
        <v>17</v>
      </c>
      <c r="E403" t="s">
        <v>2</v>
      </c>
      <c r="F403" t="s">
        <v>50</v>
      </c>
      <c r="G403" t="s">
        <v>51</v>
      </c>
      <c r="H403">
        <v>10.09</v>
      </c>
      <c r="I403" t="s">
        <v>52</v>
      </c>
      <c r="J403" t="s">
        <v>121</v>
      </c>
      <c r="K403" t="s">
        <v>54</v>
      </c>
      <c r="L403" t="s">
        <v>55</v>
      </c>
      <c r="O403" t="s">
        <v>122</v>
      </c>
      <c r="P403" t="s">
        <v>123</v>
      </c>
      <c r="Q403">
        <v>46578.559999999998</v>
      </c>
      <c r="R403">
        <v>-10.09</v>
      </c>
      <c r="S403" t="s">
        <v>2895</v>
      </c>
      <c r="T403" t="s">
        <v>2896</v>
      </c>
      <c r="U403" t="s">
        <v>2897</v>
      </c>
    </row>
    <row r="404" spans="1:21">
      <c r="A404" t="s">
        <v>913</v>
      </c>
      <c r="B404" s="7">
        <v>46137</v>
      </c>
      <c r="C404" s="8">
        <v>0.76599537037037035</v>
      </c>
      <c r="D404" t="s">
        <v>17</v>
      </c>
      <c r="E404" t="s">
        <v>2</v>
      </c>
      <c r="F404" t="s">
        <v>50</v>
      </c>
      <c r="G404" t="s">
        <v>51</v>
      </c>
      <c r="H404">
        <v>14.19</v>
      </c>
      <c r="I404" t="s">
        <v>52</v>
      </c>
      <c r="J404" t="s">
        <v>53</v>
      </c>
      <c r="K404" t="s">
        <v>54</v>
      </c>
      <c r="L404" t="s">
        <v>55</v>
      </c>
      <c r="O404" t="s">
        <v>56</v>
      </c>
      <c r="P404" t="s">
        <v>57</v>
      </c>
      <c r="Q404">
        <v>46611.85</v>
      </c>
      <c r="R404">
        <v>-14.19</v>
      </c>
      <c r="S404" t="s">
        <v>2895</v>
      </c>
      <c r="T404" t="s">
        <v>2896</v>
      </c>
      <c r="U404" t="s">
        <v>2897</v>
      </c>
    </row>
    <row r="405" spans="1:21">
      <c r="A405" t="s">
        <v>915</v>
      </c>
      <c r="B405" s="7">
        <v>46137</v>
      </c>
      <c r="C405" s="8">
        <v>0.89825231481481482</v>
      </c>
      <c r="D405" t="s">
        <v>17</v>
      </c>
      <c r="E405" t="s">
        <v>2</v>
      </c>
      <c r="F405" t="s">
        <v>50</v>
      </c>
      <c r="G405" t="s">
        <v>72</v>
      </c>
      <c r="H405">
        <v>73.290000000000006</v>
      </c>
      <c r="I405" t="s">
        <v>52</v>
      </c>
      <c r="J405" t="s">
        <v>150</v>
      </c>
      <c r="K405" t="s">
        <v>54</v>
      </c>
      <c r="L405" t="s">
        <v>74</v>
      </c>
      <c r="O405" t="s">
        <v>75</v>
      </c>
      <c r="P405" t="s">
        <v>76</v>
      </c>
      <c r="Q405">
        <v>46489.31</v>
      </c>
      <c r="R405">
        <v>-73.290000000000006</v>
      </c>
      <c r="S405" t="s">
        <v>2895</v>
      </c>
      <c r="T405" t="s">
        <v>2896</v>
      </c>
      <c r="U405" t="s">
        <v>2897</v>
      </c>
    </row>
    <row r="406" spans="1:21">
      <c r="A406" t="s">
        <v>917</v>
      </c>
      <c r="B406" s="7">
        <v>46137</v>
      </c>
      <c r="C406" s="8">
        <v>0.93439814814814814</v>
      </c>
      <c r="D406" t="s">
        <v>17</v>
      </c>
      <c r="E406" t="s">
        <v>2</v>
      </c>
      <c r="F406" t="s">
        <v>50</v>
      </c>
      <c r="G406" t="s">
        <v>51</v>
      </c>
      <c r="H406">
        <v>15.96</v>
      </c>
      <c r="I406" t="s">
        <v>52</v>
      </c>
      <c r="J406" t="s">
        <v>126</v>
      </c>
      <c r="K406" t="s">
        <v>54</v>
      </c>
      <c r="L406" t="s">
        <v>55</v>
      </c>
      <c r="O406" t="s">
        <v>56</v>
      </c>
      <c r="P406" t="s">
        <v>57</v>
      </c>
      <c r="Q406">
        <v>46562.6</v>
      </c>
      <c r="R406">
        <v>-15.96</v>
      </c>
      <c r="S406" t="s">
        <v>2895</v>
      </c>
      <c r="T406" t="s">
        <v>2896</v>
      </c>
      <c r="U406" t="s">
        <v>2897</v>
      </c>
    </row>
    <row r="407" spans="1:21">
      <c r="A407" t="s">
        <v>919</v>
      </c>
      <c r="B407" s="7">
        <v>46137</v>
      </c>
      <c r="C407" s="8">
        <v>0.93666666666666665</v>
      </c>
      <c r="D407" t="s">
        <v>17</v>
      </c>
      <c r="E407" t="s">
        <v>2</v>
      </c>
      <c r="F407" t="s">
        <v>50</v>
      </c>
      <c r="G407" t="s">
        <v>51</v>
      </c>
      <c r="H407">
        <v>5.03</v>
      </c>
      <c r="I407" t="s">
        <v>52</v>
      </c>
      <c r="J407" t="s">
        <v>53</v>
      </c>
      <c r="K407" t="s">
        <v>54</v>
      </c>
      <c r="L407" t="s">
        <v>55</v>
      </c>
      <c r="O407" t="s">
        <v>56</v>
      </c>
      <c r="P407" t="s">
        <v>57</v>
      </c>
      <c r="Q407">
        <v>46602.85</v>
      </c>
      <c r="R407">
        <v>-5.03</v>
      </c>
      <c r="S407" t="s">
        <v>2895</v>
      </c>
      <c r="T407" t="s">
        <v>2896</v>
      </c>
      <c r="U407" t="s">
        <v>2897</v>
      </c>
    </row>
    <row r="408" spans="1:21">
      <c r="A408" t="s">
        <v>921</v>
      </c>
      <c r="B408" s="7">
        <v>46138</v>
      </c>
      <c r="C408" s="8">
        <v>0.27673611111111113</v>
      </c>
      <c r="D408" t="s">
        <v>17</v>
      </c>
      <c r="E408" t="s">
        <v>2</v>
      </c>
      <c r="F408" t="s">
        <v>50</v>
      </c>
      <c r="G408" t="s">
        <v>51</v>
      </c>
      <c r="H408">
        <v>15.15</v>
      </c>
      <c r="I408" t="s">
        <v>52</v>
      </c>
      <c r="J408" t="s">
        <v>53</v>
      </c>
      <c r="K408" t="s">
        <v>54</v>
      </c>
      <c r="L408" t="s">
        <v>55</v>
      </c>
      <c r="O408" t="s">
        <v>56</v>
      </c>
      <c r="P408" t="s">
        <v>57</v>
      </c>
      <c r="Q408">
        <v>46323.29</v>
      </c>
      <c r="R408">
        <v>-15.15</v>
      </c>
      <c r="S408" t="s">
        <v>2895</v>
      </c>
      <c r="T408" t="s">
        <v>2896</v>
      </c>
      <c r="U408" t="s">
        <v>2897</v>
      </c>
    </row>
    <row r="409" spans="1:21">
      <c r="A409" t="s">
        <v>923</v>
      </c>
      <c r="B409" s="7">
        <v>46138</v>
      </c>
      <c r="C409" s="8">
        <v>0.39348379629629632</v>
      </c>
      <c r="D409" t="s">
        <v>17</v>
      </c>
      <c r="E409" t="s">
        <v>2</v>
      </c>
      <c r="F409" t="s">
        <v>50</v>
      </c>
      <c r="G409" t="s">
        <v>51</v>
      </c>
      <c r="H409">
        <v>64.78</v>
      </c>
      <c r="I409" t="s">
        <v>52</v>
      </c>
      <c r="J409" t="s">
        <v>65</v>
      </c>
      <c r="K409" t="s">
        <v>54</v>
      </c>
      <c r="L409" t="s">
        <v>55</v>
      </c>
      <c r="O409" t="s">
        <v>66</v>
      </c>
      <c r="P409" t="s">
        <v>67</v>
      </c>
      <c r="Q409">
        <v>46338.44</v>
      </c>
      <c r="R409">
        <v>-64.78</v>
      </c>
      <c r="S409" t="s">
        <v>2895</v>
      </c>
      <c r="T409" t="s">
        <v>2896</v>
      </c>
      <c r="U409" t="s">
        <v>2897</v>
      </c>
    </row>
    <row r="410" spans="1:21">
      <c r="A410" t="s">
        <v>925</v>
      </c>
      <c r="B410" s="7">
        <v>46138</v>
      </c>
      <c r="C410" s="8">
        <v>0.5736458333333333</v>
      </c>
      <c r="D410" t="s">
        <v>17</v>
      </c>
      <c r="E410" t="s">
        <v>2</v>
      </c>
      <c r="F410" t="s">
        <v>50</v>
      </c>
      <c r="G410" t="s">
        <v>51</v>
      </c>
      <c r="H410">
        <v>17.54</v>
      </c>
      <c r="I410" t="s">
        <v>52</v>
      </c>
      <c r="J410" t="s">
        <v>53</v>
      </c>
      <c r="K410" t="s">
        <v>54</v>
      </c>
      <c r="L410" t="s">
        <v>55</v>
      </c>
      <c r="O410" t="s">
        <v>56</v>
      </c>
      <c r="P410" t="s">
        <v>57</v>
      </c>
      <c r="Q410">
        <v>46305.75</v>
      </c>
      <c r="R410">
        <v>-17.54</v>
      </c>
      <c r="S410" t="s">
        <v>2895</v>
      </c>
      <c r="T410" t="s">
        <v>2896</v>
      </c>
      <c r="U410" t="s">
        <v>2897</v>
      </c>
    </row>
    <row r="411" spans="1:21">
      <c r="A411" t="s">
        <v>927</v>
      </c>
      <c r="B411" s="7">
        <v>46138</v>
      </c>
      <c r="C411" s="8">
        <v>0.64643518518518517</v>
      </c>
      <c r="D411" t="s">
        <v>17</v>
      </c>
      <c r="E411" t="s">
        <v>2</v>
      </c>
      <c r="F411" t="s">
        <v>50</v>
      </c>
      <c r="G411" t="s">
        <v>100</v>
      </c>
      <c r="H411">
        <v>17.350000000000001</v>
      </c>
      <c r="I411" t="s">
        <v>52</v>
      </c>
      <c r="J411" t="s">
        <v>114</v>
      </c>
      <c r="K411" t="s">
        <v>54</v>
      </c>
      <c r="L411" t="s">
        <v>102</v>
      </c>
      <c r="O411" t="s">
        <v>103</v>
      </c>
      <c r="P411" t="s">
        <v>104</v>
      </c>
      <c r="Q411">
        <v>46403.22</v>
      </c>
      <c r="R411">
        <v>-17.350000000000001</v>
      </c>
      <c r="S411" t="s">
        <v>2895</v>
      </c>
      <c r="T411" t="s">
        <v>2896</v>
      </c>
      <c r="U411" t="s">
        <v>2897</v>
      </c>
    </row>
    <row r="412" spans="1:21">
      <c r="A412" t="s">
        <v>929</v>
      </c>
      <c r="B412" s="7">
        <v>46138</v>
      </c>
      <c r="C412" s="8">
        <v>0.67390046296296291</v>
      </c>
      <c r="D412" t="s">
        <v>17</v>
      </c>
      <c r="E412" t="s">
        <v>2</v>
      </c>
      <c r="F412" t="s">
        <v>50</v>
      </c>
      <c r="G412" t="s">
        <v>51</v>
      </c>
      <c r="H412">
        <v>56.43</v>
      </c>
      <c r="I412" t="s">
        <v>52</v>
      </c>
      <c r="J412" t="s">
        <v>81</v>
      </c>
      <c r="K412" t="s">
        <v>54</v>
      </c>
      <c r="L412" t="s">
        <v>55</v>
      </c>
      <c r="O412" t="s">
        <v>82</v>
      </c>
      <c r="P412" t="s">
        <v>83</v>
      </c>
      <c r="Q412">
        <v>46432.88</v>
      </c>
      <c r="R412">
        <v>-56.43</v>
      </c>
      <c r="S412" t="s">
        <v>2895</v>
      </c>
      <c r="T412" t="s">
        <v>2896</v>
      </c>
      <c r="U412" t="s">
        <v>2897</v>
      </c>
    </row>
    <row r="413" spans="1:21">
      <c r="A413" t="s">
        <v>931</v>
      </c>
      <c r="B413" s="7">
        <v>46138</v>
      </c>
      <c r="C413" s="8">
        <v>0.95384259259259263</v>
      </c>
      <c r="D413" t="s">
        <v>17</v>
      </c>
      <c r="E413" t="s">
        <v>2</v>
      </c>
      <c r="F413" t="s">
        <v>50</v>
      </c>
      <c r="G413" t="s">
        <v>51</v>
      </c>
      <c r="H413">
        <v>12.31</v>
      </c>
      <c r="I413" t="s">
        <v>52</v>
      </c>
      <c r="J413" t="s">
        <v>53</v>
      </c>
      <c r="K413" t="s">
        <v>54</v>
      </c>
      <c r="L413" t="s">
        <v>55</v>
      </c>
      <c r="O413" t="s">
        <v>56</v>
      </c>
      <c r="P413" t="s">
        <v>57</v>
      </c>
      <c r="Q413">
        <v>46420.57</v>
      </c>
      <c r="R413">
        <v>-12.31</v>
      </c>
      <c r="S413" t="s">
        <v>2895</v>
      </c>
      <c r="T413" t="s">
        <v>2896</v>
      </c>
      <c r="U413" t="s">
        <v>2897</v>
      </c>
    </row>
    <row r="414" spans="1:21">
      <c r="A414" t="s">
        <v>933</v>
      </c>
      <c r="B414" s="7">
        <v>46139</v>
      </c>
      <c r="C414" s="8">
        <v>0.32300925925925927</v>
      </c>
      <c r="D414" t="s">
        <v>17</v>
      </c>
      <c r="E414" t="s">
        <v>2</v>
      </c>
      <c r="F414" t="s">
        <v>50</v>
      </c>
      <c r="G414" t="s">
        <v>100</v>
      </c>
      <c r="H414">
        <v>15</v>
      </c>
      <c r="I414" t="s">
        <v>52</v>
      </c>
      <c r="J414" t="s">
        <v>101</v>
      </c>
      <c r="K414" t="s">
        <v>54</v>
      </c>
      <c r="L414" t="s">
        <v>102</v>
      </c>
      <c r="O414" t="s">
        <v>103</v>
      </c>
      <c r="P414" t="s">
        <v>104</v>
      </c>
      <c r="Q414">
        <v>46193.82</v>
      </c>
      <c r="R414">
        <v>-15</v>
      </c>
      <c r="S414" t="s">
        <v>2895</v>
      </c>
      <c r="T414" t="s">
        <v>2896</v>
      </c>
      <c r="U414" t="s">
        <v>2897</v>
      </c>
    </row>
    <row r="415" spans="1:21">
      <c r="A415" t="s">
        <v>935</v>
      </c>
      <c r="B415" s="7">
        <v>46139</v>
      </c>
      <c r="C415" s="8">
        <v>0.4791435185185185</v>
      </c>
      <c r="D415" t="s">
        <v>17</v>
      </c>
      <c r="E415" t="s">
        <v>2</v>
      </c>
      <c r="F415" t="s">
        <v>50</v>
      </c>
      <c r="G415" t="s">
        <v>100</v>
      </c>
      <c r="H415">
        <v>15.65</v>
      </c>
      <c r="I415" t="s">
        <v>52</v>
      </c>
      <c r="J415" t="s">
        <v>114</v>
      </c>
      <c r="K415" t="s">
        <v>54</v>
      </c>
      <c r="L415" t="s">
        <v>102</v>
      </c>
      <c r="O415" t="s">
        <v>103</v>
      </c>
      <c r="P415" t="s">
        <v>104</v>
      </c>
      <c r="Q415">
        <v>46165.06</v>
      </c>
      <c r="R415">
        <v>-15.65</v>
      </c>
      <c r="S415" t="s">
        <v>2895</v>
      </c>
      <c r="T415" t="s">
        <v>2896</v>
      </c>
      <c r="U415" t="s">
        <v>2897</v>
      </c>
    </row>
    <row r="416" spans="1:21">
      <c r="A416" t="s">
        <v>937</v>
      </c>
      <c r="B416" s="7">
        <v>46139</v>
      </c>
      <c r="C416" s="8">
        <v>0.51061342592592596</v>
      </c>
      <c r="D416" t="s">
        <v>17</v>
      </c>
      <c r="E416" t="s">
        <v>2</v>
      </c>
      <c r="F416" t="s">
        <v>50</v>
      </c>
      <c r="G416" t="s">
        <v>51</v>
      </c>
      <c r="H416">
        <v>12.54</v>
      </c>
      <c r="I416" t="s">
        <v>52</v>
      </c>
      <c r="J416" t="s">
        <v>53</v>
      </c>
      <c r="K416" t="s">
        <v>54</v>
      </c>
      <c r="L416" t="s">
        <v>55</v>
      </c>
      <c r="O416" t="s">
        <v>56</v>
      </c>
      <c r="P416" t="s">
        <v>57</v>
      </c>
      <c r="Q416">
        <v>46137.39</v>
      </c>
      <c r="R416">
        <v>-12.54</v>
      </c>
      <c r="S416" t="s">
        <v>2895</v>
      </c>
      <c r="T416" t="s">
        <v>2896</v>
      </c>
      <c r="U416" t="s">
        <v>2897</v>
      </c>
    </row>
    <row r="417" spans="1:21">
      <c r="A417" t="s">
        <v>939</v>
      </c>
      <c r="B417" s="7">
        <v>46139</v>
      </c>
      <c r="C417" s="8">
        <v>0.51842592592592596</v>
      </c>
      <c r="D417" t="s">
        <v>17</v>
      </c>
      <c r="E417" t="s">
        <v>2</v>
      </c>
      <c r="F417" t="s">
        <v>50</v>
      </c>
      <c r="G417" t="s">
        <v>51</v>
      </c>
      <c r="H417">
        <v>24.52</v>
      </c>
      <c r="I417" t="s">
        <v>52</v>
      </c>
      <c r="J417" t="s">
        <v>126</v>
      </c>
      <c r="K417" t="s">
        <v>54</v>
      </c>
      <c r="L417" t="s">
        <v>55</v>
      </c>
      <c r="O417" t="s">
        <v>56</v>
      </c>
      <c r="P417" t="s">
        <v>57</v>
      </c>
      <c r="Q417">
        <v>46208.82</v>
      </c>
      <c r="R417">
        <v>-24.52</v>
      </c>
      <c r="S417" t="s">
        <v>2895</v>
      </c>
      <c r="T417" t="s">
        <v>2896</v>
      </c>
      <c r="U417" t="s">
        <v>2897</v>
      </c>
    </row>
    <row r="418" spans="1:21">
      <c r="A418" t="s">
        <v>941</v>
      </c>
      <c r="B418" s="7">
        <v>46139</v>
      </c>
      <c r="C418" s="8">
        <v>0.54347222222222225</v>
      </c>
      <c r="D418" t="s">
        <v>17</v>
      </c>
      <c r="E418" t="s">
        <v>2</v>
      </c>
      <c r="F418" t="s">
        <v>50</v>
      </c>
      <c r="G418" t="s">
        <v>51</v>
      </c>
      <c r="H418">
        <v>40.869999999999997</v>
      </c>
      <c r="I418" t="s">
        <v>52</v>
      </c>
      <c r="J418" t="s">
        <v>126</v>
      </c>
      <c r="K418" t="s">
        <v>54</v>
      </c>
      <c r="L418" t="s">
        <v>55</v>
      </c>
      <c r="O418" t="s">
        <v>56</v>
      </c>
      <c r="P418" t="s">
        <v>57</v>
      </c>
      <c r="Q418">
        <v>46264.88</v>
      </c>
      <c r="R418">
        <v>-40.869999999999997</v>
      </c>
      <c r="S418" t="s">
        <v>2895</v>
      </c>
      <c r="T418" t="s">
        <v>2896</v>
      </c>
      <c r="U418" t="s">
        <v>2897</v>
      </c>
    </row>
    <row r="419" spans="1:21">
      <c r="A419" t="s">
        <v>943</v>
      </c>
      <c r="B419" s="7">
        <v>46139</v>
      </c>
      <c r="C419" s="8">
        <v>0.69618055555555558</v>
      </c>
      <c r="D419" t="s">
        <v>17</v>
      </c>
      <c r="E419" t="s">
        <v>2</v>
      </c>
      <c r="F419" t="s">
        <v>50</v>
      </c>
      <c r="G419" t="s">
        <v>100</v>
      </c>
      <c r="H419">
        <v>13.11</v>
      </c>
      <c r="I419" t="s">
        <v>52</v>
      </c>
      <c r="J419" t="s">
        <v>114</v>
      </c>
      <c r="K419" t="s">
        <v>54</v>
      </c>
      <c r="L419" t="s">
        <v>102</v>
      </c>
      <c r="O419" t="s">
        <v>103</v>
      </c>
      <c r="P419" t="s">
        <v>104</v>
      </c>
      <c r="Q419">
        <v>46180.71</v>
      </c>
      <c r="R419">
        <v>-13.11</v>
      </c>
      <c r="S419" t="s">
        <v>2895</v>
      </c>
      <c r="T419" t="s">
        <v>2896</v>
      </c>
      <c r="U419" t="s">
        <v>2897</v>
      </c>
    </row>
    <row r="420" spans="1:21">
      <c r="A420" t="s">
        <v>945</v>
      </c>
      <c r="B420" s="7">
        <v>46139</v>
      </c>
      <c r="C420" s="8">
        <v>0.73876157407407406</v>
      </c>
      <c r="D420" t="s">
        <v>17</v>
      </c>
      <c r="E420" t="s">
        <v>2</v>
      </c>
      <c r="F420" t="s">
        <v>50</v>
      </c>
      <c r="G420" t="s">
        <v>100</v>
      </c>
      <c r="H420">
        <v>15.13</v>
      </c>
      <c r="I420" t="s">
        <v>52</v>
      </c>
      <c r="J420" t="s">
        <v>114</v>
      </c>
      <c r="K420" t="s">
        <v>54</v>
      </c>
      <c r="L420" t="s">
        <v>102</v>
      </c>
      <c r="O420" t="s">
        <v>103</v>
      </c>
      <c r="P420" t="s">
        <v>104</v>
      </c>
      <c r="Q420">
        <v>46149.93</v>
      </c>
      <c r="R420">
        <v>-15.13</v>
      </c>
      <c r="S420" t="s">
        <v>2895</v>
      </c>
      <c r="T420" t="s">
        <v>2896</v>
      </c>
      <c r="U420" t="s">
        <v>2897</v>
      </c>
    </row>
    <row r="421" spans="1:21">
      <c r="A421" t="s">
        <v>947</v>
      </c>
      <c r="B421" s="7">
        <v>46139</v>
      </c>
      <c r="C421" s="8">
        <v>0.84752314814814811</v>
      </c>
      <c r="D421" t="s">
        <v>17</v>
      </c>
      <c r="E421" t="s">
        <v>2</v>
      </c>
      <c r="F421" t="s">
        <v>50</v>
      </c>
      <c r="G421" t="s">
        <v>51</v>
      </c>
      <c r="H421">
        <v>31.54</v>
      </c>
      <c r="I421" t="s">
        <v>52</v>
      </c>
      <c r="J421" t="s">
        <v>60</v>
      </c>
      <c r="K421" t="s">
        <v>54</v>
      </c>
      <c r="L421" t="s">
        <v>55</v>
      </c>
      <c r="O421" t="s">
        <v>61</v>
      </c>
      <c r="P421" t="s">
        <v>62</v>
      </c>
      <c r="Q421">
        <v>46233.34</v>
      </c>
      <c r="R421">
        <v>-31.54</v>
      </c>
      <c r="S421" t="s">
        <v>2895</v>
      </c>
      <c r="T421" t="s">
        <v>2896</v>
      </c>
      <c r="U421" t="s">
        <v>2897</v>
      </c>
    </row>
    <row r="422" spans="1:21">
      <c r="A422" t="s">
        <v>949</v>
      </c>
      <c r="B422" s="7">
        <v>46140</v>
      </c>
      <c r="C422" s="8">
        <v>0.5521180555555556</v>
      </c>
      <c r="D422" t="s">
        <v>17</v>
      </c>
      <c r="E422" t="s">
        <v>2</v>
      </c>
      <c r="F422" t="s">
        <v>50</v>
      </c>
      <c r="G422" t="s">
        <v>51</v>
      </c>
      <c r="H422">
        <v>5.92</v>
      </c>
      <c r="I422" t="s">
        <v>52</v>
      </c>
      <c r="J422" t="s">
        <v>53</v>
      </c>
      <c r="K422" t="s">
        <v>54</v>
      </c>
      <c r="L422" t="s">
        <v>55</v>
      </c>
      <c r="O422" t="s">
        <v>56</v>
      </c>
      <c r="P422" t="s">
        <v>57</v>
      </c>
      <c r="Q422">
        <v>45941.11</v>
      </c>
      <c r="R422">
        <v>-5.92</v>
      </c>
      <c r="S422" t="s">
        <v>2895</v>
      </c>
      <c r="T422" t="s">
        <v>2896</v>
      </c>
      <c r="U422" t="s">
        <v>2897</v>
      </c>
    </row>
    <row r="423" spans="1:21">
      <c r="A423" t="s">
        <v>951</v>
      </c>
      <c r="B423" s="7">
        <v>46140</v>
      </c>
      <c r="C423" s="8">
        <v>0.59591435185185182</v>
      </c>
      <c r="D423" t="s">
        <v>17</v>
      </c>
      <c r="E423" t="s">
        <v>2</v>
      </c>
      <c r="F423" t="s">
        <v>50</v>
      </c>
      <c r="G423" t="s">
        <v>51</v>
      </c>
      <c r="H423">
        <v>37.15</v>
      </c>
      <c r="I423" t="s">
        <v>52</v>
      </c>
      <c r="J423" t="s">
        <v>81</v>
      </c>
      <c r="K423" t="s">
        <v>54</v>
      </c>
      <c r="L423" t="s">
        <v>55</v>
      </c>
      <c r="O423" t="s">
        <v>82</v>
      </c>
      <c r="P423" t="s">
        <v>83</v>
      </c>
      <c r="Q423">
        <v>46086.37</v>
      </c>
      <c r="R423">
        <v>-37.15</v>
      </c>
      <c r="S423" t="s">
        <v>2895</v>
      </c>
      <c r="T423" t="s">
        <v>2896</v>
      </c>
      <c r="U423" t="s">
        <v>2897</v>
      </c>
    </row>
    <row r="424" spans="1:21">
      <c r="A424" t="s">
        <v>953</v>
      </c>
      <c r="B424" s="7">
        <v>46140</v>
      </c>
      <c r="C424" s="8">
        <v>0.61631944444444442</v>
      </c>
      <c r="D424" t="s">
        <v>17</v>
      </c>
      <c r="E424" t="s">
        <v>2</v>
      </c>
      <c r="F424" t="s">
        <v>50</v>
      </c>
      <c r="G424" t="s">
        <v>51</v>
      </c>
      <c r="H424">
        <v>56.05</v>
      </c>
      <c r="I424" t="s">
        <v>52</v>
      </c>
      <c r="J424" t="s">
        <v>81</v>
      </c>
      <c r="K424" t="s">
        <v>54</v>
      </c>
      <c r="L424" t="s">
        <v>55</v>
      </c>
      <c r="O424" t="s">
        <v>82</v>
      </c>
      <c r="P424" t="s">
        <v>83</v>
      </c>
      <c r="Q424">
        <v>45995</v>
      </c>
      <c r="R424">
        <v>-56.05</v>
      </c>
      <c r="S424" t="s">
        <v>2895</v>
      </c>
      <c r="T424" t="s">
        <v>2896</v>
      </c>
      <c r="U424" t="s">
        <v>2897</v>
      </c>
    </row>
    <row r="425" spans="1:21">
      <c r="A425" t="s">
        <v>955</v>
      </c>
      <c r="B425" s="7">
        <v>46140</v>
      </c>
      <c r="C425" s="8">
        <v>0.62471064814814814</v>
      </c>
      <c r="D425" t="s">
        <v>17</v>
      </c>
      <c r="E425" t="s">
        <v>2</v>
      </c>
      <c r="F425" t="s">
        <v>50</v>
      </c>
      <c r="G425" t="s">
        <v>51</v>
      </c>
      <c r="H425">
        <v>47.97</v>
      </c>
      <c r="I425" t="s">
        <v>52</v>
      </c>
      <c r="J425" t="s">
        <v>196</v>
      </c>
      <c r="K425" t="s">
        <v>54</v>
      </c>
      <c r="L425" t="s">
        <v>55</v>
      </c>
      <c r="O425" t="s">
        <v>197</v>
      </c>
      <c r="P425" t="s">
        <v>198</v>
      </c>
      <c r="Q425">
        <v>45947.03</v>
      </c>
      <c r="R425">
        <v>-47.97</v>
      </c>
      <c r="S425" t="s">
        <v>2895</v>
      </c>
      <c r="T425" t="s">
        <v>2896</v>
      </c>
      <c r="U425" t="s">
        <v>2897</v>
      </c>
    </row>
    <row r="426" spans="1:21">
      <c r="A426" t="s">
        <v>957</v>
      </c>
      <c r="B426" s="7">
        <v>46140</v>
      </c>
      <c r="C426" s="8">
        <v>0.65630787037037042</v>
      </c>
      <c r="D426" t="s">
        <v>17</v>
      </c>
      <c r="E426" t="s">
        <v>2</v>
      </c>
      <c r="F426" t="s">
        <v>50</v>
      </c>
      <c r="G426" t="s">
        <v>51</v>
      </c>
      <c r="H426">
        <v>19.62</v>
      </c>
      <c r="I426" t="s">
        <v>52</v>
      </c>
      <c r="J426" t="s">
        <v>126</v>
      </c>
      <c r="K426" t="s">
        <v>54</v>
      </c>
      <c r="L426" t="s">
        <v>55</v>
      </c>
      <c r="O426" t="s">
        <v>56</v>
      </c>
      <c r="P426" t="s">
        <v>57</v>
      </c>
      <c r="Q426">
        <v>46051.05</v>
      </c>
      <c r="R426">
        <v>-19.62</v>
      </c>
      <c r="S426" t="s">
        <v>2895</v>
      </c>
      <c r="T426" t="s">
        <v>2896</v>
      </c>
      <c r="U426" t="s">
        <v>2897</v>
      </c>
    </row>
    <row r="427" spans="1:21">
      <c r="A427" t="s">
        <v>959</v>
      </c>
      <c r="B427" s="7">
        <v>46140</v>
      </c>
      <c r="C427" s="8">
        <v>0.78636574074074073</v>
      </c>
      <c r="D427" t="s">
        <v>17</v>
      </c>
      <c r="E427" t="s">
        <v>2</v>
      </c>
      <c r="F427" t="s">
        <v>50</v>
      </c>
      <c r="G427" t="s">
        <v>100</v>
      </c>
      <c r="H427">
        <v>15.7</v>
      </c>
      <c r="I427" t="s">
        <v>52</v>
      </c>
      <c r="J427" t="s">
        <v>114</v>
      </c>
      <c r="K427" t="s">
        <v>54</v>
      </c>
      <c r="L427" t="s">
        <v>102</v>
      </c>
      <c r="O427" t="s">
        <v>103</v>
      </c>
      <c r="P427" t="s">
        <v>104</v>
      </c>
      <c r="Q427">
        <v>46070.67</v>
      </c>
      <c r="R427">
        <v>-15.7</v>
      </c>
      <c r="S427" t="s">
        <v>2895</v>
      </c>
      <c r="T427" t="s">
        <v>2896</v>
      </c>
      <c r="U427" t="s">
        <v>2897</v>
      </c>
    </row>
    <row r="428" spans="1:21">
      <c r="A428" t="s">
        <v>961</v>
      </c>
      <c r="B428" s="7">
        <v>46140</v>
      </c>
      <c r="C428" s="8">
        <v>0.85945601851851849</v>
      </c>
      <c r="D428" t="s">
        <v>17</v>
      </c>
      <c r="E428" t="s">
        <v>2</v>
      </c>
      <c r="F428" t="s">
        <v>149</v>
      </c>
      <c r="G428" t="s">
        <v>321</v>
      </c>
      <c r="H428">
        <v>3229.02</v>
      </c>
      <c r="I428" t="s">
        <v>52</v>
      </c>
      <c r="J428" t="s">
        <v>9</v>
      </c>
      <c r="K428" t="s">
        <v>54</v>
      </c>
      <c r="L428" t="s">
        <v>102</v>
      </c>
      <c r="O428" t="s">
        <v>322</v>
      </c>
      <c r="P428" t="s">
        <v>323</v>
      </c>
      <c r="Q428">
        <v>25941.34</v>
      </c>
      <c r="R428">
        <v>3229.02</v>
      </c>
      <c r="S428" t="s">
        <v>2895</v>
      </c>
      <c r="T428" t="s">
        <v>2896</v>
      </c>
      <c r="U428" t="s">
        <v>2897</v>
      </c>
    </row>
    <row r="429" spans="1:21">
      <c r="A429" t="s">
        <v>963</v>
      </c>
      <c r="B429" s="7">
        <v>46140</v>
      </c>
      <c r="C429" s="8">
        <v>0.88923611111111112</v>
      </c>
      <c r="D429" t="s">
        <v>17</v>
      </c>
      <c r="E429" t="s">
        <v>2</v>
      </c>
      <c r="F429" t="s">
        <v>50</v>
      </c>
      <c r="G429" t="s">
        <v>51</v>
      </c>
      <c r="H429">
        <v>13.87</v>
      </c>
      <c r="I429" t="s">
        <v>52</v>
      </c>
      <c r="J429" t="s">
        <v>53</v>
      </c>
      <c r="K429" t="s">
        <v>54</v>
      </c>
      <c r="L429" t="s">
        <v>55</v>
      </c>
      <c r="O429" t="s">
        <v>56</v>
      </c>
      <c r="P429" t="s">
        <v>57</v>
      </c>
      <c r="Q429">
        <v>46123.519999999997</v>
      </c>
      <c r="R429">
        <v>-13.87</v>
      </c>
      <c r="S429" t="s">
        <v>2895</v>
      </c>
      <c r="T429" t="s">
        <v>2896</v>
      </c>
      <c r="U429" t="s">
        <v>2897</v>
      </c>
    </row>
    <row r="430" spans="1:21">
      <c r="A430" t="s">
        <v>965</v>
      </c>
      <c r="B430" s="7">
        <v>46141</v>
      </c>
      <c r="C430" s="8">
        <v>0.33261574074074074</v>
      </c>
      <c r="D430" t="s">
        <v>17</v>
      </c>
      <c r="E430" t="s">
        <v>2</v>
      </c>
      <c r="F430" t="s">
        <v>50</v>
      </c>
      <c r="G430" t="s">
        <v>51</v>
      </c>
      <c r="H430">
        <v>107.26</v>
      </c>
      <c r="I430" t="s">
        <v>52</v>
      </c>
      <c r="J430" t="s">
        <v>196</v>
      </c>
      <c r="K430" t="s">
        <v>54</v>
      </c>
      <c r="L430" t="s">
        <v>55</v>
      </c>
      <c r="O430" t="s">
        <v>197</v>
      </c>
      <c r="P430" t="s">
        <v>198</v>
      </c>
      <c r="Q430">
        <v>45442.92</v>
      </c>
      <c r="R430">
        <v>-107.26</v>
      </c>
      <c r="S430" t="s">
        <v>2895</v>
      </c>
      <c r="T430" t="s">
        <v>2896</v>
      </c>
      <c r="U430" t="s">
        <v>2897</v>
      </c>
    </row>
    <row r="431" spans="1:21">
      <c r="A431" t="s">
        <v>967</v>
      </c>
      <c r="B431" s="7">
        <v>46141</v>
      </c>
      <c r="C431" s="8">
        <v>0.36222222222222222</v>
      </c>
      <c r="D431" t="s">
        <v>17</v>
      </c>
      <c r="E431" t="s">
        <v>2</v>
      </c>
      <c r="F431" t="s">
        <v>50</v>
      </c>
      <c r="G431" t="s">
        <v>51</v>
      </c>
      <c r="H431">
        <v>133.31</v>
      </c>
      <c r="I431" t="s">
        <v>52</v>
      </c>
      <c r="J431" t="s">
        <v>65</v>
      </c>
      <c r="K431" t="s">
        <v>54</v>
      </c>
      <c r="L431" t="s">
        <v>55</v>
      </c>
      <c r="O431" t="s">
        <v>66</v>
      </c>
      <c r="P431" t="s">
        <v>67</v>
      </c>
      <c r="Q431">
        <v>45550.18</v>
      </c>
      <c r="R431">
        <v>-133.31</v>
      </c>
      <c r="S431" t="s">
        <v>2895</v>
      </c>
      <c r="T431" t="s">
        <v>2896</v>
      </c>
      <c r="U431" t="s">
        <v>2897</v>
      </c>
    </row>
    <row r="432" spans="1:21">
      <c r="A432" t="s">
        <v>969</v>
      </c>
      <c r="B432" s="7">
        <v>46141</v>
      </c>
      <c r="C432" s="8">
        <v>0.41707175925925927</v>
      </c>
      <c r="D432" t="s">
        <v>17</v>
      </c>
      <c r="E432" t="s">
        <v>2</v>
      </c>
      <c r="F432" t="s">
        <v>50</v>
      </c>
      <c r="G432" t="s">
        <v>51</v>
      </c>
      <c r="H432">
        <v>56.06</v>
      </c>
      <c r="I432" t="s">
        <v>52</v>
      </c>
      <c r="J432" t="s">
        <v>60</v>
      </c>
      <c r="K432" t="s">
        <v>54</v>
      </c>
      <c r="L432" t="s">
        <v>55</v>
      </c>
      <c r="O432" t="s">
        <v>61</v>
      </c>
      <c r="P432" t="s">
        <v>62</v>
      </c>
      <c r="Q432">
        <v>45854.32</v>
      </c>
      <c r="R432">
        <v>-56.06</v>
      </c>
      <c r="S432" t="s">
        <v>2895</v>
      </c>
      <c r="T432" t="s">
        <v>2896</v>
      </c>
      <c r="U432" t="s">
        <v>2897</v>
      </c>
    </row>
    <row r="433" spans="1:21">
      <c r="A433" t="s">
        <v>971</v>
      </c>
      <c r="B433" s="7">
        <v>46141</v>
      </c>
      <c r="C433" s="8">
        <v>0.63909722222222221</v>
      </c>
      <c r="D433" t="s">
        <v>17</v>
      </c>
      <c r="E433" t="s">
        <v>2</v>
      </c>
      <c r="F433" t="s">
        <v>50</v>
      </c>
      <c r="G433" t="s">
        <v>51</v>
      </c>
      <c r="H433">
        <v>146.55000000000001</v>
      </c>
      <c r="I433" t="s">
        <v>52</v>
      </c>
      <c r="J433" t="s">
        <v>196</v>
      </c>
      <c r="K433" t="s">
        <v>54</v>
      </c>
      <c r="L433" t="s">
        <v>55</v>
      </c>
      <c r="O433" t="s">
        <v>197</v>
      </c>
      <c r="P433" t="s">
        <v>198</v>
      </c>
      <c r="Q433">
        <v>45683.49</v>
      </c>
      <c r="R433">
        <v>-146.55000000000001</v>
      </c>
      <c r="S433" t="s">
        <v>2895</v>
      </c>
      <c r="T433" t="s">
        <v>2896</v>
      </c>
      <c r="U433" t="s">
        <v>2897</v>
      </c>
    </row>
    <row r="434" spans="1:21">
      <c r="A434" t="s">
        <v>973</v>
      </c>
      <c r="B434" s="7">
        <v>46141</v>
      </c>
      <c r="C434" s="8">
        <v>0.69826388888888891</v>
      </c>
      <c r="D434" t="s">
        <v>17</v>
      </c>
      <c r="E434" t="s">
        <v>2</v>
      </c>
      <c r="F434" t="s">
        <v>50</v>
      </c>
      <c r="G434" t="s">
        <v>51</v>
      </c>
      <c r="H434">
        <v>30.73</v>
      </c>
      <c r="I434" t="s">
        <v>52</v>
      </c>
      <c r="J434" t="s">
        <v>65</v>
      </c>
      <c r="K434" t="s">
        <v>54</v>
      </c>
      <c r="L434" t="s">
        <v>55</v>
      </c>
      <c r="O434" t="s">
        <v>66</v>
      </c>
      <c r="P434" t="s">
        <v>67</v>
      </c>
      <c r="Q434">
        <v>45910.38</v>
      </c>
      <c r="R434">
        <v>-30.73</v>
      </c>
      <c r="S434" t="s">
        <v>2895</v>
      </c>
      <c r="T434" t="s">
        <v>2896</v>
      </c>
      <c r="U434" t="s">
        <v>2897</v>
      </c>
    </row>
    <row r="435" spans="1:21">
      <c r="A435" t="s">
        <v>975</v>
      </c>
      <c r="B435" s="7">
        <v>46141</v>
      </c>
      <c r="C435" s="8">
        <v>0.78508101851851853</v>
      </c>
      <c r="D435" t="s">
        <v>17</v>
      </c>
      <c r="E435" t="s">
        <v>2</v>
      </c>
      <c r="F435" t="s">
        <v>50</v>
      </c>
      <c r="G435" t="s">
        <v>72</v>
      </c>
      <c r="H435">
        <v>167.14</v>
      </c>
      <c r="I435" t="s">
        <v>52</v>
      </c>
      <c r="J435" t="s">
        <v>316</v>
      </c>
      <c r="K435" t="s">
        <v>54</v>
      </c>
      <c r="L435" t="s">
        <v>74</v>
      </c>
      <c r="O435" t="s">
        <v>75</v>
      </c>
      <c r="P435" t="s">
        <v>76</v>
      </c>
      <c r="Q435">
        <v>45275.78</v>
      </c>
      <c r="R435">
        <v>-167.14</v>
      </c>
      <c r="S435" t="s">
        <v>2895</v>
      </c>
      <c r="T435" t="s">
        <v>2896</v>
      </c>
      <c r="U435" t="s">
        <v>2897</v>
      </c>
    </row>
    <row r="436" spans="1:21">
      <c r="A436" t="s">
        <v>977</v>
      </c>
      <c r="B436" s="7">
        <v>46141</v>
      </c>
      <c r="C436" s="8">
        <v>0.89630787037037041</v>
      </c>
      <c r="D436" t="s">
        <v>17</v>
      </c>
      <c r="E436" t="s">
        <v>2</v>
      </c>
      <c r="F436" t="s">
        <v>50</v>
      </c>
      <c r="G436" t="s">
        <v>51</v>
      </c>
      <c r="H436">
        <v>24.28</v>
      </c>
      <c r="I436" t="s">
        <v>52</v>
      </c>
      <c r="J436" t="s">
        <v>126</v>
      </c>
      <c r="K436" t="s">
        <v>54</v>
      </c>
      <c r="L436" t="s">
        <v>55</v>
      </c>
      <c r="O436" t="s">
        <v>56</v>
      </c>
      <c r="P436" t="s">
        <v>57</v>
      </c>
      <c r="Q436">
        <v>45830.04</v>
      </c>
      <c r="R436">
        <v>-24.28</v>
      </c>
      <c r="S436" t="s">
        <v>2895</v>
      </c>
      <c r="T436" t="s">
        <v>2896</v>
      </c>
      <c r="U436" t="s">
        <v>2897</v>
      </c>
    </row>
    <row r="437" spans="1:21">
      <c r="A437" t="s">
        <v>979</v>
      </c>
      <c r="B437" s="7">
        <v>46142</v>
      </c>
      <c r="C437" s="8">
        <v>0.26138888888888889</v>
      </c>
      <c r="D437" t="s">
        <v>17</v>
      </c>
      <c r="E437" t="s">
        <v>2</v>
      </c>
      <c r="F437" t="s">
        <v>50</v>
      </c>
      <c r="G437" t="s">
        <v>72</v>
      </c>
      <c r="H437">
        <v>169.73</v>
      </c>
      <c r="I437" t="s">
        <v>52</v>
      </c>
      <c r="J437" t="s">
        <v>638</v>
      </c>
      <c r="K437" t="s">
        <v>54</v>
      </c>
      <c r="L437" t="s">
        <v>74</v>
      </c>
      <c r="O437" t="s">
        <v>75</v>
      </c>
      <c r="P437" t="s">
        <v>76</v>
      </c>
      <c r="Q437">
        <v>44929.22</v>
      </c>
      <c r="R437">
        <v>-169.73</v>
      </c>
      <c r="S437" t="s">
        <v>2895</v>
      </c>
      <c r="T437" t="s">
        <v>2896</v>
      </c>
      <c r="U437" t="s">
        <v>2897</v>
      </c>
    </row>
    <row r="438" spans="1:21">
      <c r="A438" t="s">
        <v>981</v>
      </c>
      <c r="B438" s="7">
        <v>46142</v>
      </c>
      <c r="C438" s="8">
        <v>0.41621527777777778</v>
      </c>
      <c r="D438" t="s">
        <v>17</v>
      </c>
      <c r="E438" t="s">
        <v>2</v>
      </c>
      <c r="F438" t="s">
        <v>50</v>
      </c>
      <c r="G438" t="s">
        <v>51</v>
      </c>
      <c r="H438">
        <v>19.18</v>
      </c>
      <c r="I438" t="s">
        <v>52</v>
      </c>
      <c r="J438" t="s">
        <v>65</v>
      </c>
      <c r="K438" t="s">
        <v>54</v>
      </c>
      <c r="L438" t="s">
        <v>55</v>
      </c>
      <c r="O438" t="s">
        <v>66</v>
      </c>
      <c r="P438" t="s">
        <v>67</v>
      </c>
      <c r="Q438">
        <v>45256.6</v>
      </c>
      <c r="R438">
        <v>-19.18</v>
      </c>
      <c r="S438" t="s">
        <v>2895</v>
      </c>
      <c r="T438" t="s">
        <v>2896</v>
      </c>
      <c r="U438" t="s">
        <v>2897</v>
      </c>
    </row>
    <row r="439" spans="1:21">
      <c r="A439" t="s">
        <v>983</v>
      </c>
      <c r="B439" s="7">
        <v>46142</v>
      </c>
      <c r="C439" s="8">
        <v>0.70159722222222221</v>
      </c>
      <c r="D439" t="s">
        <v>17</v>
      </c>
      <c r="E439" t="s">
        <v>2</v>
      </c>
      <c r="F439" t="s">
        <v>50</v>
      </c>
      <c r="G439" t="s">
        <v>51</v>
      </c>
      <c r="H439">
        <v>8.56</v>
      </c>
      <c r="I439" t="s">
        <v>52</v>
      </c>
      <c r="J439" t="s">
        <v>126</v>
      </c>
      <c r="K439" t="s">
        <v>54</v>
      </c>
      <c r="L439" t="s">
        <v>55</v>
      </c>
      <c r="O439" t="s">
        <v>56</v>
      </c>
      <c r="P439" t="s">
        <v>57</v>
      </c>
      <c r="Q439">
        <v>45157.11</v>
      </c>
      <c r="R439">
        <v>-8.56</v>
      </c>
      <c r="S439" t="s">
        <v>2895</v>
      </c>
      <c r="T439" t="s">
        <v>2896</v>
      </c>
      <c r="U439" t="s">
        <v>2897</v>
      </c>
    </row>
    <row r="440" spans="1:21">
      <c r="A440" t="s">
        <v>985</v>
      </c>
      <c r="B440" s="7">
        <v>46142</v>
      </c>
      <c r="C440" s="8">
        <v>0.77923611111111113</v>
      </c>
      <c r="D440" t="s">
        <v>17</v>
      </c>
      <c r="E440" t="s">
        <v>2</v>
      </c>
      <c r="F440" t="s">
        <v>50</v>
      </c>
      <c r="G440" t="s">
        <v>100</v>
      </c>
      <c r="H440">
        <v>14.92</v>
      </c>
      <c r="I440" t="s">
        <v>52</v>
      </c>
      <c r="J440" t="s">
        <v>114</v>
      </c>
      <c r="K440" t="s">
        <v>54</v>
      </c>
      <c r="L440" t="s">
        <v>102</v>
      </c>
      <c r="O440" t="s">
        <v>103</v>
      </c>
      <c r="P440" t="s">
        <v>104</v>
      </c>
      <c r="Q440">
        <v>45098.95</v>
      </c>
      <c r="R440">
        <v>-14.92</v>
      </c>
      <c r="S440" t="s">
        <v>2895</v>
      </c>
      <c r="T440" t="s">
        <v>2896</v>
      </c>
      <c r="U440" t="s">
        <v>2897</v>
      </c>
    </row>
    <row r="441" spans="1:21">
      <c r="A441" t="s">
        <v>987</v>
      </c>
      <c r="B441" s="7">
        <v>46142</v>
      </c>
      <c r="C441" s="8">
        <v>0.78642361111111114</v>
      </c>
      <c r="D441" t="s">
        <v>17</v>
      </c>
      <c r="E441" t="s">
        <v>2</v>
      </c>
      <c r="F441" t="s">
        <v>50</v>
      </c>
      <c r="G441" t="s">
        <v>51</v>
      </c>
      <c r="H441">
        <v>43.24</v>
      </c>
      <c r="I441" t="s">
        <v>52</v>
      </c>
      <c r="J441" t="s">
        <v>196</v>
      </c>
      <c r="K441" t="s">
        <v>54</v>
      </c>
      <c r="L441" t="s">
        <v>55</v>
      </c>
      <c r="O441" t="s">
        <v>197</v>
      </c>
      <c r="P441" t="s">
        <v>198</v>
      </c>
      <c r="Q441">
        <v>45113.87</v>
      </c>
      <c r="R441">
        <v>-43.24</v>
      </c>
      <c r="S441" t="s">
        <v>2895</v>
      </c>
      <c r="T441" t="s">
        <v>2896</v>
      </c>
      <c r="U441" t="s">
        <v>2897</v>
      </c>
    </row>
    <row r="442" spans="1:21">
      <c r="A442" t="s">
        <v>989</v>
      </c>
      <c r="B442" s="7">
        <v>46142</v>
      </c>
      <c r="C442" s="8">
        <v>0.84527777777777779</v>
      </c>
      <c r="D442" t="s">
        <v>17</v>
      </c>
      <c r="E442" t="s">
        <v>2</v>
      </c>
      <c r="F442" t="s">
        <v>50</v>
      </c>
      <c r="G442" t="s">
        <v>51</v>
      </c>
      <c r="H442">
        <v>42.04</v>
      </c>
      <c r="I442" t="s">
        <v>52</v>
      </c>
      <c r="J442" t="s">
        <v>126</v>
      </c>
      <c r="K442" t="s">
        <v>54</v>
      </c>
      <c r="L442" t="s">
        <v>55</v>
      </c>
      <c r="O442" t="s">
        <v>56</v>
      </c>
      <c r="P442" t="s">
        <v>57</v>
      </c>
      <c r="Q442">
        <v>45204.2</v>
      </c>
      <c r="R442">
        <v>-42.04</v>
      </c>
      <c r="S442" t="s">
        <v>2895</v>
      </c>
      <c r="T442" t="s">
        <v>2896</v>
      </c>
      <c r="U442" t="s">
        <v>2897</v>
      </c>
    </row>
    <row r="443" spans="1:21">
      <c r="A443" t="s">
        <v>991</v>
      </c>
      <c r="B443" s="7">
        <v>46142</v>
      </c>
      <c r="C443" s="8">
        <v>0.86199074074074078</v>
      </c>
      <c r="D443" t="s">
        <v>17</v>
      </c>
      <c r="E443" t="s">
        <v>2</v>
      </c>
      <c r="F443" t="s">
        <v>50</v>
      </c>
      <c r="G443" t="s">
        <v>51</v>
      </c>
      <c r="H443">
        <v>38.53</v>
      </c>
      <c r="I443" t="s">
        <v>52</v>
      </c>
      <c r="J443" t="s">
        <v>60</v>
      </c>
      <c r="K443" t="s">
        <v>54</v>
      </c>
      <c r="L443" t="s">
        <v>55</v>
      </c>
      <c r="O443" t="s">
        <v>61</v>
      </c>
      <c r="P443" t="s">
        <v>62</v>
      </c>
      <c r="Q443">
        <v>45165.67</v>
      </c>
      <c r="R443">
        <v>-38.53</v>
      </c>
      <c r="S443" t="s">
        <v>2895</v>
      </c>
      <c r="T443" t="s">
        <v>2896</v>
      </c>
      <c r="U443" t="s">
        <v>2897</v>
      </c>
    </row>
    <row r="444" spans="1:21">
      <c r="A444" t="s">
        <v>993</v>
      </c>
      <c r="B444" s="7">
        <v>46142</v>
      </c>
      <c r="C444" s="8">
        <v>0.93884259259259262</v>
      </c>
      <c r="D444" t="s">
        <v>17</v>
      </c>
      <c r="E444" t="s">
        <v>2</v>
      </c>
      <c r="F444" t="s">
        <v>50</v>
      </c>
      <c r="G444" t="s">
        <v>51</v>
      </c>
      <c r="H444">
        <v>10.36</v>
      </c>
      <c r="I444" t="s">
        <v>52</v>
      </c>
      <c r="J444" t="s">
        <v>53</v>
      </c>
      <c r="K444" t="s">
        <v>54</v>
      </c>
      <c r="L444" t="s">
        <v>55</v>
      </c>
      <c r="O444" t="s">
        <v>56</v>
      </c>
      <c r="P444" t="s">
        <v>57</v>
      </c>
      <c r="Q444">
        <v>45246.239999999998</v>
      </c>
      <c r="R444">
        <v>-10.36</v>
      </c>
      <c r="S444" t="s">
        <v>2895</v>
      </c>
      <c r="T444" t="s">
        <v>2896</v>
      </c>
      <c r="U444" t="s">
        <v>2897</v>
      </c>
    </row>
    <row r="445" spans="1:21">
      <c r="A445" t="s">
        <v>995</v>
      </c>
      <c r="B445" s="7">
        <v>46143</v>
      </c>
      <c r="C445" s="8">
        <v>0.26158564814814816</v>
      </c>
      <c r="D445" t="s">
        <v>17</v>
      </c>
      <c r="E445" t="s">
        <v>2</v>
      </c>
      <c r="F445" t="s">
        <v>50</v>
      </c>
      <c r="G445" t="s">
        <v>51</v>
      </c>
      <c r="H445">
        <v>23.7</v>
      </c>
      <c r="I445" t="s">
        <v>52</v>
      </c>
      <c r="J445" t="s">
        <v>81</v>
      </c>
      <c r="K445" t="s">
        <v>54</v>
      </c>
      <c r="L445" t="s">
        <v>55</v>
      </c>
      <c r="O445" t="s">
        <v>82</v>
      </c>
      <c r="P445" t="s">
        <v>83</v>
      </c>
      <c r="Q445">
        <v>44905.52</v>
      </c>
      <c r="R445">
        <v>-23.7</v>
      </c>
      <c r="S445" t="s">
        <v>2895</v>
      </c>
      <c r="T445" t="s">
        <v>2896</v>
      </c>
      <c r="U445" t="s">
        <v>2897</v>
      </c>
    </row>
    <row r="446" spans="1:21">
      <c r="A446" t="s">
        <v>997</v>
      </c>
      <c r="B446" s="7">
        <v>46143</v>
      </c>
      <c r="C446" s="8">
        <v>0.32091435185185185</v>
      </c>
      <c r="D446" t="s">
        <v>17</v>
      </c>
      <c r="E446" t="s">
        <v>2</v>
      </c>
      <c r="F446" t="s">
        <v>50</v>
      </c>
      <c r="G446" t="s">
        <v>51</v>
      </c>
      <c r="H446">
        <v>44.02</v>
      </c>
      <c r="I446" t="s">
        <v>52</v>
      </c>
      <c r="J446" t="s">
        <v>81</v>
      </c>
      <c r="K446" t="s">
        <v>54</v>
      </c>
      <c r="L446" t="s">
        <v>55</v>
      </c>
      <c r="O446" t="s">
        <v>82</v>
      </c>
      <c r="P446" t="s">
        <v>83</v>
      </c>
      <c r="Q446">
        <v>44861.5</v>
      </c>
      <c r="R446">
        <v>-44.02</v>
      </c>
      <c r="S446" t="s">
        <v>2895</v>
      </c>
      <c r="T446" t="s">
        <v>2896</v>
      </c>
      <c r="U446" t="s">
        <v>2897</v>
      </c>
    </row>
    <row r="447" spans="1:21">
      <c r="A447" t="s">
        <v>999</v>
      </c>
      <c r="B447" s="7">
        <v>46143</v>
      </c>
      <c r="C447" s="8">
        <v>0.43760416666666668</v>
      </c>
      <c r="D447" t="s">
        <v>17</v>
      </c>
      <c r="E447" t="s">
        <v>2</v>
      </c>
      <c r="F447" t="s">
        <v>50</v>
      </c>
      <c r="G447" t="s">
        <v>51</v>
      </c>
      <c r="H447">
        <v>51</v>
      </c>
      <c r="I447" t="s">
        <v>52</v>
      </c>
      <c r="J447" t="s">
        <v>196</v>
      </c>
      <c r="K447" t="s">
        <v>54</v>
      </c>
      <c r="L447" t="s">
        <v>55</v>
      </c>
      <c r="O447" t="s">
        <v>197</v>
      </c>
      <c r="P447" t="s">
        <v>198</v>
      </c>
      <c r="Q447">
        <v>44781.84</v>
      </c>
      <c r="R447">
        <v>-51</v>
      </c>
      <c r="S447" t="s">
        <v>2895</v>
      </c>
      <c r="T447" t="s">
        <v>2896</v>
      </c>
      <c r="U447" t="s">
        <v>2897</v>
      </c>
    </row>
    <row r="448" spans="1:21">
      <c r="A448" t="s">
        <v>1001</v>
      </c>
      <c r="B448" s="7">
        <v>46143</v>
      </c>
      <c r="C448" s="8">
        <v>0.53350694444444446</v>
      </c>
      <c r="D448" t="s">
        <v>17</v>
      </c>
      <c r="E448" t="s">
        <v>2</v>
      </c>
      <c r="F448" t="s">
        <v>50</v>
      </c>
      <c r="G448" t="s">
        <v>100</v>
      </c>
      <c r="H448">
        <v>23.69</v>
      </c>
      <c r="I448" t="s">
        <v>52</v>
      </c>
      <c r="J448" t="s">
        <v>114</v>
      </c>
      <c r="K448" t="s">
        <v>54</v>
      </c>
      <c r="L448" t="s">
        <v>102</v>
      </c>
      <c r="O448" t="s">
        <v>103</v>
      </c>
      <c r="P448" t="s">
        <v>104</v>
      </c>
      <c r="Q448">
        <v>44743.15</v>
      </c>
      <c r="R448">
        <v>-23.69</v>
      </c>
      <c r="S448" t="s">
        <v>2895</v>
      </c>
      <c r="T448" t="s">
        <v>2896</v>
      </c>
      <c r="U448" t="s">
        <v>2897</v>
      </c>
    </row>
    <row r="449" spans="1:21">
      <c r="A449" t="s">
        <v>1003</v>
      </c>
      <c r="B449" s="7">
        <v>46143</v>
      </c>
      <c r="C449" s="8">
        <v>0.64142361111111112</v>
      </c>
      <c r="D449" t="s">
        <v>17</v>
      </c>
      <c r="E449" t="s">
        <v>2</v>
      </c>
      <c r="F449" t="s">
        <v>50</v>
      </c>
      <c r="G449" t="s">
        <v>51</v>
      </c>
      <c r="H449">
        <v>13.66</v>
      </c>
      <c r="I449" t="s">
        <v>52</v>
      </c>
      <c r="J449" t="s">
        <v>53</v>
      </c>
      <c r="K449" t="s">
        <v>54</v>
      </c>
      <c r="L449" t="s">
        <v>55</v>
      </c>
      <c r="O449" t="s">
        <v>56</v>
      </c>
      <c r="P449" t="s">
        <v>57</v>
      </c>
      <c r="Q449">
        <v>44832.84</v>
      </c>
      <c r="R449">
        <v>-13.66</v>
      </c>
      <c r="S449" t="s">
        <v>2895</v>
      </c>
      <c r="T449" t="s">
        <v>2896</v>
      </c>
      <c r="U449" t="s">
        <v>2897</v>
      </c>
    </row>
    <row r="450" spans="1:21">
      <c r="A450" t="s">
        <v>1005</v>
      </c>
      <c r="B450" s="7">
        <v>46143</v>
      </c>
      <c r="C450" s="8">
        <v>0.72689814814814813</v>
      </c>
      <c r="D450" t="s">
        <v>17</v>
      </c>
      <c r="E450" t="s">
        <v>2</v>
      </c>
      <c r="F450" t="s">
        <v>50</v>
      </c>
      <c r="G450" t="s">
        <v>100</v>
      </c>
      <c r="H450">
        <v>15</v>
      </c>
      <c r="I450" t="s">
        <v>52</v>
      </c>
      <c r="J450" t="s">
        <v>101</v>
      </c>
      <c r="K450" t="s">
        <v>54</v>
      </c>
      <c r="L450" t="s">
        <v>102</v>
      </c>
      <c r="O450" t="s">
        <v>103</v>
      </c>
      <c r="P450" t="s">
        <v>104</v>
      </c>
      <c r="Q450">
        <v>44766.84</v>
      </c>
      <c r="R450">
        <v>-15</v>
      </c>
      <c r="S450" t="s">
        <v>2895</v>
      </c>
      <c r="T450" t="s">
        <v>2896</v>
      </c>
      <c r="U450" t="s">
        <v>2897</v>
      </c>
    </row>
    <row r="451" spans="1:21">
      <c r="A451" t="s">
        <v>1007</v>
      </c>
      <c r="B451" s="7">
        <v>46143</v>
      </c>
      <c r="C451" s="8">
        <v>0.78023148148148147</v>
      </c>
      <c r="D451" t="s">
        <v>17</v>
      </c>
      <c r="E451" t="s">
        <v>2</v>
      </c>
      <c r="F451" t="s">
        <v>50</v>
      </c>
      <c r="G451" t="s">
        <v>100</v>
      </c>
      <c r="H451">
        <v>15</v>
      </c>
      <c r="I451" t="s">
        <v>52</v>
      </c>
      <c r="J451" t="s">
        <v>101</v>
      </c>
      <c r="K451" t="s">
        <v>54</v>
      </c>
      <c r="L451" t="s">
        <v>102</v>
      </c>
      <c r="O451" t="s">
        <v>103</v>
      </c>
      <c r="P451" t="s">
        <v>104</v>
      </c>
      <c r="Q451">
        <v>44846.5</v>
      </c>
      <c r="R451">
        <v>-15</v>
      </c>
      <c r="S451" t="s">
        <v>2895</v>
      </c>
      <c r="T451" t="s">
        <v>2896</v>
      </c>
      <c r="U451" t="s">
        <v>2897</v>
      </c>
    </row>
    <row r="452" spans="1:21">
      <c r="A452" t="s">
        <v>1009</v>
      </c>
      <c r="B452" s="7">
        <v>46144</v>
      </c>
      <c r="C452" s="8">
        <v>0.31630787037037039</v>
      </c>
      <c r="D452" t="s">
        <v>17</v>
      </c>
      <c r="E452" t="s">
        <v>2</v>
      </c>
      <c r="F452" t="s">
        <v>50</v>
      </c>
      <c r="G452" t="s">
        <v>72</v>
      </c>
      <c r="H452">
        <v>93.09</v>
      </c>
      <c r="I452" t="s">
        <v>52</v>
      </c>
      <c r="J452" t="s">
        <v>638</v>
      </c>
      <c r="K452" t="s">
        <v>54</v>
      </c>
      <c r="L452" t="s">
        <v>74</v>
      </c>
      <c r="O452" t="s">
        <v>75</v>
      </c>
      <c r="P452" t="s">
        <v>76</v>
      </c>
      <c r="Q452">
        <v>44566.02</v>
      </c>
      <c r="R452">
        <v>-93.09</v>
      </c>
      <c r="S452" t="s">
        <v>2895</v>
      </c>
      <c r="T452" t="s">
        <v>2896</v>
      </c>
      <c r="U452" t="s">
        <v>2897</v>
      </c>
    </row>
    <row r="453" spans="1:21">
      <c r="A453" t="s">
        <v>1011</v>
      </c>
      <c r="B453" s="7">
        <v>46144</v>
      </c>
      <c r="C453" s="8">
        <v>0.53167824074074077</v>
      </c>
      <c r="D453" t="s">
        <v>17</v>
      </c>
      <c r="E453" t="s">
        <v>2</v>
      </c>
      <c r="F453" t="s">
        <v>50</v>
      </c>
      <c r="G453" t="s">
        <v>100</v>
      </c>
      <c r="H453">
        <v>15</v>
      </c>
      <c r="I453" t="s">
        <v>52</v>
      </c>
      <c r="J453" t="s">
        <v>101</v>
      </c>
      <c r="K453" t="s">
        <v>54</v>
      </c>
      <c r="L453" t="s">
        <v>102</v>
      </c>
      <c r="O453" t="s">
        <v>103</v>
      </c>
      <c r="P453" t="s">
        <v>104</v>
      </c>
      <c r="Q453">
        <v>44674.11</v>
      </c>
      <c r="R453">
        <v>-15</v>
      </c>
      <c r="S453" t="s">
        <v>2895</v>
      </c>
      <c r="T453" t="s">
        <v>2896</v>
      </c>
      <c r="U453" t="s">
        <v>2897</v>
      </c>
    </row>
    <row r="454" spans="1:21">
      <c r="A454" t="s">
        <v>1013</v>
      </c>
      <c r="B454" s="7">
        <v>46144</v>
      </c>
      <c r="C454" s="8">
        <v>0.70454861111111111</v>
      </c>
      <c r="D454" t="s">
        <v>17</v>
      </c>
      <c r="E454" t="s">
        <v>2</v>
      </c>
      <c r="F454" t="s">
        <v>50</v>
      </c>
      <c r="G454" t="s">
        <v>100</v>
      </c>
      <c r="H454">
        <v>12.25</v>
      </c>
      <c r="I454" t="s">
        <v>52</v>
      </c>
      <c r="J454" t="s">
        <v>114</v>
      </c>
      <c r="K454" t="s">
        <v>54</v>
      </c>
      <c r="L454" t="s">
        <v>102</v>
      </c>
      <c r="O454" t="s">
        <v>103</v>
      </c>
      <c r="P454" t="s">
        <v>104</v>
      </c>
      <c r="Q454">
        <v>44689.11</v>
      </c>
      <c r="R454">
        <v>-12.25</v>
      </c>
      <c r="S454" t="s">
        <v>2895</v>
      </c>
      <c r="T454" t="s">
        <v>2896</v>
      </c>
      <c r="U454" t="s">
        <v>2897</v>
      </c>
    </row>
    <row r="455" spans="1:21">
      <c r="A455" t="s">
        <v>1015</v>
      </c>
      <c r="B455" s="7">
        <v>46144</v>
      </c>
      <c r="C455" s="8">
        <v>0.71178240740740739</v>
      </c>
      <c r="D455" t="s">
        <v>17</v>
      </c>
      <c r="E455" t="s">
        <v>2</v>
      </c>
      <c r="F455" t="s">
        <v>50</v>
      </c>
      <c r="G455" t="s">
        <v>100</v>
      </c>
      <c r="H455">
        <v>16.7</v>
      </c>
      <c r="I455" t="s">
        <v>52</v>
      </c>
      <c r="J455" t="s">
        <v>114</v>
      </c>
      <c r="K455" t="s">
        <v>54</v>
      </c>
      <c r="L455" t="s">
        <v>102</v>
      </c>
      <c r="O455" t="s">
        <v>103</v>
      </c>
      <c r="P455" t="s">
        <v>104</v>
      </c>
      <c r="Q455">
        <v>44726.45</v>
      </c>
      <c r="R455">
        <v>-16.7</v>
      </c>
      <c r="S455" t="s">
        <v>2895</v>
      </c>
      <c r="T455" t="s">
        <v>2896</v>
      </c>
      <c r="U455" t="s">
        <v>2897</v>
      </c>
    </row>
    <row r="456" spans="1:21">
      <c r="A456" t="s">
        <v>1017</v>
      </c>
      <c r="B456" s="7">
        <v>46144</v>
      </c>
      <c r="C456" s="8">
        <v>0.82494212962962965</v>
      </c>
      <c r="D456" t="s">
        <v>17</v>
      </c>
      <c r="E456" t="s">
        <v>2</v>
      </c>
      <c r="F456" t="s">
        <v>50</v>
      </c>
      <c r="G456" t="s">
        <v>100</v>
      </c>
      <c r="H456">
        <v>1850</v>
      </c>
      <c r="I456" t="s">
        <v>52</v>
      </c>
      <c r="J456" t="s">
        <v>107</v>
      </c>
      <c r="K456" t="s">
        <v>54</v>
      </c>
      <c r="L456" t="s">
        <v>102</v>
      </c>
      <c r="O456" t="s">
        <v>108</v>
      </c>
      <c r="P456" t="s">
        <v>109</v>
      </c>
      <c r="Q456">
        <v>44859.69</v>
      </c>
      <c r="R456">
        <v>-1850</v>
      </c>
      <c r="S456" t="s">
        <v>2895</v>
      </c>
      <c r="T456" t="s">
        <v>2896</v>
      </c>
      <c r="U456" t="s">
        <v>2897</v>
      </c>
    </row>
    <row r="457" spans="1:21">
      <c r="A457" t="s">
        <v>1019</v>
      </c>
      <c r="B457" s="7">
        <v>46144</v>
      </c>
      <c r="C457" s="8">
        <v>0.92541666666666667</v>
      </c>
      <c r="D457" t="s">
        <v>17</v>
      </c>
      <c r="E457" t="s">
        <v>2</v>
      </c>
      <c r="F457" t="s">
        <v>50</v>
      </c>
      <c r="G457" t="s">
        <v>51</v>
      </c>
      <c r="H457">
        <v>25.09</v>
      </c>
      <c r="I457" t="s">
        <v>52</v>
      </c>
      <c r="J457" t="s">
        <v>60</v>
      </c>
      <c r="K457" t="s">
        <v>54</v>
      </c>
      <c r="L457" t="s">
        <v>55</v>
      </c>
      <c r="O457" t="s">
        <v>61</v>
      </c>
      <c r="P457" t="s">
        <v>62</v>
      </c>
      <c r="Q457">
        <v>44701.36</v>
      </c>
      <c r="R457">
        <v>-25.09</v>
      </c>
      <c r="S457" t="s">
        <v>2895</v>
      </c>
      <c r="T457" t="s">
        <v>2896</v>
      </c>
      <c r="U457" t="s">
        <v>2897</v>
      </c>
    </row>
    <row r="458" spans="1:21">
      <c r="A458" t="s">
        <v>1021</v>
      </c>
      <c r="B458" s="7">
        <v>46144</v>
      </c>
      <c r="C458" s="8">
        <v>0.93670138888888888</v>
      </c>
      <c r="D458" t="s">
        <v>17</v>
      </c>
      <c r="E458" t="s">
        <v>2</v>
      </c>
      <c r="F458" t="s">
        <v>50</v>
      </c>
      <c r="G458" t="s">
        <v>100</v>
      </c>
      <c r="H458">
        <v>15</v>
      </c>
      <c r="I458" t="s">
        <v>52</v>
      </c>
      <c r="J458" t="s">
        <v>101</v>
      </c>
      <c r="K458" t="s">
        <v>54</v>
      </c>
      <c r="L458" t="s">
        <v>102</v>
      </c>
      <c r="O458" t="s">
        <v>103</v>
      </c>
      <c r="P458" t="s">
        <v>104</v>
      </c>
      <c r="Q458">
        <v>44659.11</v>
      </c>
      <c r="R458">
        <v>-15</v>
      </c>
      <c r="S458" t="s">
        <v>2895</v>
      </c>
      <c r="T458" t="s">
        <v>2896</v>
      </c>
      <c r="U458" t="s">
        <v>2897</v>
      </c>
    </row>
    <row r="459" spans="1:21">
      <c r="A459" t="s">
        <v>1023</v>
      </c>
      <c r="B459" s="7">
        <v>46145</v>
      </c>
      <c r="C459" s="8">
        <v>0.28278935185185183</v>
      </c>
      <c r="D459" t="s">
        <v>17</v>
      </c>
      <c r="E459" t="s">
        <v>2</v>
      </c>
      <c r="F459" t="s">
        <v>50</v>
      </c>
      <c r="G459" t="s">
        <v>51</v>
      </c>
      <c r="H459">
        <v>68.290000000000006</v>
      </c>
      <c r="I459" t="s">
        <v>52</v>
      </c>
      <c r="J459" t="s">
        <v>65</v>
      </c>
      <c r="K459" t="s">
        <v>54</v>
      </c>
      <c r="L459" t="s">
        <v>55</v>
      </c>
      <c r="O459" t="s">
        <v>66</v>
      </c>
      <c r="P459" t="s">
        <v>67</v>
      </c>
      <c r="Q459">
        <v>44497.73</v>
      </c>
      <c r="R459">
        <v>-68.290000000000006</v>
      </c>
      <c r="S459" t="s">
        <v>2895</v>
      </c>
      <c r="T459" t="s">
        <v>2896</v>
      </c>
      <c r="U459" t="s">
        <v>2897</v>
      </c>
    </row>
    <row r="460" spans="1:21">
      <c r="A460" t="s">
        <v>1025</v>
      </c>
      <c r="B460" s="7">
        <v>46145</v>
      </c>
      <c r="C460" s="8">
        <v>0.37465277777777778</v>
      </c>
      <c r="D460" t="s">
        <v>17</v>
      </c>
      <c r="E460" t="s">
        <v>2</v>
      </c>
      <c r="F460" t="s">
        <v>50</v>
      </c>
      <c r="G460" t="s">
        <v>100</v>
      </c>
      <c r="H460">
        <v>24.91</v>
      </c>
      <c r="I460" t="s">
        <v>52</v>
      </c>
      <c r="J460" t="s">
        <v>114</v>
      </c>
      <c r="K460" t="s">
        <v>54</v>
      </c>
      <c r="L460" t="s">
        <v>102</v>
      </c>
      <c r="O460" t="s">
        <v>103</v>
      </c>
      <c r="P460" t="s">
        <v>104</v>
      </c>
      <c r="Q460">
        <v>44448.56</v>
      </c>
      <c r="R460">
        <v>-24.91</v>
      </c>
      <c r="S460" t="s">
        <v>2895</v>
      </c>
      <c r="T460" t="s">
        <v>2896</v>
      </c>
      <c r="U460" t="s">
        <v>2897</v>
      </c>
    </row>
    <row r="461" spans="1:21">
      <c r="A461" t="s">
        <v>1027</v>
      </c>
      <c r="B461" s="7">
        <v>46145</v>
      </c>
      <c r="C461" s="8">
        <v>0.44577546296296294</v>
      </c>
      <c r="D461" t="s">
        <v>17</v>
      </c>
      <c r="E461" t="s">
        <v>2</v>
      </c>
      <c r="F461" t="s">
        <v>50</v>
      </c>
      <c r="G461" t="s">
        <v>51</v>
      </c>
      <c r="H461">
        <v>10.14</v>
      </c>
      <c r="I461" t="s">
        <v>52</v>
      </c>
      <c r="J461" t="s">
        <v>121</v>
      </c>
      <c r="K461" t="s">
        <v>54</v>
      </c>
      <c r="L461" t="s">
        <v>55</v>
      </c>
      <c r="O461" t="s">
        <v>122</v>
      </c>
      <c r="P461" t="s">
        <v>123</v>
      </c>
      <c r="Q461">
        <v>44373.85</v>
      </c>
      <c r="R461">
        <v>-10.14</v>
      </c>
      <c r="S461" t="s">
        <v>2895</v>
      </c>
      <c r="T461" t="s">
        <v>2896</v>
      </c>
      <c r="U461" t="s">
        <v>2897</v>
      </c>
    </row>
    <row r="462" spans="1:21">
      <c r="A462" t="s">
        <v>1029</v>
      </c>
      <c r="B462" s="7">
        <v>46145</v>
      </c>
      <c r="C462" s="8">
        <v>0.49245370370370373</v>
      </c>
      <c r="D462" t="s">
        <v>17</v>
      </c>
      <c r="E462" t="s">
        <v>2</v>
      </c>
      <c r="F462" t="s">
        <v>50</v>
      </c>
      <c r="G462" t="s">
        <v>51</v>
      </c>
      <c r="H462">
        <v>54.46</v>
      </c>
      <c r="I462" t="s">
        <v>52</v>
      </c>
      <c r="J462" t="s">
        <v>65</v>
      </c>
      <c r="K462" t="s">
        <v>54</v>
      </c>
      <c r="L462" t="s">
        <v>55</v>
      </c>
      <c r="O462" t="s">
        <v>66</v>
      </c>
      <c r="P462" t="s">
        <v>67</v>
      </c>
      <c r="Q462">
        <v>44394.1</v>
      </c>
      <c r="R462">
        <v>-54.46</v>
      </c>
      <c r="S462" t="s">
        <v>2895</v>
      </c>
      <c r="T462" t="s">
        <v>2896</v>
      </c>
      <c r="U462" t="s">
        <v>2897</v>
      </c>
    </row>
    <row r="463" spans="1:21">
      <c r="A463" t="s">
        <v>1030</v>
      </c>
      <c r="B463" s="7">
        <v>46145</v>
      </c>
      <c r="C463" s="8">
        <v>0.73893518518518519</v>
      </c>
      <c r="D463" t="s">
        <v>17</v>
      </c>
      <c r="E463" t="s">
        <v>2</v>
      </c>
      <c r="F463" t="s">
        <v>50</v>
      </c>
      <c r="G463" t="s">
        <v>51</v>
      </c>
      <c r="H463">
        <v>24.26</v>
      </c>
      <c r="I463" t="s">
        <v>52</v>
      </c>
      <c r="J463" t="s">
        <v>60</v>
      </c>
      <c r="K463" t="s">
        <v>54</v>
      </c>
      <c r="L463" t="s">
        <v>55</v>
      </c>
      <c r="O463" t="s">
        <v>61</v>
      </c>
      <c r="P463" t="s">
        <v>62</v>
      </c>
      <c r="Q463">
        <v>44473.47</v>
      </c>
      <c r="R463">
        <v>-24.26</v>
      </c>
      <c r="S463" t="s">
        <v>2895</v>
      </c>
      <c r="T463" t="s">
        <v>2896</v>
      </c>
      <c r="U463" t="s">
        <v>2897</v>
      </c>
    </row>
    <row r="464" spans="1:21">
      <c r="A464" t="s">
        <v>1032</v>
      </c>
      <c r="B464" s="7">
        <v>46145</v>
      </c>
      <c r="C464" s="8">
        <v>0.77008101851851851</v>
      </c>
      <c r="D464" t="s">
        <v>17</v>
      </c>
      <c r="E464" t="s">
        <v>2</v>
      </c>
      <c r="F464" t="s">
        <v>50</v>
      </c>
      <c r="G464" t="s">
        <v>51</v>
      </c>
      <c r="H464">
        <v>10.11</v>
      </c>
      <c r="I464" t="s">
        <v>52</v>
      </c>
      <c r="J464" t="s">
        <v>121</v>
      </c>
      <c r="K464" t="s">
        <v>54</v>
      </c>
      <c r="L464" t="s">
        <v>55</v>
      </c>
      <c r="O464" t="s">
        <v>122</v>
      </c>
      <c r="P464" t="s">
        <v>123</v>
      </c>
      <c r="Q464">
        <v>44383.99</v>
      </c>
      <c r="R464">
        <v>-10.11</v>
      </c>
      <c r="S464" t="s">
        <v>2895</v>
      </c>
      <c r="T464" t="s">
        <v>2896</v>
      </c>
      <c r="U464" t="s">
        <v>2897</v>
      </c>
    </row>
    <row r="465" spans="1:21">
      <c r="A465" t="s">
        <v>1034</v>
      </c>
      <c r="B465" s="7">
        <v>46145</v>
      </c>
      <c r="C465" s="8">
        <v>0.77300925925925923</v>
      </c>
      <c r="D465" t="s">
        <v>17</v>
      </c>
      <c r="E465" t="s">
        <v>2</v>
      </c>
      <c r="F465" t="s">
        <v>50</v>
      </c>
      <c r="G465" t="s">
        <v>51</v>
      </c>
      <c r="H465">
        <v>14.17</v>
      </c>
      <c r="I465" t="s">
        <v>52</v>
      </c>
      <c r="J465" t="s">
        <v>81</v>
      </c>
      <c r="K465" t="s">
        <v>54</v>
      </c>
      <c r="L465" t="s">
        <v>55</v>
      </c>
      <c r="O465" t="s">
        <v>82</v>
      </c>
      <c r="P465" t="s">
        <v>83</v>
      </c>
      <c r="Q465">
        <v>44359.68</v>
      </c>
      <c r="R465">
        <v>-14.17</v>
      </c>
      <c r="S465" t="s">
        <v>2895</v>
      </c>
      <c r="T465" t="s">
        <v>2896</v>
      </c>
      <c r="U465" t="s">
        <v>2897</v>
      </c>
    </row>
    <row r="466" spans="1:21">
      <c r="A466" t="s">
        <v>1036</v>
      </c>
      <c r="B466" s="7">
        <v>46146</v>
      </c>
      <c r="C466" s="8">
        <v>0.33793981481481483</v>
      </c>
      <c r="D466" t="s">
        <v>17</v>
      </c>
      <c r="E466" t="s">
        <v>2</v>
      </c>
      <c r="F466" t="s">
        <v>50</v>
      </c>
      <c r="G466" t="s">
        <v>51</v>
      </c>
      <c r="H466">
        <v>48.56</v>
      </c>
      <c r="I466" t="s">
        <v>52</v>
      </c>
      <c r="J466" t="s">
        <v>65</v>
      </c>
      <c r="K466" t="s">
        <v>54</v>
      </c>
      <c r="L466" t="s">
        <v>55</v>
      </c>
      <c r="O466" t="s">
        <v>66</v>
      </c>
      <c r="P466" t="s">
        <v>67</v>
      </c>
      <c r="Q466">
        <v>44034.89</v>
      </c>
      <c r="R466">
        <v>-48.56</v>
      </c>
      <c r="S466" t="s">
        <v>2895</v>
      </c>
      <c r="T466" t="s">
        <v>2896</v>
      </c>
      <c r="U466" t="s">
        <v>2897</v>
      </c>
    </row>
    <row r="467" spans="1:21">
      <c r="A467" t="s">
        <v>1038</v>
      </c>
      <c r="B467" s="7">
        <v>46146</v>
      </c>
      <c r="C467" s="8">
        <v>0.42861111111111111</v>
      </c>
      <c r="D467" t="s">
        <v>17</v>
      </c>
      <c r="E467" t="s">
        <v>2</v>
      </c>
      <c r="F467" t="s">
        <v>50</v>
      </c>
      <c r="G467" t="s">
        <v>51</v>
      </c>
      <c r="H467">
        <v>93.99</v>
      </c>
      <c r="I467" t="s">
        <v>52</v>
      </c>
      <c r="J467" t="s">
        <v>196</v>
      </c>
      <c r="K467" t="s">
        <v>54</v>
      </c>
      <c r="L467" t="s">
        <v>55</v>
      </c>
      <c r="O467" t="s">
        <v>197</v>
      </c>
      <c r="P467" t="s">
        <v>198</v>
      </c>
      <c r="Q467">
        <v>44107.06</v>
      </c>
      <c r="R467">
        <v>-93.99</v>
      </c>
      <c r="S467" t="s">
        <v>2895</v>
      </c>
      <c r="T467" t="s">
        <v>2896</v>
      </c>
      <c r="U467" t="s">
        <v>2897</v>
      </c>
    </row>
    <row r="468" spans="1:21">
      <c r="A468" t="s">
        <v>1040</v>
      </c>
      <c r="B468" s="7">
        <v>46146</v>
      </c>
      <c r="C468" s="8">
        <v>0.5743287037037037</v>
      </c>
      <c r="D468" t="s">
        <v>17</v>
      </c>
      <c r="E468" t="s">
        <v>2</v>
      </c>
      <c r="F468" t="s">
        <v>149</v>
      </c>
      <c r="G468" t="s">
        <v>72</v>
      </c>
      <c r="H468">
        <v>159.55000000000001</v>
      </c>
      <c r="I468" t="s">
        <v>52</v>
      </c>
      <c r="J468" t="s">
        <v>606</v>
      </c>
      <c r="K468" t="s">
        <v>54</v>
      </c>
      <c r="L468" t="s">
        <v>74</v>
      </c>
      <c r="O468" t="s">
        <v>75</v>
      </c>
      <c r="P468" t="s">
        <v>76</v>
      </c>
      <c r="Q468">
        <v>44194.44</v>
      </c>
      <c r="R468">
        <v>159.55000000000001</v>
      </c>
      <c r="S468" t="s">
        <v>2895</v>
      </c>
      <c r="T468" t="s">
        <v>2896</v>
      </c>
      <c r="U468" t="s">
        <v>2897</v>
      </c>
    </row>
    <row r="469" spans="1:21">
      <c r="A469" t="s">
        <v>1042</v>
      </c>
      <c r="B469" s="7">
        <v>46146</v>
      </c>
      <c r="C469" s="8">
        <v>0.78627314814814819</v>
      </c>
      <c r="D469" t="s">
        <v>17</v>
      </c>
      <c r="E469" t="s">
        <v>2</v>
      </c>
      <c r="F469" t="s">
        <v>50</v>
      </c>
      <c r="G469" t="s">
        <v>100</v>
      </c>
      <c r="H469">
        <v>16.36</v>
      </c>
      <c r="I469" t="s">
        <v>52</v>
      </c>
      <c r="J469" t="s">
        <v>114</v>
      </c>
      <c r="K469" t="s">
        <v>54</v>
      </c>
      <c r="L469" t="s">
        <v>102</v>
      </c>
      <c r="O469" t="s">
        <v>103</v>
      </c>
      <c r="P469" t="s">
        <v>104</v>
      </c>
      <c r="Q469">
        <v>44201.05</v>
      </c>
      <c r="R469">
        <v>-16.36</v>
      </c>
      <c r="S469" t="s">
        <v>2895</v>
      </c>
      <c r="T469" t="s">
        <v>2896</v>
      </c>
      <c r="U469" t="s">
        <v>2897</v>
      </c>
    </row>
    <row r="470" spans="1:21">
      <c r="A470" t="s">
        <v>1044</v>
      </c>
      <c r="B470" s="7">
        <v>46146</v>
      </c>
      <c r="C470" s="8">
        <v>0.81931712962962966</v>
      </c>
      <c r="D470" t="s">
        <v>17</v>
      </c>
      <c r="E470" t="s">
        <v>2</v>
      </c>
      <c r="F470" t="s">
        <v>50</v>
      </c>
      <c r="G470" t="s">
        <v>51</v>
      </c>
      <c r="H470">
        <v>23.61</v>
      </c>
      <c r="I470" t="s">
        <v>52</v>
      </c>
      <c r="J470" t="s">
        <v>60</v>
      </c>
      <c r="K470" t="s">
        <v>54</v>
      </c>
      <c r="L470" t="s">
        <v>55</v>
      </c>
      <c r="O470" t="s">
        <v>61</v>
      </c>
      <c r="P470" t="s">
        <v>62</v>
      </c>
      <c r="Q470">
        <v>44083.45</v>
      </c>
      <c r="R470">
        <v>-23.61</v>
      </c>
      <c r="S470" t="s">
        <v>2895</v>
      </c>
      <c r="T470" t="s">
        <v>2896</v>
      </c>
      <c r="U470" t="s">
        <v>2897</v>
      </c>
    </row>
    <row r="471" spans="1:21">
      <c r="A471" t="s">
        <v>1046</v>
      </c>
      <c r="B471" s="7">
        <v>46146</v>
      </c>
      <c r="C471" s="8">
        <v>0.86372685185185183</v>
      </c>
      <c r="D471" t="s">
        <v>17</v>
      </c>
      <c r="E471" t="s">
        <v>2</v>
      </c>
      <c r="F471" t="s">
        <v>50</v>
      </c>
      <c r="G471" t="s">
        <v>51</v>
      </c>
      <c r="H471">
        <v>142.27000000000001</v>
      </c>
      <c r="I471" t="s">
        <v>52</v>
      </c>
      <c r="J471" t="s">
        <v>65</v>
      </c>
      <c r="K471" t="s">
        <v>54</v>
      </c>
      <c r="L471" t="s">
        <v>55</v>
      </c>
      <c r="O471" t="s">
        <v>66</v>
      </c>
      <c r="P471" t="s">
        <v>67</v>
      </c>
      <c r="Q471">
        <v>44217.41</v>
      </c>
      <c r="R471">
        <v>-142.27000000000001</v>
      </c>
      <c r="S471" t="s">
        <v>2895</v>
      </c>
      <c r="T471" t="s">
        <v>2896</v>
      </c>
      <c r="U471" t="s">
        <v>2897</v>
      </c>
    </row>
    <row r="472" spans="1:21">
      <c r="A472" t="s">
        <v>1048</v>
      </c>
      <c r="B472" s="7">
        <v>46147</v>
      </c>
      <c r="C472" s="8">
        <v>0.29759259259259258</v>
      </c>
      <c r="D472" t="s">
        <v>17</v>
      </c>
      <c r="E472" t="s">
        <v>2</v>
      </c>
      <c r="F472" t="s">
        <v>50</v>
      </c>
      <c r="G472" t="s">
        <v>100</v>
      </c>
      <c r="H472">
        <v>13.26</v>
      </c>
      <c r="I472" t="s">
        <v>52</v>
      </c>
      <c r="J472" t="s">
        <v>114</v>
      </c>
      <c r="K472" t="s">
        <v>54</v>
      </c>
      <c r="L472" t="s">
        <v>102</v>
      </c>
      <c r="O472" t="s">
        <v>103</v>
      </c>
      <c r="P472" t="s">
        <v>104</v>
      </c>
      <c r="Q472">
        <v>44181.18</v>
      </c>
      <c r="R472">
        <v>-13.26</v>
      </c>
      <c r="S472" t="s">
        <v>2895</v>
      </c>
      <c r="T472" t="s">
        <v>2896</v>
      </c>
      <c r="U472" t="s">
        <v>2897</v>
      </c>
    </row>
    <row r="473" spans="1:21">
      <c r="A473" t="s">
        <v>1049</v>
      </c>
      <c r="B473" s="7">
        <v>46147</v>
      </c>
      <c r="C473" s="8">
        <v>0.44621527777777775</v>
      </c>
      <c r="D473" t="s">
        <v>17</v>
      </c>
      <c r="E473" t="s">
        <v>2</v>
      </c>
      <c r="F473" t="s">
        <v>50</v>
      </c>
      <c r="G473" t="s">
        <v>51</v>
      </c>
      <c r="H473">
        <v>20.32</v>
      </c>
      <c r="I473" t="s">
        <v>52</v>
      </c>
      <c r="J473" t="s">
        <v>81</v>
      </c>
      <c r="K473" t="s">
        <v>54</v>
      </c>
      <c r="L473" t="s">
        <v>55</v>
      </c>
      <c r="O473" t="s">
        <v>82</v>
      </c>
      <c r="P473" t="s">
        <v>83</v>
      </c>
      <c r="Q473">
        <v>44153.58</v>
      </c>
      <c r="R473">
        <v>-20.32</v>
      </c>
      <c r="S473" t="s">
        <v>2895</v>
      </c>
      <c r="T473" t="s">
        <v>2896</v>
      </c>
      <c r="U473" t="s">
        <v>2897</v>
      </c>
    </row>
    <row r="474" spans="1:21">
      <c r="A474" t="s">
        <v>1051</v>
      </c>
      <c r="B474" s="7">
        <v>46147</v>
      </c>
      <c r="C474" s="8">
        <v>0.49206018518518518</v>
      </c>
      <c r="D474" t="s">
        <v>17</v>
      </c>
      <c r="E474" t="s">
        <v>2</v>
      </c>
      <c r="F474" t="s">
        <v>50</v>
      </c>
      <c r="G474" t="s">
        <v>72</v>
      </c>
      <c r="H474">
        <v>67.98</v>
      </c>
      <c r="I474" t="s">
        <v>52</v>
      </c>
      <c r="J474" t="s">
        <v>73</v>
      </c>
      <c r="K474" t="s">
        <v>54</v>
      </c>
      <c r="L474" t="s">
        <v>74</v>
      </c>
      <c r="O474" t="s">
        <v>75</v>
      </c>
      <c r="P474" t="s">
        <v>76</v>
      </c>
      <c r="Q474">
        <v>43825.47</v>
      </c>
      <c r="R474">
        <v>-67.98</v>
      </c>
      <c r="S474" t="s">
        <v>2895</v>
      </c>
      <c r="T474" t="s">
        <v>2896</v>
      </c>
      <c r="U474" t="s">
        <v>2897</v>
      </c>
    </row>
    <row r="475" spans="1:21">
      <c r="A475" t="s">
        <v>1053</v>
      </c>
      <c r="B475" s="7">
        <v>46147</v>
      </c>
      <c r="C475" s="8">
        <v>0.58582175925925928</v>
      </c>
      <c r="D475" t="s">
        <v>17</v>
      </c>
      <c r="E475" t="s">
        <v>2</v>
      </c>
      <c r="F475" t="s">
        <v>50</v>
      </c>
      <c r="G475" t="s">
        <v>51</v>
      </c>
      <c r="H475">
        <v>85.61</v>
      </c>
      <c r="I475" t="s">
        <v>52</v>
      </c>
      <c r="J475" t="s">
        <v>196</v>
      </c>
      <c r="K475" t="s">
        <v>54</v>
      </c>
      <c r="L475" t="s">
        <v>55</v>
      </c>
      <c r="O475" t="s">
        <v>197</v>
      </c>
      <c r="P475" t="s">
        <v>198</v>
      </c>
      <c r="Q475">
        <v>44067.97</v>
      </c>
      <c r="R475">
        <v>-85.61</v>
      </c>
      <c r="S475" t="s">
        <v>2895</v>
      </c>
      <c r="T475" t="s">
        <v>2896</v>
      </c>
      <c r="U475" t="s">
        <v>2897</v>
      </c>
    </row>
    <row r="476" spans="1:21">
      <c r="A476" t="s">
        <v>1055</v>
      </c>
      <c r="B476" s="7">
        <v>46147</v>
      </c>
      <c r="C476" s="8">
        <v>0.69210648148148146</v>
      </c>
      <c r="D476" t="s">
        <v>17</v>
      </c>
      <c r="E476" t="s">
        <v>2</v>
      </c>
      <c r="F476" t="s">
        <v>50</v>
      </c>
      <c r="G476" t="s">
        <v>51</v>
      </c>
      <c r="H476">
        <v>7.28</v>
      </c>
      <c r="I476" t="s">
        <v>52</v>
      </c>
      <c r="J476" t="s">
        <v>53</v>
      </c>
      <c r="K476" t="s">
        <v>54</v>
      </c>
      <c r="L476" t="s">
        <v>55</v>
      </c>
      <c r="O476" t="s">
        <v>56</v>
      </c>
      <c r="P476" t="s">
        <v>57</v>
      </c>
      <c r="Q476">
        <v>44173.9</v>
      </c>
      <c r="R476">
        <v>-7.28</v>
      </c>
      <c r="S476" t="s">
        <v>2895</v>
      </c>
      <c r="T476" t="s">
        <v>2896</v>
      </c>
      <c r="U476" t="s">
        <v>2897</v>
      </c>
    </row>
    <row r="477" spans="1:21">
      <c r="A477" t="s">
        <v>1057</v>
      </c>
      <c r="B477" s="7">
        <v>46147</v>
      </c>
      <c r="C477" s="8">
        <v>0.78510416666666671</v>
      </c>
      <c r="D477" t="s">
        <v>17</v>
      </c>
      <c r="E477" t="s">
        <v>2</v>
      </c>
      <c r="F477" t="s">
        <v>50</v>
      </c>
      <c r="G477" t="s">
        <v>51</v>
      </c>
      <c r="H477">
        <v>141.47999999999999</v>
      </c>
      <c r="I477" t="s">
        <v>52</v>
      </c>
      <c r="J477" t="s">
        <v>65</v>
      </c>
      <c r="K477" t="s">
        <v>54</v>
      </c>
      <c r="L477" t="s">
        <v>55</v>
      </c>
      <c r="O477" t="s">
        <v>66</v>
      </c>
      <c r="P477" t="s">
        <v>67</v>
      </c>
      <c r="Q477">
        <v>43893.45</v>
      </c>
      <c r="R477">
        <v>-141.47999999999999</v>
      </c>
      <c r="S477" t="s">
        <v>2895</v>
      </c>
      <c r="T477" t="s">
        <v>2896</v>
      </c>
      <c r="U477" t="s">
        <v>2897</v>
      </c>
    </row>
    <row r="478" spans="1:21">
      <c r="A478" t="s">
        <v>1059</v>
      </c>
      <c r="B478" s="7">
        <v>46147</v>
      </c>
      <c r="C478" s="8">
        <v>0.81633101851851853</v>
      </c>
      <c r="D478" t="s">
        <v>17</v>
      </c>
      <c r="E478" t="s">
        <v>2</v>
      </c>
      <c r="F478" t="s">
        <v>50</v>
      </c>
      <c r="G478" t="s">
        <v>51</v>
      </c>
      <c r="H478">
        <v>33.04</v>
      </c>
      <c r="I478" t="s">
        <v>52</v>
      </c>
      <c r="J478" t="s">
        <v>126</v>
      </c>
      <c r="K478" t="s">
        <v>54</v>
      </c>
      <c r="L478" t="s">
        <v>55</v>
      </c>
      <c r="O478" t="s">
        <v>56</v>
      </c>
      <c r="P478" t="s">
        <v>57</v>
      </c>
      <c r="Q478">
        <v>44034.93</v>
      </c>
      <c r="R478">
        <v>-33.04</v>
      </c>
      <c r="S478" t="s">
        <v>2895</v>
      </c>
      <c r="T478" t="s">
        <v>2896</v>
      </c>
      <c r="U478" t="s">
        <v>2897</v>
      </c>
    </row>
    <row r="479" spans="1:21">
      <c r="A479" t="s">
        <v>1061</v>
      </c>
      <c r="B479" s="7">
        <v>46148</v>
      </c>
      <c r="C479" s="8">
        <v>0.45241898148148146</v>
      </c>
      <c r="D479" t="s">
        <v>17</v>
      </c>
      <c r="E479" t="s">
        <v>2</v>
      </c>
      <c r="F479" t="s">
        <v>50</v>
      </c>
      <c r="G479" t="s">
        <v>51</v>
      </c>
      <c r="H479">
        <v>16.010000000000002</v>
      </c>
      <c r="I479" t="s">
        <v>52</v>
      </c>
      <c r="J479" t="s">
        <v>53</v>
      </c>
      <c r="K479" t="s">
        <v>54</v>
      </c>
      <c r="L479" t="s">
        <v>55</v>
      </c>
      <c r="O479" t="s">
        <v>56</v>
      </c>
      <c r="P479" t="s">
        <v>57</v>
      </c>
      <c r="Q479">
        <v>43809.46</v>
      </c>
      <c r="R479">
        <v>-16.010000000000002</v>
      </c>
      <c r="S479" t="s">
        <v>2895</v>
      </c>
      <c r="T479" t="s">
        <v>2896</v>
      </c>
      <c r="U479" t="s">
        <v>2897</v>
      </c>
    </row>
    <row r="480" spans="1:21">
      <c r="A480" t="s">
        <v>1063</v>
      </c>
      <c r="B480" s="7">
        <v>46148</v>
      </c>
      <c r="C480" s="8">
        <v>0.53597222222222218</v>
      </c>
      <c r="D480" t="s">
        <v>17</v>
      </c>
      <c r="E480" t="s">
        <v>2</v>
      </c>
      <c r="F480" t="s">
        <v>50</v>
      </c>
      <c r="G480" t="s">
        <v>51</v>
      </c>
      <c r="H480">
        <v>128.94999999999999</v>
      </c>
      <c r="I480" t="s">
        <v>52</v>
      </c>
      <c r="J480" t="s">
        <v>65</v>
      </c>
      <c r="K480" t="s">
        <v>54</v>
      </c>
      <c r="L480" t="s">
        <v>55</v>
      </c>
      <c r="O480" t="s">
        <v>66</v>
      </c>
      <c r="P480" t="s">
        <v>67</v>
      </c>
      <c r="Q480">
        <v>43478.27</v>
      </c>
      <c r="R480">
        <v>-128.94999999999999</v>
      </c>
      <c r="S480" t="s">
        <v>2895</v>
      </c>
      <c r="T480" t="s">
        <v>2896</v>
      </c>
      <c r="U480" t="s">
        <v>2897</v>
      </c>
    </row>
    <row r="481" spans="1:21">
      <c r="A481" t="s">
        <v>1065</v>
      </c>
      <c r="B481" s="7">
        <v>46148</v>
      </c>
      <c r="C481" s="8">
        <v>0.59260416666666671</v>
      </c>
      <c r="D481" t="s">
        <v>17</v>
      </c>
      <c r="E481" t="s">
        <v>2</v>
      </c>
      <c r="F481" t="s">
        <v>50</v>
      </c>
      <c r="G481" t="s">
        <v>51</v>
      </c>
      <c r="H481">
        <v>23.54</v>
      </c>
      <c r="I481" t="s">
        <v>52</v>
      </c>
      <c r="J481" t="s">
        <v>126</v>
      </c>
      <c r="K481" t="s">
        <v>54</v>
      </c>
      <c r="L481" t="s">
        <v>55</v>
      </c>
      <c r="O481" t="s">
        <v>56</v>
      </c>
      <c r="P481" t="s">
        <v>57</v>
      </c>
      <c r="Q481">
        <v>43696.5</v>
      </c>
      <c r="R481">
        <v>-23.54</v>
      </c>
      <c r="S481" t="s">
        <v>2895</v>
      </c>
      <c r="T481" t="s">
        <v>2896</v>
      </c>
      <c r="U481" t="s">
        <v>2897</v>
      </c>
    </row>
    <row r="482" spans="1:21">
      <c r="A482" t="s">
        <v>1067</v>
      </c>
      <c r="B482" s="7">
        <v>46148</v>
      </c>
      <c r="C482" s="8">
        <v>0.71219907407407412</v>
      </c>
      <c r="D482" t="s">
        <v>17</v>
      </c>
      <c r="E482" t="s">
        <v>2</v>
      </c>
      <c r="F482" t="s">
        <v>50</v>
      </c>
      <c r="G482" t="s">
        <v>51</v>
      </c>
      <c r="H482">
        <v>68.11</v>
      </c>
      <c r="I482" t="s">
        <v>52</v>
      </c>
      <c r="J482" t="s">
        <v>60</v>
      </c>
      <c r="K482" t="s">
        <v>54</v>
      </c>
      <c r="L482" t="s">
        <v>55</v>
      </c>
      <c r="O482" t="s">
        <v>61</v>
      </c>
      <c r="P482" t="s">
        <v>62</v>
      </c>
      <c r="Q482">
        <v>43628.39</v>
      </c>
      <c r="R482">
        <v>-68.11</v>
      </c>
      <c r="S482" t="s">
        <v>2895</v>
      </c>
      <c r="T482" t="s">
        <v>2896</v>
      </c>
      <c r="U482" t="s">
        <v>2897</v>
      </c>
    </row>
    <row r="483" spans="1:21">
      <c r="A483" t="s">
        <v>1069</v>
      </c>
      <c r="B483" s="7">
        <v>46148</v>
      </c>
      <c r="C483" s="8">
        <v>0.78030092592592593</v>
      </c>
      <c r="D483" t="s">
        <v>17</v>
      </c>
      <c r="E483" t="s">
        <v>2</v>
      </c>
      <c r="F483" t="s">
        <v>50</v>
      </c>
      <c r="G483" t="s">
        <v>51</v>
      </c>
      <c r="H483">
        <v>21.17</v>
      </c>
      <c r="I483" t="s">
        <v>52</v>
      </c>
      <c r="J483" t="s">
        <v>196</v>
      </c>
      <c r="K483" t="s">
        <v>54</v>
      </c>
      <c r="L483" t="s">
        <v>55</v>
      </c>
      <c r="O483" t="s">
        <v>197</v>
      </c>
      <c r="P483" t="s">
        <v>198</v>
      </c>
      <c r="Q483">
        <v>43607.22</v>
      </c>
      <c r="R483">
        <v>-21.17</v>
      </c>
      <c r="S483" t="s">
        <v>2895</v>
      </c>
      <c r="T483" t="s">
        <v>2896</v>
      </c>
      <c r="U483" t="s">
        <v>2897</v>
      </c>
    </row>
    <row r="484" spans="1:21">
      <c r="A484" t="s">
        <v>1071</v>
      </c>
      <c r="B484" s="7">
        <v>46148</v>
      </c>
      <c r="C484" s="8">
        <v>0.81635416666666671</v>
      </c>
      <c r="D484" t="s">
        <v>17</v>
      </c>
      <c r="E484" t="s">
        <v>2</v>
      </c>
      <c r="F484" t="s">
        <v>50</v>
      </c>
      <c r="G484" t="s">
        <v>51</v>
      </c>
      <c r="H484">
        <v>89.42</v>
      </c>
      <c r="I484" t="s">
        <v>52</v>
      </c>
      <c r="J484" t="s">
        <v>65</v>
      </c>
      <c r="K484" t="s">
        <v>54</v>
      </c>
      <c r="L484" t="s">
        <v>55</v>
      </c>
      <c r="O484" t="s">
        <v>66</v>
      </c>
      <c r="P484" t="s">
        <v>67</v>
      </c>
      <c r="Q484">
        <v>43720.04</v>
      </c>
      <c r="R484">
        <v>-89.42</v>
      </c>
      <c r="S484" t="s">
        <v>2895</v>
      </c>
      <c r="T484" t="s">
        <v>2896</v>
      </c>
      <c r="U484" t="s">
        <v>2897</v>
      </c>
    </row>
    <row r="485" spans="1:21">
      <c r="A485" t="s">
        <v>1073</v>
      </c>
      <c r="B485" s="7">
        <v>46148</v>
      </c>
      <c r="C485" s="8">
        <v>0.81752314814814819</v>
      </c>
      <c r="D485" t="s">
        <v>17</v>
      </c>
      <c r="E485" t="s">
        <v>2</v>
      </c>
      <c r="F485" t="s">
        <v>50</v>
      </c>
      <c r="G485" t="s">
        <v>100</v>
      </c>
      <c r="H485">
        <v>129.83000000000001</v>
      </c>
      <c r="I485" t="s">
        <v>52</v>
      </c>
      <c r="J485" t="s">
        <v>177</v>
      </c>
      <c r="K485" t="s">
        <v>54</v>
      </c>
      <c r="L485" t="s">
        <v>102</v>
      </c>
      <c r="O485" t="s">
        <v>178</v>
      </c>
      <c r="P485" t="s">
        <v>179</v>
      </c>
      <c r="Q485">
        <v>44729.86</v>
      </c>
      <c r="R485">
        <v>-129.83000000000001</v>
      </c>
      <c r="S485" t="s">
        <v>2895</v>
      </c>
      <c r="T485" t="s">
        <v>2896</v>
      </c>
      <c r="U485" t="s">
        <v>2897</v>
      </c>
    </row>
    <row r="486" spans="1:21">
      <c r="A486" t="s">
        <v>1075</v>
      </c>
      <c r="B486" s="7">
        <v>46149</v>
      </c>
      <c r="C486" s="8">
        <v>0.51803240740740741</v>
      </c>
      <c r="D486" t="s">
        <v>17</v>
      </c>
      <c r="E486" t="s">
        <v>2</v>
      </c>
      <c r="F486" t="s">
        <v>50</v>
      </c>
      <c r="G486" t="s">
        <v>100</v>
      </c>
      <c r="H486">
        <v>15</v>
      </c>
      <c r="I486" t="s">
        <v>52</v>
      </c>
      <c r="J486" t="s">
        <v>101</v>
      </c>
      <c r="K486" t="s">
        <v>54</v>
      </c>
      <c r="L486" t="s">
        <v>102</v>
      </c>
      <c r="O486" t="s">
        <v>103</v>
      </c>
      <c r="P486" t="s">
        <v>104</v>
      </c>
      <c r="Q486">
        <v>43403.37</v>
      </c>
      <c r="R486">
        <v>-15</v>
      </c>
      <c r="S486" t="s">
        <v>2895</v>
      </c>
      <c r="T486" t="s">
        <v>2896</v>
      </c>
      <c r="U486" t="s">
        <v>2897</v>
      </c>
    </row>
    <row r="487" spans="1:21">
      <c r="A487" t="s">
        <v>1077</v>
      </c>
      <c r="B487" s="7">
        <v>46149</v>
      </c>
      <c r="C487" s="8">
        <v>0.53271990740740738</v>
      </c>
      <c r="D487" t="s">
        <v>17</v>
      </c>
      <c r="E487" t="s">
        <v>2</v>
      </c>
      <c r="F487" t="s">
        <v>50</v>
      </c>
      <c r="G487" t="s">
        <v>51</v>
      </c>
      <c r="H487">
        <v>44.9</v>
      </c>
      <c r="I487" t="s">
        <v>52</v>
      </c>
      <c r="J487" t="s">
        <v>65</v>
      </c>
      <c r="K487" t="s">
        <v>54</v>
      </c>
      <c r="L487" t="s">
        <v>55</v>
      </c>
      <c r="O487" t="s">
        <v>66</v>
      </c>
      <c r="P487" t="s">
        <v>67</v>
      </c>
      <c r="Q487">
        <v>43418.37</v>
      </c>
      <c r="R487">
        <v>-44.9</v>
      </c>
      <c r="S487" t="s">
        <v>2895</v>
      </c>
      <c r="T487" t="s">
        <v>2896</v>
      </c>
      <c r="U487" t="s">
        <v>2897</v>
      </c>
    </row>
    <row r="488" spans="1:21">
      <c r="A488" t="s">
        <v>1079</v>
      </c>
      <c r="B488" s="7">
        <v>46149</v>
      </c>
      <c r="C488" s="8">
        <v>0.63637731481481485</v>
      </c>
      <c r="D488" t="s">
        <v>17</v>
      </c>
      <c r="E488" t="s">
        <v>2</v>
      </c>
      <c r="F488" t="s">
        <v>50</v>
      </c>
      <c r="G488" t="s">
        <v>100</v>
      </c>
      <c r="H488">
        <v>19.73</v>
      </c>
      <c r="I488" t="s">
        <v>52</v>
      </c>
      <c r="J488" t="s">
        <v>114</v>
      </c>
      <c r="K488" t="s">
        <v>54</v>
      </c>
      <c r="L488" t="s">
        <v>102</v>
      </c>
      <c r="O488" t="s">
        <v>103</v>
      </c>
      <c r="P488" t="s">
        <v>104</v>
      </c>
      <c r="Q488">
        <v>43273.37</v>
      </c>
      <c r="R488">
        <v>-19.73</v>
      </c>
      <c r="S488" t="s">
        <v>2895</v>
      </c>
      <c r="T488" t="s">
        <v>2896</v>
      </c>
      <c r="U488" t="s">
        <v>2897</v>
      </c>
    </row>
    <row r="489" spans="1:21">
      <c r="A489" t="s">
        <v>1081</v>
      </c>
      <c r="B489" s="7">
        <v>46149</v>
      </c>
      <c r="C489" s="8">
        <v>0.64200231481481485</v>
      </c>
      <c r="D489" t="s">
        <v>17</v>
      </c>
      <c r="E489" t="s">
        <v>2</v>
      </c>
      <c r="F489" t="s">
        <v>50</v>
      </c>
      <c r="G489" t="s">
        <v>51</v>
      </c>
      <c r="H489">
        <v>110.27</v>
      </c>
      <c r="I489" t="s">
        <v>52</v>
      </c>
      <c r="J489" t="s">
        <v>196</v>
      </c>
      <c r="K489" t="s">
        <v>54</v>
      </c>
      <c r="L489" t="s">
        <v>55</v>
      </c>
      <c r="O489" t="s">
        <v>197</v>
      </c>
      <c r="P489" t="s">
        <v>198</v>
      </c>
      <c r="Q489">
        <v>43293.1</v>
      </c>
      <c r="R489">
        <v>-110.27</v>
      </c>
      <c r="S489" t="s">
        <v>2895</v>
      </c>
      <c r="T489" t="s">
        <v>2896</v>
      </c>
      <c r="U489" t="s">
        <v>2897</v>
      </c>
    </row>
    <row r="490" spans="1:21">
      <c r="A490" t="s">
        <v>1083</v>
      </c>
      <c r="B490" s="7">
        <v>46149</v>
      </c>
      <c r="C490" s="8">
        <v>0.68053240740740739</v>
      </c>
      <c r="D490" t="s">
        <v>17</v>
      </c>
      <c r="E490" t="s">
        <v>2</v>
      </c>
      <c r="F490" t="s">
        <v>50</v>
      </c>
      <c r="G490" t="s">
        <v>100</v>
      </c>
      <c r="H490">
        <v>15</v>
      </c>
      <c r="I490" t="s">
        <v>52</v>
      </c>
      <c r="J490" t="s">
        <v>101</v>
      </c>
      <c r="K490" t="s">
        <v>54</v>
      </c>
      <c r="L490" t="s">
        <v>102</v>
      </c>
      <c r="O490" t="s">
        <v>103</v>
      </c>
      <c r="P490" t="s">
        <v>104</v>
      </c>
      <c r="Q490">
        <v>43463.27</v>
      </c>
      <c r="R490">
        <v>-15</v>
      </c>
      <c r="S490" t="s">
        <v>2895</v>
      </c>
      <c r="T490" t="s">
        <v>2896</v>
      </c>
      <c r="U490" t="s">
        <v>2897</v>
      </c>
    </row>
    <row r="491" spans="1:21">
      <c r="A491" t="s">
        <v>1085</v>
      </c>
      <c r="B491" s="7">
        <v>46149</v>
      </c>
      <c r="C491" s="8">
        <v>0.83809027777777778</v>
      </c>
      <c r="D491" t="s">
        <v>17</v>
      </c>
      <c r="E491" t="s">
        <v>2</v>
      </c>
      <c r="F491" t="s">
        <v>50</v>
      </c>
      <c r="G491" t="s">
        <v>100</v>
      </c>
      <c r="H491">
        <v>23.24</v>
      </c>
      <c r="I491" t="s">
        <v>52</v>
      </c>
      <c r="J491" t="s">
        <v>114</v>
      </c>
      <c r="K491" t="s">
        <v>54</v>
      </c>
      <c r="L491" t="s">
        <v>102</v>
      </c>
      <c r="O491" t="s">
        <v>103</v>
      </c>
      <c r="P491" t="s">
        <v>104</v>
      </c>
      <c r="Q491">
        <v>43250.13</v>
      </c>
      <c r="R491">
        <v>-23.24</v>
      </c>
      <c r="S491" t="s">
        <v>2895</v>
      </c>
      <c r="T491" t="s">
        <v>2896</v>
      </c>
      <c r="U491" t="s">
        <v>2897</v>
      </c>
    </row>
    <row r="492" spans="1:21">
      <c r="A492" t="s">
        <v>1087</v>
      </c>
      <c r="B492" s="7">
        <v>46150</v>
      </c>
      <c r="C492" s="8">
        <v>0.26151620370370371</v>
      </c>
      <c r="D492" t="s">
        <v>17</v>
      </c>
      <c r="E492" t="s">
        <v>2</v>
      </c>
      <c r="F492" t="s">
        <v>50</v>
      </c>
      <c r="G492" t="s">
        <v>51</v>
      </c>
      <c r="H492">
        <v>143.94</v>
      </c>
      <c r="I492" t="s">
        <v>52</v>
      </c>
      <c r="J492" t="s">
        <v>196</v>
      </c>
      <c r="K492" t="s">
        <v>54</v>
      </c>
      <c r="L492" t="s">
        <v>55</v>
      </c>
      <c r="O492" t="s">
        <v>197</v>
      </c>
      <c r="P492" t="s">
        <v>198</v>
      </c>
      <c r="Q492">
        <v>43028.2</v>
      </c>
      <c r="R492">
        <v>-143.94</v>
      </c>
      <c r="S492" t="s">
        <v>2895</v>
      </c>
      <c r="T492" t="s">
        <v>2896</v>
      </c>
      <c r="U492" t="s">
        <v>2897</v>
      </c>
    </row>
    <row r="493" spans="1:21">
      <c r="A493" t="s">
        <v>1089</v>
      </c>
      <c r="B493" s="7">
        <v>46150</v>
      </c>
      <c r="C493" s="8">
        <v>0.31460648148148146</v>
      </c>
      <c r="D493" t="s">
        <v>17</v>
      </c>
      <c r="E493" t="s">
        <v>2</v>
      </c>
      <c r="F493" t="s">
        <v>50</v>
      </c>
      <c r="G493" t="s">
        <v>100</v>
      </c>
      <c r="H493">
        <v>17.32</v>
      </c>
      <c r="I493" t="s">
        <v>52</v>
      </c>
      <c r="J493" t="s">
        <v>114</v>
      </c>
      <c r="K493" t="s">
        <v>54</v>
      </c>
      <c r="L493" t="s">
        <v>102</v>
      </c>
      <c r="O493" t="s">
        <v>103</v>
      </c>
      <c r="P493" t="s">
        <v>104</v>
      </c>
      <c r="Q493">
        <v>42952.06</v>
      </c>
      <c r="R493">
        <v>-17.32</v>
      </c>
      <c r="S493" t="s">
        <v>2895</v>
      </c>
      <c r="T493" t="s">
        <v>2896</v>
      </c>
      <c r="U493" t="s">
        <v>2897</v>
      </c>
    </row>
    <row r="494" spans="1:21">
      <c r="A494" t="s">
        <v>1091</v>
      </c>
      <c r="B494" s="7">
        <v>46150</v>
      </c>
      <c r="C494" s="8">
        <v>0.32500000000000001</v>
      </c>
      <c r="D494" t="s">
        <v>17</v>
      </c>
      <c r="E494" t="s">
        <v>2</v>
      </c>
      <c r="F494" t="s">
        <v>50</v>
      </c>
      <c r="G494" t="s">
        <v>88</v>
      </c>
      <c r="H494">
        <v>200</v>
      </c>
      <c r="I494" t="s">
        <v>52</v>
      </c>
      <c r="J494" t="s">
        <v>89</v>
      </c>
      <c r="K494" t="s">
        <v>54</v>
      </c>
      <c r="L494" t="s">
        <v>90</v>
      </c>
      <c r="M494" t="s">
        <v>91</v>
      </c>
      <c r="N494" t="s">
        <v>12</v>
      </c>
      <c r="O494" t="s">
        <v>92</v>
      </c>
      <c r="P494" t="s">
        <v>93</v>
      </c>
      <c r="Q494">
        <v>42752.06</v>
      </c>
      <c r="R494">
        <v>-200</v>
      </c>
      <c r="S494" t="s">
        <v>2895</v>
      </c>
      <c r="T494" t="s">
        <v>2896</v>
      </c>
      <c r="U494" t="s">
        <v>2897</v>
      </c>
    </row>
    <row r="495" spans="1:21">
      <c r="A495" t="s">
        <v>1093</v>
      </c>
      <c r="B495" s="7">
        <v>46150</v>
      </c>
      <c r="C495" s="8">
        <v>0.51474537037037038</v>
      </c>
      <c r="D495" t="s">
        <v>17</v>
      </c>
      <c r="E495" t="s">
        <v>2</v>
      </c>
      <c r="F495" t="s">
        <v>50</v>
      </c>
      <c r="G495" t="s">
        <v>51</v>
      </c>
      <c r="H495">
        <v>8.61</v>
      </c>
      <c r="I495" t="s">
        <v>52</v>
      </c>
      <c r="J495" t="s">
        <v>121</v>
      </c>
      <c r="K495" t="s">
        <v>54</v>
      </c>
      <c r="L495" t="s">
        <v>55</v>
      </c>
      <c r="O495" t="s">
        <v>122</v>
      </c>
      <c r="P495" t="s">
        <v>123</v>
      </c>
      <c r="Q495">
        <v>43019.59</v>
      </c>
      <c r="R495">
        <v>-8.61</v>
      </c>
      <c r="S495" t="s">
        <v>2895</v>
      </c>
      <c r="T495" t="s">
        <v>2896</v>
      </c>
      <c r="U495" t="s">
        <v>2897</v>
      </c>
    </row>
    <row r="496" spans="1:21">
      <c r="A496" t="s">
        <v>1095</v>
      </c>
      <c r="B496" s="7">
        <v>46150</v>
      </c>
      <c r="C496" s="8">
        <v>0.56359953703703702</v>
      </c>
      <c r="D496" t="s">
        <v>17</v>
      </c>
      <c r="E496" t="s">
        <v>2</v>
      </c>
      <c r="F496" t="s">
        <v>50</v>
      </c>
      <c r="G496" t="s">
        <v>51</v>
      </c>
      <c r="H496">
        <v>13.83</v>
      </c>
      <c r="I496" t="s">
        <v>52</v>
      </c>
      <c r="J496" t="s">
        <v>121</v>
      </c>
      <c r="K496" t="s">
        <v>54</v>
      </c>
      <c r="L496" t="s">
        <v>55</v>
      </c>
      <c r="O496" t="s">
        <v>122</v>
      </c>
      <c r="P496" t="s">
        <v>123</v>
      </c>
      <c r="Q496">
        <v>43005.760000000002</v>
      </c>
      <c r="R496">
        <v>-13.83</v>
      </c>
      <c r="S496" t="s">
        <v>2895</v>
      </c>
      <c r="T496" t="s">
        <v>2896</v>
      </c>
      <c r="U496" t="s">
        <v>2897</v>
      </c>
    </row>
    <row r="497" spans="1:21">
      <c r="A497" t="s">
        <v>1097</v>
      </c>
      <c r="B497" s="7">
        <v>46150</v>
      </c>
      <c r="C497" s="8">
        <v>0.71537037037037032</v>
      </c>
      <c r="D497" t="s">
        <v>17</v>
      </c>
      <c r="E497" t="s">
        <v>2</v>
      </c>
      <c r="F497" t="s">
        <v>50</v>
      </c>
      <c r="G497" t="s">
        <v>100</v>
      </c>
      <c r="H497">
        <v>15</v>
      </c>
      <c r="I497" t="s">
        <v>52</v>
      </c>
      <c r="J497" t="s">
        <v>101</v>
      </c>
      <c r="K497" t="s">
        <v>54</v>
      </c>
      <c r="L497" t="s">
        <v>102</v>
      </c>
      <c r="O497" t="s">
        <v>103</v>
      </c>
      <c r="P497" t="s">
        <v>104</v>
      </c>
      <c r="Q497">
        <v>42969.38</v>
      </c>
      <c r="R497">
        <v>-15</v>
      </c>
      <c r="S497" t="s">
        <v>2895</v>
      </c>
      <c r="T497" t="s">
        <v>2896</v>
      </c>
      <c r="U497" t="s">
        <v>2897</v>
      </c>
    </row>
    <row r="498" spans="1:21">
      <c r="A498" t="s">
        <v>1099</v>
      </c>
      <c r="B498" s="7">
        <v>46150</v>
      </c>
      <c r="C498" s="8">
        <v>0.79347222222222225</v>
      </c>
      <c r="D498" t="s">
        <v>17</v>
      </c>
      <c r="E498" t="s">
        <v>2</v>
      </c>
      <c r="F498" t="s">
        <v>50</v>
      </c>
      <c r="G498" t="s">
        <v>51</v>
      </c>
      <c r="H498">
        <v>77.989999999999995</v>
      </c>
      <c r="I498" t="s">
        <v>52</v>
      </c>
      <c r="J498" t="s">
        <v>196</v>
      </c>
      <c r="K498" t="s">
        <v>54</v>
      </c>
      <c r="L498" t="s">
        <v>55</v>
      </c>
      <c r="O498" t="s">
        <v>197</v>
      </c>
      <c r="P498" t="s">
        <v>198</v>
      </c>
      <c r="Q498">
        <v>43172.14</v>
      </c>
      <c r="R498">
        <v>-77.989999999999995</v>
      </c>
      <c r="S498" t="s">
        <v>2895</v>
      </c>
      <c r="T498" t="s">
        <v>2896</v>
      </c>
      <c r="U498" t="s">
        <v>2897</v>
      </c>
    </row>
    <row r="499" spans="1:21">
      <c r="A499" t="s">
        <v>1101</v>
      </c>
      <c r="B499" s="7">
        <v>46150</v>
      </c>
      <c r="C499" s="8">
        <v>0.90741898148148148</v>
      </c>
      <c r="D499" t="s">
        <v>17</v>
      </c>
      <c r="E499" t="s">
        <v>2</v>
      </c>
      <c r="F499" t="s">
        <v>50</v>
      </c>
      <c r="G499" t="s">
        <v>51</v>
      </c>
      <c r="H499">
        <v>21.38</v>
      </c>
      <c r="I499" t="s">
        <v>52</v>
      </c>
      <c r="J499" t="s">
        <v>81</v>
      </c>
      <c r="K499" t="s">
        <v>54</v>
      </c>
      <c r="L499" t="s">
        <v>55</v>
      </c>
      <c r="O499" t="s">
        <v>82</v>
      </c>
      <c r="P499" t="s">
        <v>83</v>
      </c>
      <c r="Q499">
        <v>42984.38</v>
      </c>
      <c r="R499">
        <v>-21.38</v>
      </c>
      <c r="S499" t="s">
        <v>2895</v>
      </c>
      <c r="T499" t="s">
        <v>2896</v>
      </c>
      <c r="U499" t="s">
        <v>2897</v>
      </c>
    </row>
    <row r="500" spans="1:21">
      <c r="A500" t="s">
        <v>1103</v>
      </c>
      <c r="B500" s="7">
        <v>46151</v>
      </c>
      <c r="C500" s="8">
        <v>0.46317129629629628</v>
      </c>
      <c r="D500" t="s">
        <v>17</v>
      </c>
      <c r="E500" t="s">
        <v>2</v>
      </c>
      <c r="F500" t="s">
        <v>50</v>
      </c>
      <c r="G500" t="s">
        <v>51</v>
      </c>
      <c r="H500">
        <v>18.32</v>
      </c>
      <c r="I500" t="s">
        <v>52</v>
      </c>
      <c r="J500" t="s">
        <v>121</v>
      </c>
      <c r="K500" t="s">
        <v>54</v>
      </c>
      <c r="L500" t="s">
        <v>55</v>
      </c>
      <c r="O500" t="s">
        <v>122</v>
      </c>
      <c r="P500" t="s">
        <v>123</v>
      </c>
      <c r="Q500">
        <v>42547.53</v>
      </c>
      <c r="R500">
        <v>-18.32</v>
      </c>
      <c r="S500" t="s">
        <v>2895</v>
      </c>
      <c r="T500" t="s">
        <v>2896</v>
      </c>
      <c r="U500" t="s">
        <v>2897</v>
      </c>
    </row>
    <row r="501" spans="1:21">
      <c r="A501" t="s">
        <v>1105</v>
      </c>
      <c r="B501" s="7">
        <v>46151</v>
      </c>
      <c r="C501" s="8">
        <v>0.54496527777777781</v>
      </c>
      <c r="D501" t="s">
        <v>17</v>
      </c>
      <c r="E501" t="s">
        <v>2</v>
      </c>
      <c r="F501" t="s">
        <v>50</v>
      </c>
      <c r="G501" t="s">
        <v>51</v>
      </c>
      <c r="H501">
        <v>41.7</v>
      </c>
      <c r="I501" t="s">
        <v>52</v>
      </c>
      <c r="J501" t="s">
        <v>126</v>
      </c>
      <c r="K501" t="s">
        <v>54</v>
      </c>
      <c r="L501" t="s">
        <v>55</v>
      </c>
      <c r="O501" t="s">
        <v>56</v>
      </c>
      <c r="P501" t="s">
        <v>57</v>
      </c>
      <c r="Q501">
        <v>42710.36</v>
      </c>
      <c r="R501">
        <v>-41.7</v>
      </c>
      <c r="S501" t="s">
        <v>2895</v>
      </c>
      <c r="T501" t="s">
        <v>2896</v>
      </c>
      <c r="U501" t="s">
        <v>2897</v>
      </c>
    </row>
    <row r="502" spans="1:21">
      <c r="A502" t="s">
        <v>1107</v>
      </c>
      <c r="B502" s="7">
        <v>46151</v>
      </c>
      <c r="C502" s="8">
        <v>0.55045138888888889</v>
      </c>
      <c r="D502" t="s">
        <v>17</v>
      </c>
      <c r="E502" t="s">
        <v>2</v>
      </c>
      <c r="F502" t="s">
        <v>50</v>
      </c>
      <c r="G502" t="s">
        <v>51</v>
      </c>
      <c r="H502">
        <v>48.22</v>
      </c>
      <c r="I502" t="s">
        <v>52</v>
      </c>
      <c r="J502" t="s">
        <v>60</v>
      </c>
      <c r="K502" t="s">
        <v>54</v>
      </c>
      <c r="L502" t="s">
        <v>55</v>
      </c>
      <c r="O502" t="s">
        <v>61</v>
      </c>
      <c r="P502" t="s">
        <v>62</v>
      </c>
      <c r="Q502">
        <v>42499.31</v>
      </c>
      <c r="R502">
        <v>-48.22</v>
      </c>
      <c r="S502" t="s">
        <v>2895</v>
      </c>
      <c r="T502" t="s">
        <v>2896</v>
      </c>
      <c r="U502" t="s">
        <v>2897</v>
      </c>
    </row>
    <row r="503" spans="1:21">
      <c r="A503" t="s">
        <v>1109</v>
      </c>
      <c r="B503" s="7">
        <v>46151</v>
      </c>
      <c r="C503" s="8">
        <v>0.57238425925925929</v>
      </c>
      <c r="D503" t="s">
        <v>17</v>
      </c>
      <c r="E503" t="s">
        <v>2</v>
      </c>
      <c r="F503" t="s">
        <v>149</v>
      </c>
      <c r="G503" t="s">
        <v>72</v>
      </c>
      <c r="H503">
        <v>93.44</v>
      </c>
      <c r="I503" t="s">
        <v>52</v>
      </c>
      <c r="J503" t="s">
        <v>233</v>
      </c>
      <c r="K503" t="s">
        <v>54</v>
      </c>
      <c r="L503" t="s">
        <v>74</v>
      </c>
      <c r="O503" t="s">
        <v>75</v>
      </c>
      <c r="P503" t="s">
        <v>76</v>
      </c>
      <c r="Q503">
        <v>42578.96</v>
      </c>
      <c r="R503">
        <v>93.44</v>
      </c>
      <c r="S503" t="s">
        <v>2895</v>
      </c>
      <c r="T503" t="s">
        <v>2896</v>
      </c>
      <c r="U503" t="s">
        <v>2897</v>
      </c>
    </row>
    <row r="504" spans="1:21">
      <c r="A504" t="s">
        <v>1111</v>
      </c>
      <c r="B504" s="7">
        <v>46151</v>
      </c>
      <c r="C504" s="8">
        <v>0.6260648148148148</v>
      </c>
      <c r="D504" t="s">
        <v>17</v>
      </c>
      <c r="E504" t="s">
        <v>2</v>
      </c>
      <c r="F504" t="s">
        <v>50</v>
      </c>
      <c r="G504" t="s">
        <v>100</v>
      </c>
      <c r="H504">
        <v>20.83</v>
      </c>
      <c r="I504" t="s">
        <v>52</v>
      </c>
      <c r="J504" t="s">
        <v>114</v>
      </c>
      <c r="K504" t="s">
        <v>54</v>
      </c>
      <c r="L504" t="s">
        <v>102</v>
      </c>
      <c r="O504" t="s">
        <v>103</v>
      </c>
      <c r="P504" t="s">
        <v>104</v>
      </c>
      <c r="Q504">
        <v>42565.85</v>
      </c>
      <c r="R504">
        <v>-20.83</v>
      </c>
      <c r="S504" t="s">
        <v>2895</v>
      </c>
      <c r="T504" t="s">
        <v>2896</v>
      </c>
      <c r="U504" t="s">
        <v>2897</v>
      </c>
    </row>
    <row r="505" spans="1:21">
      <c r="A505" t="s">
        <v>1113</v>
      </c>
      <c r="B505" s="7">
        <v>46151</v>
      </c>
      <c r="C505" s="8">
        <v>0.7207175925925926</v>
      </c>
      <c r="D505" t="s">
        <v>17</v>
      </c>
      <c r="E505" t="s">
        <v>2</v>
      </c>
      <c r="F505" t="s">
        <v>50</v>
      </c>
      <c r="G505" t="s">
        <v>100</v>
      </c>
      <c r="H505">
        <v>13.79</v>
      </c>
      <c r="I505" t="s">
        <v>52</v>
      </c>
      <c r="J505" t="s">
        <v>114</v>
      </c>
      <c r="K505" t="s">
        <v>54</v>
      </c>
      <c r="L505" t="s">
        <v>102</v>
      </c>
      <c r="O505" t="s">
        <v>103</v>
      </c>
      <c r="P505" t="s">
        <v>104</v>
      </c>
      <c r="Q505">
        <v>42485.52</v>
      </c>
      <c r="R505">
        <v>-13.79</v>
      </c>
      <c r="S505" t="s">
        <v>2895</v>
      </c>
      <c r="T505" t="s">
        <v>2896</v>
      </c>
      <c r="U505" t="s">
        <v>2897</v>
      </c>
    </row>
    <row r="506" spans="1:21">
      <c r="A506" t="s">
        <v>1115</v>
      </c>
      <c r="B506" s="7">
        <v>46151</v>
      </c>
      <c r="C506" s="8">
        <v>0.79167824074074078</v>
      </c>
      <c r="D506" t="s">
        <v>17</v>
      </c>
      <c r="E506" t="s">
        <v>2</v>
      </c>
      <c r="F506" t="s">
        <v>50</v>
      </c>
      <c r="G506" t="s">
        <v>51</v>
      </c>
      <c r="H506">
        <v>18.84</v>
      </c>
      <c r="I506" t="s">
        <v>52</v>
      </c>
      <c r="J506" t="s">
        <v>65</v>
      </c>
      <c r="K506" t="s">
        <v>54</v>
      </c>
      <c r="L506" t="s">
        <v>55</v>
      </c>
      <c r="O506" t="s">
        <v>66</v>
      </c>
      <c r="P506" t="s">
        <v>67</v>
      </c>
      <c r="Q506">
        <v>42586.68</v>
      </c>
      <c r="R506">
        <v>-18.84</v>
      </c>
      <c r="S506" t="s">
        <v>2895</v>
      </c>
      <c r="T506" t="s">
        <v>2896</v>
      </c>
      <c r="U506" t="s">
        <v>2897</v>
      </c>
    </row>
    <row r="507" spans="1:21">
      <c r="A507" t="s">
        <v>1117</v>
      </c>
      <c r="B507" s="7">
        <v>46151</v>
      </c>
      <c r="C507" s="8">
        <v>0.90452546296296299</v>
      </c>
      <c r="D507" t="s">
        <v>17</v>
      </c>
      <c r="E507" t="s">
        <v>2</v>
      </c>
      <c r="F507" t="s">
        <v>50</v>
      </c>
      <c r="G507" t="s">
        <v>51</v>
      </c>
      <c r="H507">
        <v>96.47</v>
      </c>
      <c r="I507" t="s">
        <v>52</v>
      </c>
      <c r="J507" t="s">
        <v>65</v>
      </c>
      <c r="K507" t="s">
        <v>54</v>
      </c>
      <c r="L507" t="s">
        <v>55</v>
      </c>
      <c r="O507" t="s">
        <v>66</v>
      </c>
      <c r="P507" t="s">
        <v>67</v>
      </c>
      <c r="Q507">
        <v>42605.52</v>
      </c>
      <c r="R507">
        <v>-96.47</v>
      </c>
      <c r="S507" t="s">
        <v>2895</v>
      </c>
      <c r="T507" t="s">
        <v>2896</v>
      </c>
      <c r="U507" t="s">
        <v>2897</v>
      </c>
    </row>
    <row r="508" spans="1:21">
      <c r="A508" t="s">
        <v>1119</v>
      </c>
      <c r="B508" s="7">
        <v>46151</v>
      </c>
      <c r="C508" s="8">
        <v>0.93707175925925923</v>
      </c>
      <c r="D508" t="s">
        <v>17</v>
      </c>
      <c r="E508" t="s">
        <v>2</v>
      </c>
      <c r="F508" t="s">
        <v>50</v>
      </c>
      <c r="G508" t="s">
        <v>51</v>
      </c>
      <c r="H508">
        <v>8.3699999999999992</v>
      </c>
      <c r="I508" t="s">
        <v>52</v>
      </c>
      <c r="J508" t="s">
        <v>126</v>
      </c>
      <c r="K508" t="s">
        <v>54</v>
      </c>
      <c r="L508" t="s">
        <v>55</v>
      </c>
      <c r="O508" t="s">
        <v>56</v>
      </c>
      <c r="P508" t="s">
        <v>57</v>
      </c>
      <c r="Q508">
        <v>42701.99</v>
      </c>
      <c r="R508">
        <v>-8.3699999999999992</v>
      </c>
      <c r="S508" t="s">
        <v>2895</v>
      </c>
      <c r="T508" t="s">
        <v>2896</v>
      </c>
      <c r="U508" t="s">
        <v>2897</v>
      </c>
    </row>
    <row r="509" spans="1:21">
      <c r="A509" t="s">
        <v>1121</v>
      </c>
      <c r="B509" s="7">
        <v>46152</v>
      </c>
      <c r="C509" s="8">
        <v>0.28067129629629628</v>
      </c>
      <c r="D509" t="s">
        <v>17</v>
      </c>
      <c r="E509" t="s">
        <v>2</v>
      </c>
      <c r="F509" t="s">
        <v>50</v>
      </c>
      <c r="G509" t="s">
        <v>100</v>
      </c>
      <c r="H509">
        <v>15</v>
      </c>
      <c r="I509" t="s">
        <v>52</v>
      </c>
      <c r="J509" t="s">
        <v>101</v>
      </c>
      <c r="K509" t="s">
        <v>54</v>
      </c>
      <c r="L509" t="s">
        <v>102</v>
      </c>
      <c r="O509" t="s">
        <v>103</v>
      </c>
      <c r="P509" t="s">
        <v>104</v>
      </c>
      <c r="Q509">
        <v>42534.09</v>
      </c>
      <c r="R509">
        <v>-15</v>
      </c>
      <c r="S509" t="s">
        <v>2895</v>
      </c>
      <c r="T509" t="s">
        <v>2896</v>
      </c>
      <c r="U509" t="s">
        <v>2897</v>
      </c>
    </row>
    <row r="510" spans="1:21">
      <c r="A510" t="s">
        <v>1123</v>
      </c>
      <c r="B510" s="7">
        <v>46152</v>
      </c>
      <c r="C510" s="8">
        <v>0.41496527777777775</v>
      </c>
      <c r="D510" t="s">
        <v>17</v>
      </c>
      <c r="E510" t="s">
        <v>2</v>
      </c>
      <c r="F510" t="s">
        <v>50</v>
      </c>
      <c r="G510" t="s">
        <v>51</v>
      </c>
      <c r="H510">
        <v>37.42</v>
      </c>
      <c r="I510" t="s">
        <v>52</v>
      </c>
      <c r="J510" t="s">
        <v>81</v>
      </c>
      <c r="K510" t="s">
        <v>54</v>
      </c>
      <c r="L510" t="s">
        <v>55</v>
      </c>
      <c r="O510" t="s">
        <v>82</v>
      </c>
      <c r="P510" t="s">
        <v>83</v>
      </c>
      <c r="Q510">
        <v>42449.68</v>
      </c>
      <c r="R510">
        <v>-37.42</v>
      </c>
      <c r="S510" t="s">
        <v>2895</v>
      </c>
      <c r="T510" t="s">
        <v>2896</v>
      </c>
      <c r="U510" t="s">
        <v>2897</v>
      </c>
    </row>
    <row r="511" spans="1:21">
      <c r="A511" t="s">
        <v>1125</v>
      </c>
      <c r="B511" s="7">
        <v>46152</v>
      </c>
      <c r="C511" s="8">
        <v>0.7670717592592593</v>
      </c>
      <c r="D511" t="s">
        <v>17</v>
      </c>
      <c r="E511" t="s">
        <v>2</v>
      </c>
      <c r="F511" t="s">
        <v>50</v>
      </c>
      <c r="G511" t="s">
        <v>51</v>
      </c>
      <c r="H511">
        <v>29.87</v>
      </c>
      <c r="I511" t="s">
        <v>52</v>
      </c>
      <c r="J511" t="s">
        <v>65</v>
      </c>
      <c r="K511" t="s">
        <v>54</v>
      </c>
      <c r="L511" t="s">
        <v>55</v>
      </c>
      <c r="O511" t="s">
        <v>66</v>
      </c>
      <c r="P511" t="s">
        <v>67</v>
      </c>
      <c r="Q511">
        <v>42549.09</v>
      </c>
      <c r="R511">
        <v>-29.87</v>
      </c>
      <c r="S511" t="s">
        <v>2895</v>
      </c>
      <c r="T511" t="s">
        <v>2896</v>
      </c>
      <c r="U511" t="s">
        <v>2897</v>
      </c>
    </row>
    <row r="512" spans="1:21">
      <c r="A512" t="s">
        <v>1127</v>
      </c>
      <c r="B512" s="7">
        <v>46152</v>
      </c>
      <c r="C512" s="8">
        <v>0.82071759259259258</v>
      </c>
      <c r="D512" t="s">
        <v>17</v>
      </c>
      <c r="E512" t="s">
        <v>2</v>
      </c>
      <c r="F512" t="s">
        <v>50</v>
      </c>
      <c r="G512" t="s">
        <v>51</v>
      </c>
      <c r="H512">
        <v>46.99</v>
      </c>
      <c r="I512" t="s">
        <v>52</v>
      </c>
      <c r="J512" t="s">
        <v>60</v>
      </c>
      <c r="K512" t="s">
        <v>54</v>
      </c>
      <c r="L512" t="s">
        <v>55</v>
      </c>
      <c r="O512" t="s">
        <v>61</v>
      </c>
      <c r="P512" t="s">
        <v>62</v>
      </c>
      <c r="Q512">
        <v>42487.1</v>
      </c>
      <c r="R512">
        <v>-46.99</v>
      </c>
      <c r="S512" t="s">
        <v>2895</v>
      </c>
      <c r="T512" t="s">
        <v>2896</v>
      </c>
      <c r="U512" t="s">
        <v>2897</v>
      </c>
    </row>
    <row r="513" spans="1:21">
      <c r="A513" t="s">
        <v>1129</v>
      </c>
      <c r="B513" s="7">
        <v>46152</v>
      </c>
      <c r="C513" s="8">
        <v>0.8868287037037037</v>
      </c>
      <c r="D513" t="s">
        <v>17</v>
      </c>
      <c r="E513" t="s">
        <v>2</v>
      </c>
      <c r="F513" t="s">
        <v>50</v>
      </c>
      <c r="G513" t="s">
        <v>51</v>
      </c>
      <c r="H513">
        <v>47.18</v>
      </c>
      <c r="I513" t="s">
        <v>52</v>
      </c>
      <c r="J513" t="s">
        <v>65</v>
      </c>
      <c r="K513" t="s">
        <v>54</v>
      </c>
      <c r="L513" t="s">
        <v>55</v>
      </c>
      <c r="O513" t="s">
        <v>66</v>
      </c>
      <c r="P513" t="s">
        <v>67</v>
      </c>
      <c r="Q513">
        <v>42402.5</v>
      </c>
      <c r="R513">
        <v>-47.18</v>
      </c>
      <c r="S513" t="s">
        <v>2895</v>
      </c>
      <c r="T513" t="s">
        <v>2896</v>
      </c>
      <c r="U513" t="s">
        <v>2897</v>
      </c>
    </row>
    <row r="514" spans="1:21">
      <c r="A514" t="s">
        <v>1131</v>
      </c>
      <c r="B514" s="7">
        <v>46153</v>
      </c>
      <c r="C514" s="8">
        <v>0.29998842592592595</v>
      </c>
      <c r="D514" t="s">
        <v>17</v>
      </c>
      <c r="E514" t="s">
        <v>2</v>
      </c>
      <c r="F514" t="s">
        <v>50</v>
      </c>
      <c r="G514" t="s">
        <v>100</v>
      </c>
      <c r="H514">
        <v>18.45</v>
      </c>
      <c r="I514" t="s">
        <v>52</v>
      </c>
      <c r="J514" t="s">
        <v>114</v>
      </c>
      <c r="K514" t="s">
        <v>54</v>
      </c>
      <c r="L514" t="s">
        <v>102</v>
      </c>
      <c r="O514" t="s">
        <v>103</v>
      </c>
      <c r="P514" t="s">
        <v>104</v>
      </c>
      <c r="Q514">
        <v>42384.05</v>
      </c>
      <c r="R514">
        <v>-18.45</v>
      </c>
      <c r="S514" t="s">
        <v>2895</v>
      </c>
      <c r="T514" t="s">
        <v>2896</v>
      </c>
      <c r="U514" t="s">
        <v>2897</v>
      </c>
    </row>
    <row r="515" spans="1:21">
      <c r="A515" t="s">
        <v>1133</v>
      </c>
      <c r="B515" s="7">
        <v>46153</v>
      </c>
      <c r="C515" s="8">
        <v>0.34835648148148146</v>
      </c>
      <c r="D515" t="s">
        <v>17</v>
      </c>
      <c r="E515" t="s">
        <v>2</v>
      </c>
      <c r="F515" t="s">
        <v>50</v>
      </c>
      <c r="G515" t="s">
        <v>51</v>
      </c>
      <c r="H515">
        <v>7.41</v>
      </c>
      <c r="I515" t="s">
        <v>52</v>
      </c>
      <c r="J515" t="s">
        <v>121</v>
      </c>
      <c r="K515" t="s">
        <v>54</v>
      </c>
      <c r="L515" t="s">
        <v>55</v>
      </c>
      <c r="O515" t="s">
        <v>122</v>
      </c>
      <c r="P515" t="s">
        <v>123</v>
      </c>
      <c r="Q515">
        <v>42172.29</v>
      </c>
      <c r="R515">
        <v>-7.41</v>
      </c>
      <c r="S515" t="s">
        <v>2895</v>
      </c>
      <c r="T515" t="s">
        <v>2896</v>
      </c>
      <c r="U515" t="s">
        <v>2897</v>
      </c>
    </row>
    <row r="516" spans="1:21">
      <c r="A516" t="s">
        <v>1135</v>
      </c>
      <c r="B516" s="7">
        <v>46153</v>
      </c>
      <c r="C516" s="8">
        <v>0.45189814814814816</v>
      </c>
      <c r="D516" t="s">
        <v>17</v>
      </c>
      <c r="E516" t="s">
        <v>2</v>
      </c>
      <c r="F516" t="s">
        <v>50</v>
      </c>
      <c r="G516" t="s">
        <v>100</v>
      </c>
      <c r="H516">
        <v>14.98</v>
      </c>
      <c r="I516" t="s">
        <v>52</v>
      </c>
      <c r="J516" t="s">
        <v>114</v>
      </c>
      <c r="K516" t="s">
        <v>54</v>
      </c>
      <c r="L516" t="s">
        <v>102</v>
      </c>
      <c r="O516" t="s">
        <v>103</v>
      </c>
      <c r="P516" t="s">
        <v>104</v>
      </c>
      <c r="Q516">
        <v>42226.74</v>
      </c>
      <c r="R516">
        <v>-14.98</v>
      </c>
      <c r="S516" t="s">
        <v>2895</v>
      </c>
      <c r="T516" t="s">
        <v>2896</v>
      </c>
      <c r="U516" t="s">
        <v>2897</v>
      </c>
    </row>
    <row r="517" spans="1:21">
      <c r="A517" t="s">
        <v>1137</v>
      </c>
      <c r="B517" s="7">
        <v>46153</v>
      </c>
      <c r="C517" s="8">
        <v>0.52579861111111115</v>
      </c>
      <c r="D517" t="s">
        <v>17</v>
      </c>
      <c r="E517" t="s">
        <v>2</v>
      </c>
      <c r="F517" t="s">
        <v>50</v>
      </c>
      <c r="G517" t="s">
        <v>51</v>
      </c>
      <c r="H517">
        <v>8.81</v>
      </c>
      <c r="I517" t="s">
        <v>52</v>
      </c>
      <c r="J517" t="s">
        <v>81</v>
      </c>
      <c r="K517" t="s">
        <v>54</v>
      </c>
      <c r="L517" t="s">
        <v>55</v>
      </c>
      <c r="O517" t="s">
        <v>82</v>
      </c>
      <c r="P517" t="s">
        <v>83</v>
      </c>
      <c r="Q517">
        <v>42375.24</v>
      </c>
      <c r="R517">
        <v>-8.81</v>
      </c>
      <c r="S517" t="s">
        <v>2895</v>
      </c>
      <c r="T517" t="s">
        <v>2896</v>
      </c>
      <c r="U517" t="s">
        <v>2897</v>
      </c>
    </row>
    <row r="518" spans="1:21">
      <c r="A518" t="s">
        <v>1139</v>
      </c>
      <c r="B518" s="7">
        <v>46153</v>
      </c>
      <c r="C518" s="8">
        <v>0.63236111111111115</v>
      </c>
      <c r="D518" t="s">
        <v>17</v>
      </c>
      <c r="E518" t="s">
        <v>2</v>
      </c>
      <c r="F518" t="s">
        <v>50</v>
      </c>
      <c r="G518" t="s">
        <v>51</v>
      </c>
      <c r="H518">
        <v>20.65</v>
      </c>
      <c r="I518" t="s">
        <v>52</v>
      </c>
      <c r="J518" t="s">
        <v>121</v>
      </c>
      <c r="K518" t="s">
        <v>54</v>
      </c>
      <c r="L518" t="s">
        <v>55</v>
      </c>
      <c r="O518" t="s">
        <v>122</v>
      </c>
      <c r="P518" t="s">
        <v>123</v>
      </c>
      <c r="Q518">
        <v>42354.59</v>
      </c>
      <c r="R518">
        <v>-20.65</v>
      </c>
      <c r="S518" t="s">
        <v>2895</v>
      </c>
      <c r="T518" t="s">
        <v>2896</v>
      </c>
      <c r="U518" t="s">
        <v>2897</v>
      </c>
    </row>
    <row r="519" spans="1:21">
      <c r="A519" t="s">
        <v>1141</v>
      </c>
      <c r="B519" s="7">
        <v>46153</v>
      </c>
      <c r="C519" s="8">
        <v>0.71048611111111115</v>
      </c>
      <c r="D519" t="s">
        <v>17</v>
      </c>
      <c r="E519" t="s">
        <v>2</v>
      </c>
      <c r="F519" t="s">
        <v>50</v>
      </c>
      <c r="G519" t="s">
        <v>51</v>
      </c>
      <c r="H519">
        <v>47.04</v>
      </c>
      <c r="I519" t="s">
        <v>52</v>
      </c>
      <c r="J519" t="s">
        <v>60</v>
      </c>
      <c r="K519" t="s">
        <v>54</v>
      </c>
      <c r="L519" t="s">
        <v>55</v>
      </c>
      <c r="O519" t="s">
        <v>61</v>
      </c>
      <c r="P519" t="s">
        <v>62</v>
      </c>
      <c r="Q519">
        <v>42179.7</v>
      </c>
      <c r="R519">
        <v>-47.04</v>
      </c>
      <c r="S519" t="s">
        <v>2895</v>
      </c>
      <c r="T519" t="s">
        <v>2896</v>
      </c>
      <c r="U519" t="s">
        <v>2897</v>
      </c>
    </row>
    <row r="520" spans="1:21">
      <c r="A520" t="s">
        <v>1143</v>
      </c>
      <c r="B520" s="7">
        <v>46153</v>
      </c>
      <c r="C520" s="8">
        <v>0.78052083333333333</v>
      </c>
      <c r="D520" t="s">
        <v>17</v>
      </c>
      <c r="E520" t="s">
        <v>2</v>
      </c>
      <c r="F520" t="s">
        <v>50</v>
      </c>
      <c r="G520" t="s">
        <v>51</v>
      </c>
      <c r="H520">
        <v>112.87</v>
      </c>
      <c r="I520" t="s">
        <v>52</v>
      </c>
      <c r="J520" t="s">
        <v>196</v>
      </c>
      <c r="K520" t="s">
        <v>54</v>
      </c>
      <c r="L520" t="s">
        <v>55</v>
      </c>
      <c r="O520" t="s">
        <v>197</v>
      </c>
      <c r="P520" t="s">
        <v>198</v>
      </c>
      <c r="Q520">
        <v>42241.72</v>
      </c>
      <c r="R520">
        <v>-112.87</v>
      </c>
      <c r="S520" t="s">
        <v>2895</v>
      </c>
      <c r="T520" t="s">
        <v>2896</v>
      </c>
      <c r="U520" t="s">
        <v>2897</v>
      </c>
    </row>
    <row r="521" spans="1:21">
      <c r="A521" t="s">
        <v>1145</v>
      </c>
      <c r="B521" s="7">
        <v>46154</v>
      </c>
      <c r="C521" s="8">
        <v>0.34128472222222223</v>
      </c>
      <c r="D521" t="s">
        <v>17</v>
      </c>
      <c r="E521" t="s">
        <v>2</v>
      </c>
      <c r="F521" t="s">
        <v>50</v>
      </c>
      <c r="G521" t="s">
        <v>51</v>
      </c>
      <c r="H521">
        <v>5.43</v>
      </c>
      <c r="I521" t="s">
        <v>52</v>
      </c>
      <c r="J521" t="s">
        <v>53</v>
      </c>
      <c r="K521" t="s">
        <v>54</v>
      </c>
      <c r="L521" t="s">
        <v>55</v>
      </c>
      <c r="O521" t="s">
        <v>56</v>
      </c>
      <c r="P521" t="s">
        <v>57</v>
      </c>
      <c r="Q521">
        <v>42051.74</v>
      </c>
      <c r="R521">
        <v>-5.43</v>
      </c>
      <c r="S521" t="s">
        <v>2895</v>
      </c>
      <c r="T521" t="s">
        <v>2896</v>
      </c>
      <c r="U521" t="s">
        <v>2897</v>
      </c>
    </row>
    <row r="522" spans="1:21">
      <c r="A522" t="s">
        <v>1147</v>
      </c>
      <c r="B522" s="7">
        <v>46154</v>
      </c>
      <c r="C522" s="8">
        <v>0.43385416666666665</v>
      </c>
      <c r="D522" t="s">
        <v>17</v>
      </c>
      <c r="E522" t="s">
        <v>2</v>
      </c>
      <c r="F522" t="s">
        <v>50</v>
      </c>
      <c r="G522" t="s">
        <v>51</v>
      </c>
      <c r="H522">
        <v>26.1</v>
      </c>
      <c r="I522" t="s">
        <v>52</v>
      </c>
      <c r="J522" t="s">
        <v>60</v>
      </c>
      <c r="K522" t="s">
        <v>54</v>
      </c>
      <c r="L522" t="s">
        <v>55</v>
      </c>
      <c r="O522" t="s">
        <v>61</v>
      </c>
      <c r="P522" t="s">
        <v>62</v>
      </c>
      <c r="Q522">
        <v>42117.02</v>
      </c>
      <c r="R522">
        <v>-26.1</v>
      </c>
      <c r="S522" t="s">
        <v>2895</v>
      </c>
      <c r="T522" t="s">
        <v>2896</v>
      </c>
      <c r="U522" t="s">
        <v>2897</v>
      </c>
    </row>
    <row r="523" spans="1:21">
      <c r="A523" t="s">
        <v>1149</v>
      </c>
      <c r="B523" s="7">
        <v>46154</v>
      </c>
      <c r="C523" s="8">
        <v>0.61837962962962967</v>
      </c>
      <c r="D523" t="s">
        <v>17</v>
      </c>
      <c r="E523" t="s">
        <v>2</v>
      </c>
      <c r="F523" t="s">
        <v>50</v>
      </c>
      <c r="G523" t="s">
        <v>51</v>
      </c>
      <c r="H523">
        <v>9.5399999999999991</v>
      </c>
      <c r="I523" t="s">
        <v>52</v>
      </c>
      <c r="J523" t="s">
        <v>81</v>
      </c>
      <c r="K523" t="s">
        <v>54</v>
      </c>
      <c r="L523" t="s">
        <v>55</v>
      </c>
      <c r="O523" t="s">
        <v>82</v>
      </c>
      <c r="P523" t="s">
        <v>83</v>
      </c>
      <c r="Q523">
        <v>42162.75</v>
      </c>
      <c r="R523">
        <v>-9.5399999999999991</v>
      </c>
      <c r="S523" t="s">
        <v>2895</v>
      </c>
      <c r="T523" t="s">
        <v>2896</v>
      </c>
      <c r="U523" t="s">
        <v>2897</v>
      </c>
    </row>
    <row r="524" spans="1:21">
      <c r="A524" t="s">
        <v>1151</v>
      </c>
      <c r="B524" s="7">
        <v>46154</v>
      </c>
      <c r="C524" s="8">
        <v>0.64471064814814816</v>
      </c>
      <c r="D524" t="s">
        <v>17</v>
      </c>
      <c r="E524" t="s">
        <v>2</v>
      </c>
      <c r="F524" t="s">
        <v>50</v>
      </c>
      <c r="G524" t="s">
        <v>51</v>
      </c>
      <c r="H524">
        <v>22.26</v>
      </c>
      <c r="I524" t="s">
        <v>52</v>
      </c>
      <c r="J524" t="s">
        <v>60</v>
      </c>
      <c r="K524" t="s">
        <v>54</v>
      </c>
      <c r="L524" t="s">
        <v>55</v>
      </c>
      <c r="O524" t="s">
        <v>61</v>
      </c>
      <c r="P524" t="s">
        <v>62</v>
      </c>
      <c r="Q524">
        <v>42057.17</v>
      </c>
      <c r="R524">
        <v>-22.26</v>
      </c>
      <c r="S524" t="s">
        <v>2895</v>
      </c>
      <c r="T524" t="s">
        <v>2896</v>
      </c>
      <c r="U524" t="s">
        <v>2897</v>
      </c>
    </row>
    <row r="525" spans="1:21">
      <c r="A525" t="s">
        <v>1153</v>
      </c>
      <c r="B525" s="7">
        <v>46154</v>
      </c>
      <c r="C525" s="8">
        <v>0.66059027777777779</v>
      </c>
      <c r="D525" t="s">
        <v>17</v>
      </c>
      <c r="E525" t="s">
        <v>2</v>
      </c>
      <c r="F525" t="s">
        <v>50</v>
      </c>
      <c r="G525" t="s">
        <v>51</v>
      </c>
      <c r="H525">
        <v>4.63</v>
      </c>
      <c r="I525" t="s">
        <v>52</v>
      </c>
      <c r="J525" t="s">
        <v>121</v>
      </c>
      <c r="K525" t="s">
        <v>54</v>
      </c>
      <c r="L525" t="s">
        <v>55</v>
      </c>
      <c r="O525" t="s">
        <v>122</v>
      </c>
      <c r="P525" t="s">
        <v>123</v>
      </c>
      <c r="Q525">
        <v>42143.12</v>
      </c>
      <c r="R525">
        <v>-4.63</v>
      </c>
      <c r="S525" t="s">
        <v>2895</v>
      </c>
      <c r="T525" t="s">
        <v>2896</v>
      </c>
      <c r="U525" t="s">
        <v>2897</v>
      </c>
    </row>
    <row r="526" spans="1:21">
      <c r="A526" t="s">
        <v>1155</v>
      </c>
      <c r="B526" s="7">
        <v>46154</v>
      </c>
      <c r="C526" s="8">
        <v>0.68270833333333336</v>
      </c>
      <c r="D526" t="s">
        <v>17</v>
      </c>
      <c r="E526" t="s">
        <v>2</v>
      </c>
      <c r="F526" t="s">
        <v>50</v>
      </c>
      <c r="G526" t="s">
        <v>51</v>
      </c>
      <c r="H526">
        <v>37.590000000000003</v>
      </c>
      <c r="I526" t="s">
        <v>52</v>
      </c>
      <c r="J526" t="s">
        <v>126</v>
      </c>
      <c r="K526" t="s">
        <v>54</v>
      </c>
      <c r="L526" t="s">
        <v>55</v>
      </c>
      <c r="O526" t="s">
        <v>56</v>
      </c>
      <c r="P526" t="s">
        <v>57</v>
      </c>
      <c r="Q526">
        <v>42079.43</v>
      </c>
      <c r="R526">
        <v>-37.590000000000003</v>
      </c>
      <c r="S526" t="s">
        <v>2895</v>
      </c>
      <c r="T526" t="s">
        <v>2896</v>
      </c>
      <c r="U526" t="s">
        <v>2897</v>
      </c>
    </row>
    <row r="527" spans="1:21">
      <c r="A527" t="s">
        <v>1157</v>
      </c>
      <c r="B527" s="7">
        <v>46154</v>
      </c>
      <c r="C527" s="8">
        <v>0.70513888888888887</v>
      </c>
      <c r="D527" t="s">
        <v>17</v>
      </c>
      <c r="E527" t="s">
        <v>2</v>
      </c>
      <c r="F527" t="s">
        <v>149</v>
      </c>
      <c r="G527" t="s">
        <v>72</v>
      </c>
      <c r="H527">
        <v>115.51</v>
      </c>
      <c r="I527" t="s">
        <v>52</v>
      </c>
      <c r="J527" t="s">
        <v>233</v>
      </c>
      <c r="K527" t="s">
        <v>54</v>
      </c>
      <c r="L527" t="s">
        <v>74</v>
      </c>
      <c r="O527" t="s">
        <v>75</v>
      </c>
      <c r="P527" t="s">
        <v>76</v>
      </c>
      <c r="Q527">
        <v>42152.25</v>
      </c>
      <c r="R527">
        <v>115.51</v>
      </c>
      <c r="S527" t="s">
        <v>2895</v>
      </c>
      <c r="T527" t="s">
        <v>2896</v>
      </c>
      <c r="U527" t="s">
        <v>2897</v>
      </c>
    </row>
    <row r="528" spans="1:21">
      <c r="A528" t="s">
        <v>1159</v>
      </c>
      <c r="B528" s="7">
        <v>46154</v>
      </c>
      <c r="C528" s="8">
        <v>0.76887731481481481</v>
      </c>
      <c r="D528" t="s">
        <v>17</v>
      </c>
      <c r="E528" t="s">
        <v>2</v>
      </c>
      <c r="F528" t="s">
        <v>50</v>
      </c>
      <c r="G528" t="s">
        <v>100</v>
      </c>
      <c r="H528">
        <v>15</v>
      </c>
      <c r="I528" t="s">
        <v>52</v>
      </c>
      <c r="J528" t="s">
        <v>101</v>
      </c>
      <c r="K528" t="s">
        <v>54</v>
      </c>
      <c r="L528" t="s">
        <v>102</v>
      </c>
      <c r="O528" t="s">
        <v>103</v>
      </c>
      <c r="P528" t="s">
        <v>104</v>
      </c>
      <c r="Q528">
        <v>42147.75</v>
      </c>
      <c r="R528">
        <v>-15</v>
      </c>
      <c r="S528" t="s">
        <v>2895</v>
      </c>
      <c r="T528" t="s">
        <v>2896</v>
      </c>
      <c r="U528" t="s">
        <v>2897</v>
      </c>
    </row>
    <row r="529" spans="1:21">
      <c r="A529" t="s">
        <v>1161</v>
      </c>
      <c r="B529" s="7">
        <v>46154</v>
      </c>
      <c r="C529" s="8">
        <v>0.78408564814814818</v>
      </c>
      <c r="D529" t="s">
        <v>17</v>
      </c>
      <c r="E529" t="s">
        <v>2</v>
      </c>
      <c r="F529" t="s">
        <v>50</v>
      </c>
      <c r="G529" t="s">
        <v>88</v>
      </c>
      <c r="H529">
        <v>100</v>
      </c>
      <c r="I529" t="s">
        <v>52</v>
      </c>
      <c r="J529" t="s">
        <v>89</v>
      </c>
      <c r="K529" t="s">
        <v>54</v>
      </c>
      <c r="L529" t="s">
        <v>90</v>
      </c>
      <c r="M529" t="s">
        <v>91</v>
      </c>
      <c r="N529" t="s">
        <v>12</v>
      </c>
      <c r="O529" t="s">
        <v>92</v>
      </c>
      <c r="P529" t="s">
        <v>93</v>
      </c>
      <c r="Q529">
        <v>42052.25</v>
      </c>
      <c r="R529">
        <v>-100</v>
      </c>
      <c r="S529" t="s">
        <v>2895</v>
      </c>
      <c r="T529" t="s">
        <v>2896</v>
      </c>
      <c r="U529" t="s">
        <v>2897</v>
      </c>
    </row>
    <row r="530" spans="1:21">
      <c r="A530" t="s">
        <v>1163</v>
      </c>
      <c r="B530" s="7">
        <v>46154</v>
      </c>
      <c r="C530" s="8">
        <v>0.93479166666666669</v>
      </c>
      <c r="D530" t="s">
        <v>17</v>
      </c>
      <c r="E530" t="s">
        <v>2</v>
      </c>
      <c r="F530" t="s">
        <v>50</v>
      </c>
      <c r="G530" t="s">
        <v>100</v>
      </c>
      <c r="H530">
        <v>15</v>
      </c>
      <c r="I530" t="s">
        <v>52</v>
      </c>
      <c r="J530" t="s">
        <v>101</v>
      </c>
      <c r="K530" t="s">
        <v>54</v>
      </c>
      <c r="L530" t="s">
        <v>102</v>
      </c>
      <c r="O530" t="s">
        <v>103</v>
      </c>
      <c r="P530" t="s">
        <v>104</v>
      </c>
      <c r="Q530">
        <v>42036.74</v>
      </c>
      <c r="R530">
        <v>-15</v>
      </c>
      <c r="S530" t="s">
        <v>2895</v>
      </c>
      <c r="T530" t="s">
        <v>2896</v>
      </c>
      <c r="U530" t="s">
        <v>2897</v>
      </c>
    </row>
    <row r="531" spans="1:21">
      <c r="A531" t="s">
        <v>1165</v>
      </c>
      <c r="B531" s="7">
        <v>46155</v>
      </c>
      <c r="C531" s="8">
        <v>0.52020833333333338</v>
      </c>
      <c r="D531" t="s">
        <v>17</v>
      </c>
      <c r="E531" t="s">
        <v>2</v>
      </c>
      <c r="F531" t="s">
        <v>50</v>
      </c>
      <c r="G531" t="s">
        <v>100</v>
      </c>
      <c r="H531">
        <v>15</v>
      </c>
      <c r="I531" t="s">
        <v>52</v>
      </c>
      <c r="J531" t="s">
        <v>101</v>
      </c>
      <c r="K531" t="s">
        <v>54</v>
      </c>
      <c r="L531" t="s">
        <v>102</v>
      </c>
      <c r="O531" t="s">
        <v>103</v>
      </c>
      <c r="P531" t="s">
        <v>104</v>
      </c>
      <c r="Q531">
        <v>41951.040000000001</v>
      </c>
      <c r="R531">
        <v>-15</v>
      </c>
      <c r="S531" t="s">
        <v>2895</v>
      </c>
      <c r="T531" t="s">
        <v>2896</v>
      </c>
      <c r="U531" t="s">
        <v>2897</v>
      </c>
    </row>
    <row r="532" spans="1:21">
      <c r="A532" t="s">
        <v>1167</v>
      </c>
      <c r="B532" s="7">
        <v>46155</v>
      </c>
      <c r="C532" s="8">
        <v>0.57407407407407407</v>
      </c>
      <c r="D532" t="s">
        <v>17</v>
      </c>
      <c r="E532" t="s">
        <v>2</v>
      </c>
      <c r="F532" t="s">
        <v>50</v>
      </c>
      <c r="G532" t="s">
        <v>51</v>
      </c>
      <c r="H532">
        <v>40.06</v>
      </c>
      <c r="I532" t="s">
        <v>52</v>
      </c>
      <c r="J532" t="s">
        <v>60</v>
      </c>
      <c r="K532" t="s">
        <v>54</v>
      </c>
      <c r="L532" t="s">
        <v>55</v>
      </c>
      <c r="O532" t="s">
        <v>61</v>
      </c>
      <c r="P532" t="s">
        <v>62</v>
      </c>
      <c r="Q532">
        <v>41966.04</v>
      </c>
      <c r="R532">
        <v>-40.06</v>
      </c>
      <c r="S532" t="s">
        <v>2895</v>
      </c>
      <c r="T532" t="s">
        <v>2896</v>
      </c>
      <c r="U532" t="s">
        <v>2897</v>
      </c>
    </row>
    <row r="533" spans="1:21">
      <c r="A533" t="s">
        <v>1169</v>
      </c>
      <c r="B533" s="7">
        <v>46155</v>
      </c>
      <c r="C533" s="8">
        <v>0.75703703703703706</v>
      </c>
      <c r="D533" t="s">
        <v>17</v>
      </c>
      <c r="E533" t="s">
        <v>2</v>
      </c>
      <c r="F533" t="s">
        <v>50</v>
      </c>
      <c r="G533" t="s">
        <v>100</v>
      </c>
      <c r="H533">
        <v>12.54</v>
      </c>
      <c r="I533" t="s">
        <v>52</v>
      </c>
      <c r="J533" t="s">
        <v>114</v>
      </c>
      <c r="K533" t="s">
        <v>54</v>
      </c>
      <c r="L533" t="s">
        <v>102</v>
      </c>
      <c r="O533" t="s">
        <v>103</v>
      </c>
      <c r="P533" t="s">
        <v>104</v>
      </c>
      <c r="Q533">
        <v>42039.71</v>
      </c>
      <c r="R533">
        <v>-12.54</v>
      </c>
      <c r="S533" t="s">
        <v>2895</v>
      </c>
      <c r="T533" t="s">
        <v>2896</v>
      </c>
      <c r="U533" t="s">
        <v>2897</v>
      </c>
    </row>
    <row r="534" spans="1:21">
      <c r="A534" t="s">
        <v>1171</v>
      </c>
      <c r="B534" s="7">
        <v>46155</v>
      </c>
      <c r="C534" s="8">
        <v>0.76519675925925923</v>
      </c>
      <c r="D534" t="s">
        <v>17</v>
      </c>
      <c r="E534" t="s">
        <v>2</v>
      </c>
      <c r="F534" t="s">
        <v>50</v>
      </c>
      <c r="G534" t="s">
        <v>51</v>
      </c>
      <c r="H534">
        <v>20.190000000000001</v>
      </c>
      <c r="I534" t="s">
        <v>52</v>
      </c>
      <c r="J534" t="s">
        <v>126</v>
      </c>
      <c r="K534" t="s">
        <v>54</v>
      </c>
      <c r="L534" t="s">
        <v>55</v>
      </c>
      <c r="O534" t="s">
        <v>56</v>
      </c>
      <c r="P534" t="s">
        <v>57</v>
      </c>
      <c r="Q534">
        <v>41930.85</v>
      </c>
      <c r="R534">
        <v>-20.190000000000001</v>
      </c>
      <c r="S534" t="s">
        <v>2895</v>
      </c>
      <c r="T534" t="s">
        <v>2896</v>
      </c>
      <c r="U534" t="s">
        <v>2897</v>
      </c>
    </row>
    <row r="535" spans="1:21">
      <c r="A535" t="s">
        <v>1173</v>
      </c>
      <c r="B535" s="7">
        <v>46155</v>
      </c>
      <c r="C535" s="8">
        <v>0.8052083333333333</v>
      </c>
      <c r="D535" t="s">
        <v>17</v>
      </c>
      <c r="E535" t="s">
        <v>2</v>
      </c>
      <c r="F535" t="s">
        <v>50</v>
      </c>
      <c r="G535" t="s">
        <v>51</v>
      </c>
      <c r="H535">
        <v>25.39</v>
      </c>
      <c r="I535" t="s">
        <v>52</v>
      </c>
      <c r="J535" t="s">
        <v>126</v>
      </c>
      <c r="K535" t="s">
        <v>54</v>
      </c>
      <c r="L535" t="s">
        <v>55</v>
      </c>
      <c r="O535" t="s">
        <v>56</v>
      </c>
      <c r="P535" t="s">
        <v>57</v>
      </c>
      <c r="Q535">
        <v>42006.1</v>
      </c>
      <c r="R535">
        <v>-25.39</v>
      </c>
      <c r="S535" t="s">
        <v>2895</v>
      </c>
      <c r="T535" t="s">
        <v>2896</v>
      </c>
      <c r="U535" t="s">
        <v>2897</v>
      </c>
    </row>
    <row r="536" spans="1:21">
      <c r="A536" t="s">
        <v>1175</v>
      </c>
      <c r="B536" s="7">
        <v>46155</v>
      </c>
      <c r="C536" s="8">
        <v>0.88129629629629624</v>
      </c>
      <c r="D536" t="s">
        <v>17</v>
      </c>
      <c r="E536" t="s">
        <v>2</v>
      </c>
      <c r="F536" t="s">
        <v>50</v>
      </c>
      <c r="G536" t="s">
        <v>51</v>
      </c>
      <c r="H536">
        <v>8.2200000000000006</v>
      </c>
      <c r="I536" t="s">
        <v>52</v>
      </c>
      <c r="J536" t="s">
        <v>53</v>
      </c>
      <c r="K536" t="s">
        <v>54</v>
      </c>
      <c r="L536" t="s">
        <v>55</v>
      </c>
      <c r="O536" t="s">
        <v>56</v>
      </c>
      <c r="P536" t="s">
        <v>57</v>
      </c>
      <c r="Q536">
        <v>42031.49</v>
      </c>
      <c r="R536">
        <v>-8.2200000000000006</v>
      </c>
      <c r="S536" t="s">
        <v>2895</v>
      </c>
      <c r="T536" t="s">
        <v>2896</v>
      </c>
      <c r="U536" t="s">
        <v>2897</v>
      </c>
    </row>
    <row r="537" spans="1:21">
      <c r="A537" t="s">
        <v>1177</v>
      </c>
      <c r="B537" s="7">
        <v>46156</v>
      </c>
      <c r="C537" s="8">
        <v>0.26807870370370368</v>
      </c>
      <c r="D537" t="s">
        <v>17</v>
      </c>
      <c r="E537" t="s">
        <v>2</v>
      </c>
      <c r="F537" t="s">
        <v>50</v>
      </c>
      <c r="G537" t="s">
        <v>100</v>
      </c>
      <c r="H537">
        <v>88.12</v>
      </c>
      <c r="I537" t="s">
        <v>52</v>
      </c>
      <c r="J537" t="s">
        <v>244</v>
      </c>
      <c r="K537" t="s">
        <v>54</v>
      </c>
      <c r="L537" t="s">
        <v>102</v>
      </c>
      <c r="O537" t="s">
        <v>178</v>
      </c>
      <c r="P537" t="s">
        <v>245</v>
      </c>
      <c r="Q537">
        <v>44641.74</v>
      </c>
      <c r="R537">
        <v>-88.12</v>
      </c>
      <c r="S537" t="s">
        <v>2895</v>
      </c>
      <c r="T537" t="s">
        <v>2896</v>
      </c>
      <c r="U537" t="s">
        <v>2897</v>
      </c>
    </row>
    <row r="538" spans="1:21">
      <c r="A538" t="s">
        <v>1179</v>
      </c>
      <c r="B538" s="7">
        <v>46156</v>
      </c>
      <c r="C538" s="8">
        <v>0.28228009259259257</v>
      </c>
      <c r="D538" t="s">
        <v>17</v>
      </c>
      <c r="E538" t="s">
        <v>2</v>
      </c>
      <c r="F538" t="s">
        <v>50</v>
      </c>
      <c r="G538" t="s">
        <v>51</v>
      </c>
      <c r="H538">
        <v>35.270000000000003</v>
      </c>
      <c r="I538" t="s">
        <v>52</v>
      </c>
      <c r="J538" t="s">
        <v>126</v>
      </c>
      <c r="K538" t="s">
        <v>54</v>
      </c>
      <c r="L538" t="s">
        <v>55</v>
      </c>
      <c r="O538" t="s">
        <v>56</v>
      </c>
      <c r="P538" t="s">
        <v>57</v>
      </c>
      <c r="Q538">
        <v>41689.08</v>
      </c>
      <c r="R538">
        <v>-35.270000000000003</v>
      </c>
      <c r="S538" t="s">
        <v>2895</v>
      </c>
      <c r="T538" t="s">
        <v>2896</v>
      </c>
      <c r="U538" t="s">
        <v>2897</v>
      </c>
    </row>
    <row r="539" spans="1:21">
      <c r="A539" t="s">
        <v>1181</v>
      </c>
      <c r="B539" s="7">
        <v>46156</v>
      </c>
      <c r="C539" s="8">
        <v>0.43009259259259258</v>
      </c>
      <c r="D539" t="s">
        <v>17</v>
      </c>
      <c r="E539" t="s">
        <v>2</v>
      </c>
      <c r="F539" t="s">
        <v>50</v>
      </c>
      <c r="G539" t="s">
        <v>100</v>
      </c>
      <c r="H539">
        <v>15</v>
      </c>
      <c r="I539" t="s">
        <v>52</v>
      </c>
      <c r="J539" t="s">
        <v>101</v>
      </c>
      <c r="K539" t="s">
        <v>54</v>
      </c>
      <c r="L539" t="s">
        <v>102</v>
      </c>
      <c r="O539" t="s">
        <v>103</v>
      </c>
      <c r="P539" t="s">
        <v>104</v>
      </c>
      <c r="Q539">
        <v>41915.85</v>
      </c>
      <c r="R539">
        <v>-15</v>
      </c>
      <c r="S539" t="s">
        <v>2895</v>
      </c>
      <c r="T539" t="s">
        <v>2896</v>
      </c>
      <c r="U539" t="s">
        <v>2897</v>
      </c>
    </row>
    <row r="540" spans="1:21">
      <c r="A540" t="s">
        <v>1183</v>
      </c>
      <c r="B540" s="7">
        <v>46156</v>
      </c>
      <c r="C540" s="8">
        <v>0.47592592592592592</v>
      </c>
      <c r="D540" t="s">
        <v>17</v>
      </c>
      <c r="E540" t="s">
        <v>2</v>
      </c>
      <c r="F540" t="s">
        <v>50</v>
      </c>
      <c r="G540" t="s">
        <v>51</v>
      </c>
      <c r="H540">
        <v>97.26</v>
      </c>
      <c r="I540" t="s">
        <v>52</v>
      </c>
      <c r="J540" t="s">
        <v>196</v>
      </c>
      <c r="K540" t="s">
        <v>54</v>
      </c>
      <c r="L540" t="s">
        <v>55</v>
      </c>
      <c r="O540" t="s">
        <v>197</v>
      </c>
      <c r="P540" t="s">
        <v>198</v>
      </c>
      <c r="Q540">
        <v>41818.589999999997</v>
      </c>
      <c r="R540">
        <v>-97.26</v>
      </c>
      <c r="S540" t="s">
        <v>2895</v>
      </c>
      <c r="T540" t="s">
        <v>2896</v>
      </c>
      <c r="U540" t="s">
        <v>2897</v>
      </c>
    </row>
    <row r="541" spans="1:21">
      <c r="A541" t="s">
        <v>1185</v>
      </c>
      <c r="B541" s="7">
        <v>46156</v>
      </c>
      <c r="C541" s="8">
        <v>0.52608796296296301</v>
      </c>
      <c r="D541" t="s">
        <v>17</v>
      </c>
      <c r="E541" t="s">
        <v>2</v>
      </c>
      <c r="F541" t="s">
        <v>50</v>
      </c>
      <c r="G541" t="s">
        <v>51</v>
      </c>
      <c r="H541">
        <v>9.94</v>
      </c>
      <c r="I541" t="s">
        <v>52</v>
      </c>
      <c r="J541" t="s">
        <v>121</v>
      </c>
      <c r="K541" t="s">
        <v>54</v>
      </c>
      <c r="L541" t="s">
        <v>55</v>
      </c>
      <c r="O541" t="s">
        <v>122</v>
      </c>
      <c r="P541" t="s">
        <v>123</v>
      </c>
      <c r="Q541">
        <v>41724.35</v>
      </c>
      <c r="R541">
        <v>-9.94</v>
      </c>
      <c r="S541" t="s">
        <v>2895</v>
      </c>
      <c r="T541" t="s">
        <v>2896</v>
      </c>
      <c r="U541" t="s">
        <v>2897</v>
      </c>
    </row>
    <row r="542" spans="1:21">
      <c r="A542" t="s">
        <v>1187</v>
      </c>
      <c r="B542" s="7">
        <v>46156</v>
      </c>
      <c r="C542" s="8">
        <v>0.62002314814814818</v>
      </c>
      <c r="D542" t="s">
        <v>17</v>
      </c>
      <c r="E542" t="s">
        <v>2</v>
      </c>
      <c r="F542" t="s">
        <v>50</v>
      </c>
      <c r="G542" t="s">
        <v>51</v>
      </c>
      <c r="H542">
        <v>70.010000000000005</v>
      </c>
      <c r="I542" t="s">
        <v>52</v>
      </c>
      <c r="J542" t="s">
        <v>196</v>
      </c>
      <c r="K542" t="s">
        <v>54</v>
      </c>
      <c r="L542" t="s">
        <v>55</v>
      </c>
      <c r="O542" t="s">
        <v>197</v>
      </c>
      <c r="P542" t="s">
        <v>198</v>
      </c>
      <c r="Q542">
        <v>41734.29</v>
      </c>
      <c r="R542">
        <v>-70.010000000000005</v>
      </c>
      <c r="S542" t="s">
        <v>2895</v>
      </c>
      <c r="T542" t="s">
        <v>2896</v>
      </c>
      <c r="U542" t="s">
        <v>2897</v>
      </c>
    </row>
    <row r="543" spans="1:21">
      <c r="A543" t="s">
        <v>1189</v>
      </c>
      <c r="B543" s="7">
        <v>46156</v>
      </c>
      <c r="C543" s="8">
        <v>0.6623148148148148</v>
      </c>
      <c r="D543" t="s">
        <v>17</v>
      </c>
      <c r="E543" t="s">
        <v>2</v>
      </c>
      <c r="F543" t="s">
        <v>50</v>
      </c>
      <c r="G543" t="s">
        <v>51</v>
      </c>
      <c r="H543">
        <v>90.04</v>
      </c>
      <c r="I543" t="s">
        <v>52</v>
      </c>
      <c r="J543" t="s">
        <v>196</v>
      </c>
      <c r="K543" t="s">
        <v>54</v>
      </c>
      <c r="L543" t="s">
        <v>55</v>
      </c>
      <c r="O543" t="s">
        <v>197</v>
      </c>
      <c r="P543" t="s">
        <v>198</v>
      </c>
      <c r="Q543">
        <v>41599.040000000001</v>
      </c>
      <c r="R543">
        <v>-90.04</v>
      </c>
      <c r="S543" t="s">
        <v>2895</v>
      </c>
      <c r="T543" t="s">
        <v>2896</v>
      </c>
      <c r="U543" t="s">
        <v>2897</v>
      </c>
    </row>
    <row r="544" spans="1:21">
      <c r="A544" t="s">
        <v>1191</v>
      </c>
      <c r="B544" s="7">
        <v>46156</v>
      </c>
      <c r="C544" s="8">
        <v>0.88101851851851853</v>
      </c>
      <c r="D544" t="s">
        <v>17</v>
      </c>
      <c r="E544" t="s">
        <v>2</v>
      </c>
      <c r="F544" t="s">
        <v>149</v>
      </c>
      <c r="G544" t="s">
        <v>72</v>
      </c>
      <c r="H544">
        <v>85.46</v>
      </c>
      <c r="I544" t="s">
        <v>52</v>
      </c>
      <c r="J544" t="s">
        <v>316</v>
      </c>
      <c r="K544" t="s">
        <v>54</v>
      </c>
      <c r="L544" t="s">
        <v>74</v>
      </c>
      <c r="O544" t="s">
        <v>75</v>
      </c>
      <c r="P544" t="s">
        <v>76</v>
      </c>
      <c r="Q544">
        <v>41684.5</v>
      </c>
      <c r="R544">
        <v>85.46</v>
      </c>
      <c r="S544" t="s">
        <v>2895</v>
      </c>
      <c r="T544" t="s">
        <v>2896</v>
      </c>
      <c r="U544" t="s">
        <v>2897</v>
      </c>
    </row>
    <row r="545" spans="1:21">
      <c r="A545" t="s">
        <v>1193</v>
      </c>
      <c r="B545" s="7">
        <v>46156</v>
      </c>
      <c r="C545" s="8">
        <v>0.90057870370370374</v>
      </c>
      <c r="D545" t="s">
        <v>17</v>
      </c>
      <c r="E545" t="s">
        <v>2</v>
      </c>
      <c r="F545" t="s">
        <v>50</v>
      </c>
      <c r="G545" t="s">
        <v>51</v>
      </c>
      <c r="H545">
        <v>14.29</v>
      </c>
      <c r="I545" t="s">
        <v>52</v>
      </c>
      <c r="J545" t="s">
        <v>53</v>
      </c>
      <c r="K545" t="s">
        <v>54</v>
      </c>
      <c r="L545" t="s">
        <v>55</v>
      </c>
      <c r="O545" t="s">
        <v>56</v>
      </c>
      <c r="P545" t="s">
        <v>57</v>
      </c>
      <c r="Q545">
        <v>41804.300000000003</v>
      </c>
      <c r="R545">
        <v>-14.29</v>
      </c>
      <c r="S545" t="s">
        <v>2895</v>
      </c>
      <c r="T545" t="s">
        <v>2896</v>
      </c>
      <c r="U545" t="s">
        <v>2897</v>
      </c>
    </row>
    <row r="546" spans="1:21">
      <c r="A546" t="s">
        <v>1195</v>
      </c>
      <c r="B546" s="7">
        <v>46157</v>
      </c>
      <c r="C546" s="8">
        <v>0.33806712962962965</v>
      </c>
      <c r="D546" t="s">
        <v>17</v>
      </c>
      <c r="E546" t="s">
        <v>2</v>
      </c>
      <c r="F546" t="s">
        <v>50</v>
      </c>
      <c r="G546" t="s">
        <v>100</v>
      </c>
      <c r="H546">
        <v>18.91</v>
      </c>
      <c r="I546" t="s">
        <v>52</v>
      </c>
      <c r="J546" t="s">
        <v>114</v>
      </c>
      <c r="K546" t="s">
        <v>54</v>
      </c>
      <c r="L546" t="s">
        <v>102</v>
      </c>
      <c r="O546" t="s">
        <v>103</v>
      </c>
      <c r="P546" t="s">
        <v>104</v>
      </c>
      <c r="Q546">
        <v>41600.65</v>
      </c>
      <c r="R546">
        <v>-18.91</v>
      </c>
      <c r="S546" t="s">
        <v>2895</v>
      </c>
      <c r="T546" t="s">
        <v>2896</v>
      </c>
      <c r="U546" t="s">
        <v>2897</v>
      </c>
    </row>
    <row r="547" spans="1:21">
      <c r="A547" t="s">
        <v>1197</v>
      </c>
      <c r="B547" s="7">
        <v>46157</v>
      </c>
      <c r="C547" s="8">
        <v>0.38627314814814817</v>
      </c>
      <c r="D547" t="s">
        <v>17</v>
      </c>
      <c r="E547" t="s">
        <v>2</v>
      </c>
      <c r="F547" t="s">
        <v>50</v>
      </c>
      <c r="G547" t="s">
        <v>51</v>
      </c>
      <c r="H547">
        <v>5.01</v>
      </c>
      <c r="I547" t="s">
        <v>52</v>
      </c>
      <c r="J547" t="s">
        <v>121</v>
      </c>
      <c r="K547" t="s">
        <v>54</v>
      </c>
      <c r="L547" t="s">
        <v>55</v>
      </c>
      <c r="O547" t="s">
        <v>122</v>
      </c>
      <c r="P547" t="s">
        <v>123</v>
      </c>
      <c r="Q547">
        <v>41377.06</v>
      </c>
      <c r="R547">
        <v>-5.01</v>
      </c>
      <c r="S547" t="s">
        <v>2895</v>
      </c>
      <c r="T547" t="s">
        <v>2896</v>
      </c>
      <c r="U547" t="s">
        <v>2897</v>
      </c>
    </row>
    <row r="548" spans="1:21">
      <c r="A548" t="s">
        <v>1199</v>
      </c>
      <c r="B548" s="7">
        <v>46157</v>
      </c>
      <c r="C548" s="8">
        <v>0.53313657407407411</v>
      </c>
      <c r="D548" t="s">
        <v>17</v>
      </c>
      <c r="E548" t="s">
        <v>2</v>
      </c>
      <c r="F548" t="s">
        <v>149</v>
      </c>
      <c r="G548" t="s">
        <v>321</v>
      </c>
      <c r="H548">
        <v>3115.19</v>
      </c>
      <c r="I548" t="s">
        <v>52</v>
      </c>
      <c r="J548" t="s">
        <v>9</v>
      </c>
      <c r="K548" t="s">
        <v>54</v>
      </c>
      <c r="L548" t="s">
        <v>102</v>
      </c>
      <c r="O548" t="s">
        <v>322</v>
      </c>
      <c r="P548" t="s">
        <v>323</v>
      </c>
      <c r="Q548">
        <v>29056.53</v>
      </c>
      <c r="R548">
        <v>3115.19</v>
      </c>
      <c r="S548" t="s">
        <v>2895</v>
      </c>
      <c r="T548" t="s">
        <v>2896</v>
      </c>
      <c r="U548" t="s">
        <v>2897</v>
      </c>
    </row>
    <row r="549" spans="1:21">
      <c r="A549" t="s">
        <v>1201</v>
      </c>
      <c r="B549" s="7">
        <v>46157</v>
      </c>
      <c r="C549" s="8">
        <v>0.71575231481481483</v>
      </c>
      <c r="D549" t="s">
        <v>17</v>
      </c>
      <c r="E549" t="s">
        <v>2</v>
      </c>
      <c r="F549" t="s">
        <v>50</v>
      </c>
      <c r="G549" t="s">
        <v>51</v>
      </c>
      <c r="H549">
        <v>129.05000000000001</v>
      </c>
      <c r="I549" t="s">
        <v>52</v>
      </c>
      <c r="J549" t="s">
        <v>196</v>
      </c>
      <c r="K549" t="s">
        <v>54</v>
      </c>
      <c r="L549" t="s">
        <v>55</v>
      </c>
      <c r="O549" t="s">
        <v>197</v>
      </c>
      <c r="P549" t="s">
        <v>198</v>
      </c>
      <c r="Q549">
        <v>41471.599999999999</v>
      </c>
      <c r="R549">
        <v>-129.05000000000001</v>
      </c>
      <c r="S549" t="s">
        <v>2895</v>
      </c>
      <c r="T549" t="s">
        <v>2896</v>
      </c>
      <c r="U549" t="s">
        <v>2897</v>
      </c>
    </row>
    <row r="550" spans="1:21">
      <c r="A550" t="s">
        <v>1203</v>
      </c>
      <c r="B550" s="7">
        <v>46157</v>
      </c>
      <c r="C550" s="8">
        <v>0.73954861111111114</v>
      </c>
      <c r="D550" t="s">
        <v>17</v>
      </c>
      <c r="E550" t="s">
        <v>2</v>
      </c>
      <c r="F550" t="s">
        <v>50</v>
      </c>
      <c r="G550" t="s">
        <v>51</v>
      </c>
      <c r="H550">
        <v>13.33</v>
      </c>
      <c r="I550" t="s">
        <v>52</v>
      </c>
      <c r="J550" t="s">
        <v>121</v>
      </c>
      <c r="K550" t="s">
        <v>54</v>
      </c>
      <c r="L550" t="s">
        <v>55</v>
      </c>
      <c r="O550" t="s">
        <v>122</v>
      </c>
      <c r="P550" t="s">
        <v>123</v>
      </c>
      <c r="Q550">
        <v>41619.56</v>
      </c>
      <c r="R550">
        <v>-13.33</v>
      </c>
      <c r="S550" t="s">
        <v>2895</v>
      </c>
      <c r="T550" t="s">
        <v>2896</v>
      </c>
      <c r="U550" t="s">
        <v>2897</v>
      </c>
    </row>
    <row r="551" spans="1:21">
      <c r="A551" t="s">
        <v>1205</v>
      </c>
      <c r="B551" s="7">
        <v>46157</v>
      </c>
      <c r="C551" s="8">
        <v>0.75310185185185186</v>
      </c>
      <c r="D551" t="s">
        <v>17</v>
      </c>
      <c r="E551" t="s">
        <v>2</v>
      </c>
      <c r="F551" t="s">
        <v>50</v>
      </c>
      <c r="G551" t="s">
        <v>51</v>
      </c>
      <c r="H551">
        <v>36.61</v>
      </c>
      <c r="I551" t="s">
        <v>52</v>
      </c>
      <c r="J551" t="s">
        <v>126</v>
      </c>
      <c r="K551" t="s">
        <v>54</v>
      </c>
      <c r="L551" t="s">
        <v>55</v>
      </c>
      <c r="O551" t="s">
        <v>56</v>
      </c>
      <c r="P551" t="s">
        <v>57</v>
      </c>
      <c r="Q551">
        <v>41647.89</v>
      </c>
      <c r="R551">
        <v>-36.61</v>
      </c>
      <c r="S551" t="s">
        <v>2895</v>
      </c>
      <c r="T551" t="s">
        <v>2896</v>
      </c>
      <c r="U551" t="s">
        <v>2897</v>
      </c>
    </row>
    <row r="552" spans="1:21">
      <c r="A552" t="s">
        <v>1207</v>
      </c>
      <c r="B552" s="7">
        <v>46157</v>
      </c>
      <c r="C552" s="8">
        <v>0.78357638888888892</v>
      </c>
      <c r="D552" t="s">
        <v>17</v>
      </c>
      <c r="E552" t="s">
        <v>2</v>
      </c>
      <c r="F552" t="s">
        <v>50</v>
      </c>
      <c r="G552" t="s">
        <v>51</v>
      </c>
      <c r="H552">
        <v>89.53</v>
      </c>
      <c r="I552" t="s">
        <v>52</v>
      </c>
      <c r="J552" t="s">
        <v>65</v>
      </c>
      <c r="K552" t="s">
        <v>54</v>
      </c>
      <c r="L552" t="s">
        <v>55</v>
      </c>
      <c r="O552" t="s">
        <v>66</v>
      </c>
      <c r="P552" t="s">
        <v>67</v>
      </c>
      <c r="Q552">
        <v>41382.07</v>
      </c>
      <c r="R552">
        <v>-89.53</v>
      </c>
      <c r="S552" t="s">
        <v>2895</v>
      </c>
      <c r="T552" t="s">
        <v>2896</v>
      </c>
      <c r="U552" t="s">
        <v>2897</v>
      </c>
    </row>
    <row r="553" spans="1:21">
      <c r="A553" t="s">
        <v>1209</v>
      </c>
      <c r="B553" s="7">
        <v>46157</v>
      </c>
      <c r="C553" s="8">
        <v>0.95831018518518518</v>
      </c>
      <c r="D553" t="s">
        <v>17</v>
      </c>
      <c r="E553" t="s">
        <v>2</v>
      </c>
      <c r="F553" t="s">
        <v>50</v>
      </c>
      <c r="G553" t="s">
        <v>100</v>
      </c>
      <c r="H553">
        <v>15</v>
      </c>
      <c r="I553" t="s">
        <v>52</v>
      </c>
      <c r="J553" t="s">
        <v>101</v>
      </c>
      <c r="K553" t="s">
        <v>54</v>
      </c>
      <c r="L553" t="s">
        <v>102</v>
      </c>
      <c r="O553" t="s">
        <v>103</v>
      </c>
      <c r="P553" t="s">
        <v>104</v>
      </c>
      <c r="Q553">
        <v>41632.89</v>
      </c>
      <c r="R553">
        <v>-15</v>
      </c>
      <c r="S553" t="s">
        <v>2895</v>
      </c>
      <c r="T553" t="s">
        <v>2896</v>
      </c>
      <c r="U553" t="s">
        <v>2897</v>
      </c>
    </row>
    <row r="554" spans="1:21">
      <c r="A554" t="s">
        <v>1211</v>
      </c>
      <c r="B554" s="7">
        <v>46158</v>
      </c>
      <c r="C554" s="8">
        <v>0.27090277777777777</v>
      </c>
      <c r="D554" t="s">
        <v>17</v>
      </c>
      <c r="E554" t="s">
        <v>2</v>
      </c>
      <c r="F554" t="s">
        <v>50</v>
      </c>
      <c r="G554" t="s">
        <v>100</v>
      </c>
      <c r="H554">
        <v>12.26</v>
      </c>
      <c r="I554" t="s">
        <v>52</v>
      </c>
      <c r="J554" t="s">
        <v>114</v>
      </c>
      <c r="K554" t="s">
        <v>54</v>
      </c>
      <c r="L554" t="s">
        <v>102</v>
      </c>
      <c r="O554" t="s">
        <v>103</v>
      </c>
      <c r="P554" t="s">
        <v>104</v>
      </c>
      <c r="Q554">
        <v>41349.800000000003</v>
      </c>
      <c r="R554">
        <v>-12.26</v>
      </c>
      <c r="S554" t="s">
        <v>2895</v>
      </c>
      <c r="T554" t="s">
        <v>2896</v>
      </c>
      <c r="U554" t="s">
        <v>2897</v>
      </c>
    </row>
    <row r="555" spans="1:21">
      <c r="A555" t="s">
        <v>1213</v>
      </c>
      <c r="B555" s="7">
        <v>46158</v>
      </c>
      <c r="C555" s="8">
        <v>0.33880787037037036</v>
      </c>
      <c r="D555" t="s">
        <v>17</v>
      </c>
      <c r="E555" t="s">
        <v>2</v>
      </c>
      <c r="F555" t="s">
        <v>50</v>
      </c>
      <c r="G555" t="s">
        <v>51</v>
      </c>
      <c r="H555">
        <v>9.82</v>
      </c>
      <c r="I555" t="s">
        <v>52</v>
      </c>
      <c r="J555" t="s">
        <v>53</v>
      </c>
      <c r="K555" t="s">
        <v>54</v>
      </c>
      <c r="L555" t="s">
        <v>55</v>
      </c>
      <c r="O555" t="s">
        <v>56</v>
      </c>
      <c r="P555" t="s">
        <v>57</v>
      </c>
      <c r="Q555">
        <v>41339.980000000003</v>
      </c>
      <c r="R555">
        <v>-9.82</v>
      </c>
      <c r="S555" t="s">
        <v>2895</v>
      </c>
      <c r="T555" t="s">
        <v>2896</v>
      </c>
      <c r="U555" t="s">
        <v>2897</v>
      </c>
    </row>
    <row r="556" spans="1:21">
      <c r="A556" t="s">
        <v>1215</v>
      </c>
      <c r="B556" s="7">
        <v>46158</v>
      </c>
      <c r="C556" s="8">
        <v>0.68738425925925928</v>
      </c>
      <c r="D556" t="s">
        <v>17</v>
      </c>
      <c r="E556" t="s">
        <v>2</v>
      </c>
      <c r="F556" t="s">
        <v>50</v>
      </c>
      <c r="G556" t="s">
        <v>51</v>
      </c>
      <c r="H556">
        <v>21.93</v>
      </c>
      <c r="I556" t="s">
        <v>52</v>
      </c>
      <c r="J556" t="s">
        <v>126</v>
      </c>
      <c r="K556" t="s">
        <v>54</v>
      </c>
      <c r="L556" t="s">
        <v>55</v>
      </c>
      <c r="O556" t="s">
        <v>56</v>
      </c>
      <c r="P556" t="s">
        <v>57</v>
      </c>
      <c r="Q556">
        <v>41318.050000000003</v>
      </c>
      <c r="R556">
        <v>-21.93</v>
      </c>
      <c r="S556" t="s">
        <v>2895</v>
      </c>
      <c r="T556" t="s">
        <v>2896</v>
      </c>
      <c r="U556" t="s">
        <v>2897</v>
      </c>
    </row>
    <row r="557" spans="1:21">
      <c r="A557" t="s">
        <v>1217</v>
      </c>
      <c r="B557" s="7">
        <v>46158</v>
      </c>
      <c r="C557" s="8">
        <v>0.69520833333333332</v>
      </c>
      <c r="D557" t="s">
        <v>17</v>
      </c>
      <c r="E557" t="s">
        <v>2</v>
      </c>
      <c r="F557" t="s">
        <v>149</v>
      </c>
      <c r="G557" t="s">
        <v>72</v>
      </c>
      <c r="H557">
        <v>23.61</v>
      </c>
      <c r="I557" t="s">
        <v>52</v>
      </c>
      <c r="J557" t="s">
        <v>316</v>
      </c>
      <c r="K557" t="s">
        <v>54</v>
      </c>
      <c r="L557" t="s">
        <v>74</v>
      </c>
      <c r="O557" t="s">
        <v>75</v>
      </c>
      <c r="P557" t="s">
        <v>76</v>
      </c>
      <c r="Q557">
        <v>41221.9</v>
      </c>
      <c r="R557">
        <v>23.61</v>
      </c>
      <c r="S557" t="s">
        <v>2895</v>
      </c>
      <c r="T557" t="s">
        <v>2896</v>
      </c>
      <c r="U557" t="s">
        <v>2897</v>
      </c>
    </row>
    <row r="558" spans="1:21">
      <c r="A558" t="s">
        <v>1219</v>
      </c>
      <c r="B558" s="7">
        <v>46158</v>
      </c>
      <c r="C558" s="8">
        <v>0.72923611111111108</v>
      </c>
      <c r="D558" t="s">
        <v>17</v>
      </c>
      <c r="E558" t="s">
        <v>2</v>
      </c>
      <c r="F558" t="s">
        <v>50</v>
      </c>
      <c r="G558" t="s">
        <v>51</v>
      </c>
      <c r="H558">
        <v>104.76</v>
      </c>
      <c r="I558" t="s">
        <v>52</v>
      </c>
      <c r="J558" t="s">
        <v>196</v>
      </c>
      <c r="K558" t="s">
        <v>54</v>
      </c>
      <c r="L558" t="s">
        <v>55</v>
      </c>
      <c r="O558" t="s">
        <v>197</v>
      </c>
      <c r="P558" t="s">
        <v>198</v>
      </c>
      <c r="Q558">
        <v>41213.29</v>
      </c>
      <c r="R558">
        <v>-104.76</v>
      </c>
      <c r="S558" t="s">
        <v>2895</v>
      </c>
      <c r="T558" t="s">
        <v>2896</v>
      </c>
      <c r="U558" t="s">
        <v>2897</v>
      </c>
    </row>
    <row r="559" spans="1:21">
      <c r="A559" t="s">
        <v>1221</v>
      </c>
      <c r="B559" s="7">
        <v>46158</v>
      </c>
      <c r="C559" s="8">
        <v>0.84726851851851848</v>
      </c>
      <c r="D559" t="s">
        <v>17</v>
      </c>
      <c r="E559" t="s">
        <v>2</v>
      </c>
      <c r="F559" t="s">
        <v>50</v>
      </c>
      <c r="G559" t="s">
        <v>100</v>
      </c>
      <c r="H559">
        <v>15</v>
      </c>
      <c r="I559" t="s">
        <v>52</v>
      </c>
      <c r="J559" t="s">
        <v>101</v>
      </c>
      <c r="K559" t="s">
        <v>54</v>
      </c>
      <c r="L559" t="s">
        <v>102</v>
      </c>
      <c r="O559" t="s">
        <v>103</v>
      </c>
      <c r="P559" t="s">
        <v>104</v>
      </c>
      <c r="Q559">
        <v>41198.29</v>
      </c>
      <c r="R559">
        <v>-15</v>
      </c>
      <c r="S559" t="s">
        <v>2895</v>
      </c>
      <c r="T559" t="s">
        <v>2896</v>
      </c>
      <c r="U559" t="s">
        <v>2897</v>
      </c>
    </row>
    <row r="560" spans="1:21">
      <c r="A560" t="s">
        <v>1223</v>
      </c>
      <c r="B560" s="7">
        <v>46158</v>
      </c>
      <c r="C560" s="8">
        <v>0.86785879629629625</v>
      </c>
      <c r="D560" t="s">
        <v>17</v>
      </c>
      <c r="E560" t="s">
        <v>2</v>
      </c>
      <c r="F560" t="s">
        <v>50</v>
      </c>
      <c r="G560" t="s">
        <v>100</v>
      </c>
      <c r="H560">
        <v>15</v>
      </c>
      <c r="I560" t="s">
        <v>52</v>
      </c>
      <c r="J560" t="s">
        <v>101</v>
      </c>
      <c r="K560" t="s">
        <v>54</v>
      </c>
      <c r="L560" t="s">
        <v>102</v>
      </c>
      <c r="O560" t="s">
        <v>103</v>
      </c>
      <c r="P560" t="s">
        <v>104</v>
      </c>
      <c r="Q560">
        <v>41362.06</v>
      </c>
      <c r="R560">
        <v>-15</v>
      </c>
      <c r="S560" t="s">
        <v>2895</v>
      </c>
      <c r="T560" t="s">
        <v>2896</v>
      </c>
      <c r="U560" t="s">
        <v>2897</v>
      </c>
    </row>
    <row r="561" spans="1:21">
      <c r="A561" t="s">
        <v>1225</v>
      </c>
      <c r="B561" s="7">
        <v>46159</v>
      </c>
      <c r="C561" s="8">
        <v>0.35840277777777779</v>
      </c>
      <c r="D561" t="s">
        <v>17</v>
      </c>
      <c r="E561" t="s">
        <v>2</v>
      </c>
      <c r="F561" t="s">
        <v>50</v>
      </c>
      <c r="G561" t="s">
        <v>51</v>
      </c>
      <c r="H561">
        <v>48.63</v>
      </c>
      <c r="I561" t="s">
        <v>52</v>
      </c>
      <c r="J561" t="s">
        <v>196</v>
      </c>
      <c r="K561" t="s">
        <v>54</v>
      </c>
      <c r="L561" t="s">
        <v>55</v>
      </c>
      <c r="O561" t="s">
        <v>197</v>
      </c>
      <c r="P561" t="s">
        <v>198</v>
      </c>
      <c r="Q561">
        <v>40940.730000000003</v>
      </c>
      <c r="R561">
        <v>-48.63</v>
      </c>
      <c r="S561" t="s">
        <v>2895</v>
      </c>
      <c r="T561" t="s">
        <v>2896</v>
      </c>
      <c r="U561" t="s">
        <v>2897</v>
      </c>
    </row>
    <row r="562" spans="1:21">
      <c r="A562" t="s">
        <v>1227</v>
      </c>
      <c r="B562" s="7">
        <v>46159</v>
      </c>
      <c r="C562" s="8">
        <v>0.47332175925925923</v>
      </c>
      <c r="D562" t="s">
        <v>17</v>
      </c>
      <c r="E562" t="s">
        <v>2</v>
      </c>
      <c r="F562" t="s">
        <v>50</v>
      </c>
      <c r="G562" t="s">
        <v>51</v>
      </c>
      <c r="H562">
        <v>103.85</v>
      </c>
      <c r="I562" t="s">
        <v>52</v>
      </c>
      <c r="J562" t="s">
        <v>196</v>
      </c>
      <c r="K562" t="s">
        <v>54</v>
      </c>
      <c r="L562" t="s">
        <v>55</v>
      </c>
      <c r="O562" t="s">
        <v>197</v>
      </c>
      <c r="P562" t="s">
        <v>198</v>
      </c>
      <c r="Q562">
        <v>41118.050000000003</v>
      </c>
      <c r="R562">
        <v>-103.85</v>
      </c>
      <c r="S562" t="s">
        <v>2895</v>
      </c>
      <c r="T562" t="s">
        <v>2896</v>
      </c>
      <c r="U562" t="s">
        <v>2897</v>
      </c>
    </row>
    <row r="563" spans="1:21">
      <c r="A563" t="s">
        <v>1229</v>
      </c>
      <c r="B563" s="7">
        <v>46159</v>
      </c>
      <c r="C563" s="8">
        <v>0.57737268518518514</v>
      </c>
      <c r="D563" t="s">
        <v>17</v>
      </c>
      <c r="E563" t="s">
        <v>2</v>
      </c>
      <c r="F563" t="s">
        <v>50</v>
      </c>
      <c r="G563" t="s">
        <v>51</v>
      </c>
      <c r="H563">
        <v>21.21</v>
      </c>
      <c r="I563" t="s">
        <v>52</v>
      </c>
      <c r="J563" t="s">
        <v>121</v>
      </c>
      <c r="K563" t="s">
        <v>54</v>
      </c>
      <c r="L563" t="s">
        <v>55</v>
      </c>
      <c r="O563" t="s">
        <v>122</v>
      </c>
      <c r="P563" t="s">
        <v>123</v>
      </c>
      <c r="Q563">
        <v>41096.839999999997</v>
      </c>
      <c r="R563">
        <v>-21.21</v>
      </c>
      <c r="S563" t="s">
        <v>2895</v>
      </c>
      <c r="T563" t="s">
        <v>2896</v>
      </c>
      <c r="U563" t="s">
        <v>2897</v>
      </c>
    </row>
    <row r="564" spans="1:21">
      <c r="A564" t="s">
        <v>1231</v>
      </c>
      <c r="B564" s="7">
        <v>46159</v>
      </c>
      <c r="C564" s="8">
        <v>0.67533564814814817</v>
      </c>
      <c r="D564" t="s">
        <v>17</v>
      </c>
      <c r="E564" t="s">
        <v>2</v>
      </c>
      <c r="F564" t="s">
        <v>50</v>
      </c>
      <c r="G564" t="s">
        <v>100</v>
      </c>
      <c r="H564">
        <v>12.8</v>
      </c>
      <c r="I564" t="s">
        <v>52</v>
      </c>
      <c r="J564" t="s">
        <v>114</v>
      </c>
      <c r="K564" t="s">
        <v>54</v>
      </c>
      <c r="L564" t="s">
        <v>102</v>
      </c>
      <c r="O564" t="s">
        <v>103</v>
      </c>
      <c r="P564" t="s">
        <v>104</v>
      </c>
      <c r="Q564">
        <v>40927.93</v>
      </c>
      <c r="R564">
        <v>-12.8</v>
      </c>
      <c r="S564" t="s">
        <v>2895</v>
      </c>
      <c r="T564" t="s">
        <v>2896</v>
      </c>
      <c r="U564" t="s">
        <v>2897</v>
      </c>
    </row>
    <row r="565" spans="1:21">
      <c r="A565" t="s">
        <v>1233</v>
      </c>
      <c r="B565" s="7">
        <v>46159</v>
      </c>
      <c r="C565" s="8">
        <v>0.69333333333333336</v>
      </c>
      <c r="D565" t="s">
        <v>17</v>
      </c>
      <c r="E565" t="s">
        <v>2</v>
      </c>
      <c r="F565" t="s">
        <v>149</v>
      </c>
      <c r="G565" t="s">
        <v>72</v>
      </c>
      <c r="H565">
        <v>104.43</v>
      </c>
      <c r="I565" t="s">
        <v>52</v>
      </c>
      <c r="J565" t="s">
        <v>611</v>
      </c>
      <c r="K565" t="s">
        <v>54</v>
      </c>
      <c r="L565" t="s">
        <v>74</v>
      </c>
      <c r="O565" t="s">
        <v>75</v>
      </c>
      <c r="P565" t="s">
        <v>76</v>
      </c>
      <c r="Q565">
        <v>41032.36</v>
      </c>
      <c r="R565">
        <v>104.43</v>
      </c>
      <c r="S565" t="s">
        <v>2895</v>
      </c>
      <c r="T565" t="s">
        <v>2896</v>
      </c>
      <c r="U565" t="s">
        <v>2897</v>
      </c>
    </row>
    <row r="566" spans="1:21">
      <c r="A566" t="s">
        <v>1235</v>
      </c>
      <c r="B566" s="7">
        <v>46159</v>
      </c>
      <c r="C566" s="8">
        <v>0.80833333333333335</v>
      </c>
      <c r="D566" t="s">
        <v>17</v>
      </c>
      <c r="E566" t="s">
        <v>2</v>
      </c>
      <c r="F566" t="s">
        <v>50</v>
      </c>
      <c r="G566" t="s">
        <v>51</v>
      </c>
      <c r="H566">
        <v>92.02</v>
      </c>
      <c r="I566" t="s">
        <v>52</v>
      </c>
      <c r="J566" t="s">
        <v>196</v>
      </c>
      <c r="K566" t="s">
        <v>54</v>
      </c>
      <c r="L566" t="s">
        <v>55</v>
      </c>
      <c r="O566" t="s">
        <v>197</v>
      </c>
      <c r="P566" t="s">
        <v>198</v>
      </c>
      <c r="Q566">
        <v>40989.360000000001</v>
      </c>
      <c r="R566">
        <v>-92.02</v>
      </c>
      <c r="S566" t="s">
        <v>2895</v>
      </c>
      <c r="T566" t="s">
        <v>2896</v>
      </c>
      <c r="U566" t="s">
        <v>2897</v>
      </c>
    </row>
    <row r="567" spans="1:21">
      <c r="A567" t="s">
        <v>1237</v>
      </c>
      <c r="B567" s="7">
        <v>46159</v>
      </c>
      <c r="C567" s="8">
        <v>0.80903935185185183</v>
      </c>
      <c r="D567" t="s">
        <v>17</v>
      </c>
      <c r="E567" t="s">
        <v>2</v>
      </c>
      <c r="F567" t="s">
        <v>50</v>
      </c>
      <c r="G567" t="s">
        <v>51</v>
      </c>
      <c r="H567">
        <v>15.46</v>
      </c>
      <c r="I567" t="s">
        <v>52</v>
      </c>
      <c r="J567" t="s">
        <v>126</v>
      </c>
      <c r="K567" t="s">
        <v>54</v>
      </c>
      <c r="L567" t="s">
        <v>55</v>
      </c>
      <c r="O567" t="s">
        <v>56</v>
      </c>
      <c r="P567" t="s">
        <v>57</v>
      </c>
      <c r="Q567">
        <v>41081.379999999997</v>
      </c>
      <c r="R567">
        <v>-15.46</v>
      </c>
      <c r="S567" t="s">
        <v>2895</v>
      </c>
      <c r="T567" t="s">
        <v>2896</v>
      </c>
      <c r="U567" t="s">
        <v>2897</v>
      </c>
    </row>
    <row r="568" spans="1:21">
      <c r="A568" t="s">
        <v>1239</v>
      </c>
      <c r="B568" s="7">
        <v>46160</v>
      </c>
      <c r="C568" s="8">
        <v>0.36328703703703702</v>
      </c>
      <c r="D568" t="s">
        <v>17</v>
      </c>
      <c r="E568" t="s">
        <v>2</v>
      </c>
      <c r="F568" t="s">
        <v>50</v>
      </c>
      <c r="G568" t="s">
        <v>51</v>
      </c>
      <c r="H568">
        <v>16.86</v>
      </c>
      <c r="I568" t="s">
        <v>52</v>
      </c>
      <c r="J568" t="s">
        <v>53</v>
      </c>
      <c r="K568" t="s">
        <v>54</v>
      </c>
      <c r="L568" t="s">
        <v>55</v>
      </c>
      <c r="O568" t="s">
        <v>56</v>
      </c>
      <c r="P568" t="s">
        <v>57</v>
      </c>
      <c r="Q568">
        <v>40989.199999999997</v>
      </c>
      <c r="R568">
        <v>-16.86</v>
      </c>
      <c r="S568" t="s">
        <v>2895</v>
      </c>
      <c r="T568" t="s">
        <v>2896</v>
      </c>
      <c r="U568" t="s">
        <v>2897</v>
      </c>
    </row>
    <row r="569" spans="1:21">
      <c r="A569" t="s">
        <v>1241</v>
      </c>
      <c r="B569" s="7">
        <v>46160</v>
      </c>
      <c r="C569" s="8">
        <v>0.62998842592592597</v>
      </c>
      <c r="D569" t="s">
        <v>17</v>
      </c>
      <c r="E569" t="s">
        <v>2</v>
      </c>
      <c r="F569" t="s">
        <v>50</v>
      </c>
      <c r="G569" t="s">
        <v>51</v>
      </c>
      <c r="H569">
        <v>14.13</v>
      </c>
      <c r="I569" t="s">
        <v>52</v>
      </c>
      <c r="J569" t="s">
        <v>81</v>
      </c>
      <c r="K569" t="s">
        <v>54</v>
      </c>
      <c r="L569" t="s">
        <v>55</v>
      </c>
      <c r="O569" t="s">
        <v>82</v>
      </c>
      <c r="P569" t="s">
        <v>83</v>
      </c>
      <c r="Q569">
        <v>40975.07</v>
      </c>
      <c r="R569">
        <v>-14.13</v>
      </c>
      <c r="S569" t="s">
        <v>2895</v>
      </c>
      <c r="T569" t="s">
        <v>2896</v>
      </c>
      <c r="U569" t="s">
        <v>2897</v>
      </c>
    </row>
    <row r="570" spans="1:21">
      <c r="A570" t="s">
        <v>1243</v>
      </c>
      <c r="B570" s="7">
        <v>46160</v>
      </c>
      <c r="C570" s="8">
        <v>0.79966435185185181</v>
      </c>
      <c r="D570" t="s">
        <v>17</v>
      </c>
      <c r="E570" t="s">
        <v>2</v>
      </c>
      <c r="F570" t="s">
        <v>50</v>
      </c>
      <c r="G570" t="s">
        <v>51</v>
      </c>
      <c r="H570">
        <v>30.99</v>
      </c>
      <c r="I570" t="s">
        <v>52</v>
      </c>
      <c r="J570" t="s">
        <v>126</v>
      </c>
      <c r="K570" t="s">
        <v>54</v>
      </c>
      <c r="L570" t="s">
        <v>55</v>
      </c>
      <c r="O570" t="s">
        <v>56</v>
      </c>
      <c r="P570" t="s">
        <v>57</v>
      </c>
      <c r="Q570">
        <v>40900.019999999997</v>
      </c>
      <c r="R570">
        <v>-30.99</v>
      </c>
      <c r="S570" t="s">
        <v>2895</v>
      </c>
      <c r="T570" t="s">
        <v>2896</v>
      </c>
      <c r="U570" t="s">
        <v>2897</v>
      </c>
    </row>
    <row r="571" spans="1:21">
      <c r="A571" t="s">
        <v>1245</v>
      </c>
      <c r="B571" s="7">
        <v>46160</v>
      </c>
      <c r="C571" s="8">
        <v>0.86054398148148148</v>
      </c>
      <c r="D571" t="s">
        <v>17</v>
      </c>
      <c r="E571" t="s">
        <v>2</v>
      </c>
      <c r="F571" t="s">
        <v>50</v>
      </c>
      <c r="G571" t="s">
        <v>51</v>
      </c>
      <c r="H571">
        <v>26.3</v>
      </c>
      <c r="I571" t="s">
        <v>52</v>
      </c>
      <c r="J571" t="s">
        <v>81</v>
      </c>
      <c r="K571" t="s">
        <v>54</v>
      </c>
      <c r="L571" t="s">
        <v>55</v>
      </c>
      <c r="O571" t="s">
        <v>82</v>
      </c>
      <c r="P571" t="s">
        <v>83</v>
      </c>
      <c r="Q571">
        <v>41006.06</v>
      </c>
      <c r="R571">
        <v>-26.3</v>
      </c>
      <c r="S571" t="s">
        <v>2895</v>
      </c>
      <c r="T571" t="s">
        <v>2896</v>
      </c>
      <c r="U571" t="s">
        <v>2897</v>
      </c>
    </row>
    <row r="572" spans="1:21">
      <c r="A572" t="s">
        <v>1247</v>
      </c>
      <c r="B572" s="7">
        <v>46160</v>
      </c>
      <c r="C572" s="8">
        <v>0.90751157407407412</v>
      </c>
      <c r="D572" t="s">
        <v>17</v>
      </c>
      <c r="E572" t="s">
        <v>2</v>
      </c>
      <c r="F572" t="s">
        <v>50</v>
      </c>
      <c r="G572" t="s">
        <v>100</v>
      </c>
      <c r="H572">
        <v>89.99</v>
      </c>
      <c r="I572" t="s">
        <v>52</v>
      </c>
      <c r="J572" t="s">
        <v>384</v>
      </c>
      <c r="K572" t="s">
        <v>54</v>
      </c>
      <c r="L572" t="s">
        <v>102</v>
      </c>
      <c r="O572" t="s">
        <v>178</v>
      </c>
      <c r="P572" t="s">
        <v>385</v>
      </c>
      <c r="Q572">
        <v>44551.75</v>
      </c>
      <c r="R572">
        <v>-89.99</v>
      </c>
      <c r="S572" t="s">
        <v>2895</v>
      </c>
      <c r="T572" t="s">
        <v>2896</v>
      </c>
      <c r="U572" t="s">
        <v>2897</v>
      </c>
    </row>
    <row r="573" spans="1:21">
      <c r="A573" t="s">
        <v>1249</v>
      </c>
      <c r="B573" s="7">
        <v>46160</v>
      </c>
      <c r="C573" s="8">
        <v>0.93363425925925925</v>
      </c>
      <c r="D573" t="s">
        <v>17</v>
      </c>
      <c r="E573" t="s">
        <v>2</v>
      </c>
      <c r="F573" t="s">
        <v>50</v>
      </c>
      <c r="G573" t="s">
        <v>51</v>
      </c>
      <c r="H573">
        <v>44.06</v>
      </c>
      <c r="I573" t="s">
        <v>52</v>
      </c>
      <c r="J573" t="s">
        <v>81</v>
      </c>
      <c r="K573" t="s">
        <v>54</v>
      </c>
      <c r="L573" t="s">
        <v>55</v>
      </c>
      <c r="O573" t="s">
        <v>82</v>
      </c>
      <c r="P573" t="s">
        <v>83</v>
      </c>
      <c r="Q573">
        <v>40931.01</v>
      </c>
      <c r="R573">
        <v>-44.06</v>
      </c>
      <c r="S573" t="s">
        <v>2895</v>
      </c>
      <c r="T573" t="s">
        <v>2896</v>
      </c>
      <c r="U573" t="s">
        <v>2897</v>
      </c>
    </row>
    <row r="574" spans="1:21">
      <c r="A574" t="s">
        <v>1251</v>
      </c>
      <c r="B574" s="7">
        <v>46161</v>
      </c>
      <c r="C574" s="8">
        <v>0.33011574074074074</v>
      </c>
      <c r="D574" t="s">
        <v>17</v>
      </c>
      <c r="E574" t="s">
        <v>2</v>
      </c>
      <c r="F574" t="s">
        <v>50</v>
      </c>
      <c r="G574" t="s">
        <v>51</v>
      </c>
      <c r="H574">
        <v>51.78</v>
      </c>
      <c r="I574" t="s">
        <v>52</v>
      </c>
      <c r="J574" t="s">
        <v>81</v>
      </c>
      <c r="K574" t="s">
        <v>54</v>
      </c>
      <c r="L574" t="s">
        <v>55</v>
      </c>
      <c r="O574" t="s">
        <v>82</v>
      </c>
      <c r="P574" t="s">
        <v>83</v>
      </c>
      <c r="Q574">
        <v>40835.74</v>
      </c>
      <c r="R574">
        <v>-51.78</v>
      </c>
      <c r="S574" t="s">
        <v>2895</v>
      </c>
      <c r="T574" t="s">
        <v>2896</v>
      </c>
      <c r="U574" t="s">
        <v>2897</v>
      </c>
    </row>
    <row r="575" spans="1:21">
      <c r="A575" t="s">
        <v>1253</v>
      </c>
      <c r="B575" s="7">
        <v>46161</v>
      </c>
      <c r="C575" s="8">
        <v>0.53638888888888892</v>
      </c>
      <c r="D575" t="s">
        <v>17</v>
      </c>
      <c r="E575" t="s">
        <v>2</v>
      </c>
      <c r="F575" t="s">
        <v>50</v>
      </c>
      <c r="G575" t="s">
        <v>51</v>
      </c>
      <c r="H575">
        <v>79.55</v>
      </c>
      <c r="I575" t="s">
        <v>52</v>
      </c>
      <c r="J575" t="s">
        <v>65</v>
      </c>
      <c r="K575" t="s">
        <v>54</v>
      </c>
      <c r="L575" t="s">
        <v>55</v>
      </c>
      <c r="O575" t="s">
        <v>66</v>
      </c>
      <c r="P575" t="s">
        <v>67</v>
      </c>
      <c r="Q575">
        <v>40756.19</v>
      </c>
      <c r="R575">
        <v>-79.55</v>
      </c>
      <c r="S575" t="s">
        <v>2895</v>
      </c>
      <c r="T575" t="s">
        <v>2896</v>
      </c>
      <c r="U575" t="s">
        <v>2897</v>
      </c>
    </row>
    <row r="576" spans="1:21">
      <c r="A576" t="s">
        <v>1255</v>
      </c>
      <c r="B576" s="7">
        <v>46161</v>
      </c>
      <c r="C576" s="8">
        <v>0.55418981481481477</v>
      </c>
      <c r="D576" t="s">
        <v>17</v>
      </c>
      <c r="E576" t="s">
        <v>2</v>
      </c>
      <c r="F576" t="s">
        <v>50</v>
      </c>
      <c r="G576" t="s">
        <v>51</v>
      </c>
      <c r="H576">
        <v>50.27</v>
      </c>
      <c r="I576" t="s">
        <v>52</v>
      </c>
      <c r="J576" t="s">
        <v>60</v>
      </c>
      <c r="K576" t="s">
        <v>54</v>
      </c>
      <c r="L576" t="s">
        <v>55</v>
      </c>
      <c r="O576" t="s">
        <v>61</v>
      </c>
      <c r="P576" t="s">
        <v>62</v>
      </c>
      <c r="Q576">
        <v>40673.339999999997</v>
      </c>
      <c r="R576">
        <v>-50.27</v>
      </c>
      <c r="S576" t="s">
        <v>2895</v>
      </c>
      <c r="T576" t="s">
        <v>2896</v>
      </c>
      <c r="U576" t="s">
        <v>2897</v>
      </c>
    </row>
    <row r="577" spans="1:21">
      <c r="A577" t="s">
        <v>1257</v>
      </c>
      <c r="B577" s="7">
        <v>46161</v>
      </c>
      <c r="C577" s="8">
        <v>0.63068287037037041</v>
      </c>
      <c r="D577" t="s">
        <v>17</v>
      </c>
      <c r="E577" t="s">
        <v>2</v>
      </c>
      <c r="F577" t="s">
        <v>50</v>
      </c>
      <c r="G577" t="s">
        <v>100</v>
      </c>
      <c r="H577">
        <v>12.5</v>
      </c>
      <c r="I577" t="s">
        <v>52</v>
      </c>
      <c r="J577" t="s">
        <v>114</v>
      </c>
      <c r="K577" t="s">
        <v>54</v>
      </c>
      <c r="L577" t="s">
        <v>102</v>
      </c>
      <c r="O577" t="s">
        <v>103</v>
      </c>
      <c r="P577" t="s">
        <v>104</v>
      </c>
      <c r="Q577">
        <v>40887.519999999997</v>
      </c>
      <c r="R577">
        <v>-12.5</v>
      </c>
      <c r="S577" t="s">
        <v>2895</v>
      </c>
      <c r="T577" t="s">
        <v>2896</v>
      </c>
      <c r="U577" t="s">
        <v>2897</v>
      </c>
    </row>
    <row r="578" spans="1:21">
      <c r="A578" t="s">
        <v>1259</v>
      </c>
      <c r="B578" s="7">
        <v>46161</v>
      </c>
      <c r="C578" s="8">
        <v>0.8549768518518519</v>
      </c>
      <c r="D578" t="s">
        <v>17</v>
      </c>
      <c r="E578" t="s">
        <v>2</v>
      </c>
      <c r="F578" t="s">
        <v>50</v>
      </c>
      <c r="G578" t="s">
        <v>100</v>
      </c>
      <c r="H578">
        <v>15</v>
      </c>
      <c r="I578" t="s">
        <v>52</v>
      </c>
      <c r="J578" t="s">
        <v>101</v>
      </c>
      <c r="K578" t="s">
        <v>54</v>
      </c>
      <c r="L578" t="s">
        <v>102</v>
      </c>
      <c r="O578" t="s">
        <v>103</v>
      </c>
      <c r="P578" t="s">
        <v>104</v>
      </c>
      <c r="Q578">
        <v>40723.61</v>
      </c>
      <c r="R578">
        <v>-15</v>
      </c>
      <c r="S578" t="s">
        <v>2895</v>
      </c>
      <c r="T578" t="s">
        <v>2896</v>
      </c>
      <c r="U578" t="s">
        <v>2897</v>
      </c>
    </row>
    <row r="579" spans="1:21">
      <c r="A579" t="s">
        <v>1261</v>
      </c>
      <c r="B579" s="7">
        <v>46161</v>
      </c>
      <c r="C579" s="8">
        <v>0.89355324074074072</v>
      </c>
      <c r="D579" t="s">
        <v>17</v>
      </c>
      <c r="E579" t="s">
        <v>2</v>
      </c>
      <c r="F579" t="s">
        <v>50</v>
      </c>
      <c r="G579" t="s">
        <v>100</v>
      </c>
      <c r="H579">
        <v>17.579999999999998</v>
      </c>
      <c r="I579" t="s">
        <v>52</v>
      </c>
      <c r="J579" t="s">
        <v>114</v>
      </c>
      <c r="K579" t="s">
        <v>54</v>
      </c>
      <c r="L579" t="s">
        <v>102</v>
      </c>
      <c r="O579" t="s">
        <v>103</v>
      </c>
      <c r="P579" t="s">
        <v>104</v>
      </c>
      <c r="Q579">
        <v>40738.61</v>
      </c>
      <c r="R579">
        <v>-17.579999999999998</v>
      </c>
      <c r="S579" t="s">
        <v>2895</v>
      </c>
      <c r="T579" t="s">
        <v>2896</v>
      </c>
      <c r="U579" t="s">
        <v>2897</v>
      </c>
    </row>
    <row r="580" spans="1:21">
      <c r="A580" t="s">
        <v>1263</v>
      </c>
      <c r="B580" s="7">
        <v>46161</v>
      </c>
      <c r="C580" s="8">
        <v>0.89967592592592593</v>
      </c>
      <c r="D580" t="s">
        <v>17</v>
      </c>
      <c r="E580" t="s">
        <v>2</v>
      </c>
      <c r="F580" t="s">
        <v>50</v>
      </c>
      <c r="G580" t="s">
        <v>72</v>
      </c>
      <c r="H580">
        <v>144.91999999999999</v>
      </c>
      <c r="I580" t="s">
        <v>52</v>
      </c>
      <c r="J580" t="s">
        <v>606</v>
      </c>
      <c r="K580" t="s">
        <v>54</v>
      </c>
      <c r="L580" t="s">
        <v>74</v>
      </c>
      <c r="O580" t="s">
        <v>75</v>
      </c>
      <c r="P580" t="s">
        <v>76</v>
      </c>
      <c r="Q580">
        <v>40528.42</v>
      </c>
      <c r="R580">
        <v>-144.91999999999999</v>
      </c>
      <c r="S580" t="s">
        <v>2895</v>
      </c>
      <c r="T580" t="s">
        <v>2896</v>
      </c>
      <c r="U580" t="s">
        <v>2897</v>
      </c>
    </row>
    <row r="581" spans="1:21">
      <c r="A581" t="s">
        <v>1265</v>
      </c>
      <c r="B581" s="7">
        <v>46162</v>
      </c>
      <c r="C581" s="8">
        <v>0.40961805555555558</v>
      </c>
      <c r="D581" t="s">
        <v>17</v>
      </c>
      <c r="E581" t="s">
        <v>2</v>
      </c>
      <c r="F581" t="s">
        <v>50</v>
      </c>
      <c r="G581" t="s">
        <v>51</v>
      </c>
      <c r="H581">
        <v>43.95</v>
      </c>
      <c r="I581" t="s">
        <v>52</v>
      </c>
      <c r="J581" t="s">
        <v>60</v>
      </c>
      <c r="K581" t="s">
        <v>54</v>
      </c>
      <c r="L581" t="s">
        <v>55</v>
      </c>
      <c r="O581" t="s">
        <v>61</v>
      </c>
      <c r="P581" t="s">
        <v>62</v>
      </c>
      <c r="Q581">
        <v>40275.03</v>
      </c>
      <c r="R581">
        <v>-43.95</v>
      </c>
      <c r="S581" t="s">
        <v>2895</v>
      </c>
      <c r="T581" t="s">
        <v>2896</v>
      </c>
      <c r="U581" t="s">
        <v>2897</v>
      </c>
    </row>
    <row r="582" spans="1:21">
      <c r="A582" t="s">
        <v>1267</v>
      </c>
      <c r="B582" s="7">
        <v>46162</v>
      </c>
      <c r="C582" s="8">
        <v>0.55549768518518516</v>
      </c>
      <c r="D582" t="s">
        <v>17</v>
      </c>
      <c r="E582" t="s">
        <v>2</v>
      </c>
      <c r="F582" t="s">
        <v>50</v>
      </c>
      <c r="G582" t="s">
        <v>51</v>
      </c>
      <c r="H582">
        <v>4.95</v>
      </c>
      <c r="I582" t="s">
        <v>52</v>
      </c>
      <c r="J582" t="s">
        <v>121</v>
      </c>
      <c r="K582" t="s">
        <v>54</v>
      </c>
      <c r="L582" t="s">
        <v>55</v>
      </c>
      <c r="O582" t="s">
        <v>122</v>
      </c>
      <c r="P582" t="s">
        <v>123</v>
      </c>
      <c r="Q582">
        <v>40394.1</v>
      </c>
      <c r="R582">
        <v>-4.95</v>
      </c>
      <c r="S582" t="s">
        <v>2895</v>
      </c>
      <c r="T582" t="s">
        <v>2896</v>
      </c>
      <c r="U582" t="s">
        <v>2897</v>
      </c>
    </row>
    <row r="583" spans="1:21">
      <c r="A583" t="s">
        <v>1269</v>
      </c>
      <c r="B583" s="7">
        <v>46162</v>
      </c>
      <c r="C583" s="8">
        <v>0.73254629629629631</v>
      </c>
      <c r="D583" t="s">
        <v>17</v>
      </c>
      <c r="E583" t="s">
        <v>2</v>
      </c>
      <c r="F583" t="s">
        <v>50</v>
      </c>
      <c r="G583" t="s">
        <v>51</v>
      </c>
      <c r="H583">
        <v>14.85</v>
      </c>
      <c r="I583" t="s">
        <v>52</v>
      </c>
      <c r="J583" t="s">
        <v>53</v>
      </c>
      <c r="K583" t="s">
        <v>54</v>
      </c>
      <c r="L583" t="s">
        <v>55</v>
      </c>
      <c r="O583" t="s">
        <v>56</v>
      </c>
      <c r="P583" t="s">
        <v>57</v>
      </c>
      <c r="Q583">
        <v>40513.57</v>
      </c>
      <c r="R583">
        <v>-14.85</v>
      </c>
      <c r="S583" t="s">
        <v>2895</v>
      </c>
      <c r="T583" t="s">
        <v>2896</v>
      </c>
      <c r="U583" t="s">
        <v>2897</v>
      </c>
    </row>
    <row r="584" spans="1:21">
      <c r="A584" t="s">
        <v>1271</v>
      </c>
      <c r="B584" s="7">
        <v>46162</v>
      </c>
      <c r="C584" s="8">
        <v>0.74712962962962959</v>
      </c>
      <c r="D584" t="s">
        <v>17</v>
      </c>
      <c r="E584" t="s">
        <v>2</v>
      </c>
      <c r="F584" t="s">
        <v>50</v>
      </c>
      <c r="G584" t="s">
        <v>51</v>
      </c>
      <c r="H584">
        <v>75.12</v>
      </c>
      <c r="I584" t="s">
        <v>52</v>
      </c>
      <c r="J584" t="s">
        <v>65</v>
      </c>
      <c r="K584" t="s">
        <v>54</v>
      </c>
      <c r="L584" t="s">
        <v>55</v>
      </c>
      <c r="O584" t="s">
        <v>66</v>
      </c>
      <c r="P584" t="s">
        <v>67</v>
      </c>
      <c r="Q584">
        <v>40318.980000000003</v>
      </c>
      <c r="R584">
        <v>-75.12</v>
      </c>
      <c r="S584" t="s">
        <v>2895</v>
      </c>
      <c r="T584" t="s">
        <v>2896</v>
      </c>
      <c r="U584" t="s">
        <v>2897</v>
      </c>
    </row>
    <row r="585" spans="1:21">
      <c r="A585" t="s">
        <v>1273</v>
      </c>
      <c r="B585" s="7">
        <v>46162</v>
      </c>
      <c r="C585" s="8">
        <v>0.79906250000000001</v>
      </c>
      <c r="D585" t="s">
        <v>17</v>
      </c>
      <c r="E585" t="s">
        <v>2</v>
      </c>
      <c r="F585" t="s">
        <v>149</v>
      </c>
      <c r="G585" t="s">
        <v>72</v>
      </c>
      <c r="H585">
        <v>130.26</v>
      </c>
      <c r="I585" t="s">
        <v>52</v>
      </c>
      <c r="J585" t="s">
        <v>316</v>
      </c>
      <c r="K585" t="s">
        <v>54</v>
      </c>
      <c r="L585" t="s">
        <v>74</v>
      </c>
      <c r="O585" t="s">
        <v>75</v>
      </c>
      <c r="P585" t="s">
        <v>76</v>
      </c>
      <c r="Q585">
        <v>40405.29</v>
      </c>
      <c r="R585">
        <v>130.26</v>
      </c>
      <c r="S585" t="s">
        <v>2895</v>
      </c>
      <c r="T585" t="s">
        <v>2896</v>
      </c>
      <c r="U585" t="s">
        <v>2897</v>
      </c>
    </row>
    <row r="586" spans="1:21">
      <c r="A586" t="s">
        <v>1275</v>
      </c>
      <c r="B586" s="7">
        <v>46162</v>
      </c>
      <c r="C586" s="8">
        <v>0.85709490740740746</v>
      </c>
      <c r="D586" t="s">
        <v>17</v>
      </c>
      <c r="E586" t="s">
        <v>2</v>
      </c>
      <c r="F586" t="s">
        <v>50</v>
      </c>
      <c r="G586" t="s">
        <v>51</v>
      </c>
      <c r="H586">
        <v>114.52</v>
      </c>
      <c r="I586" t="s">
        <v>52</v>
      </c>
      <c r="J586" t="s">
        <v>65</v>
      </c>
      <c r="K586" t="s">
        <v>54</v>
      </c>
      <c r="L586" t="s">
        <v>55</v>
      </c>
      <c r="O586" t="s">
        <v>66</v>
      </c>
      <c r="P586" t="s">
        <v>67</v>
      </c>
      <c r="Q586">
        <v>40399.050000000003</v>
      </c>
      <c r="R586">
        <v>-114.52</v>
      </c>
      <c r="S586" t="s">
        <v>2895</v>
      </c>
      <c r="T586" t="s">
        <v>2896</v>
      </c>
      <c r="U586" t="s">
        <v>2897</v>
      </c>
    </row>
    <row r="587" spans="1:21">
      <c r="A587" t="s">
        <v>1277</v>
      </c>
      <c r="B587" s="7">
        <v>46163</v>
      </c>
      <c r="C587" s="8">
        <v>0.44785879629629627</v>
      </c>
      <c r="D587" t="s">
        <v>17</v>
      </c>
      <c r="E587" t="s">
        <v>2</v>
      </c>
      <c r="F587" t="s">
        <v>50</v>
      </c>
      <c r="G587" t="s">
        <v>51</v>
      </c>
      <c r="H587">
        <v>16.14</v>
      </c>
      <c r="I587" t="s">
        <v>52</v>
      </c>
      <c r="J587" t="s">
        <v>53</v>
      </c>
      <c r="K587" t="s">
        <v>54</v>
      </c>
      <c r="L587" t="s">
        <v>55</v>
      </c>
      <c r="O587" t="s">
        <v>56</v>
      </c>
      <c r="P587" t="s">
        <v>57</v>
      </c>
      <c r="Q587">
        <v>40175.14</v>
      </c>
      <c r="R587">
        <v>-16.14</v>
      </c>
      <c r="S587" t="s">
        <v>2895</v>
      </c>
      <c r="T587" t="s">
        <v>2896</v>
      </c>
      <c r="U587" t="s">
        <v>2897</v>
      </c>
    </row>
    <row r="588" spans="1:21">
      <c r="A588" t="s">
        <v>1279</v>
      </c>
      <c r="B588" s="7">
        <v>46163</v>
      </c>
      <c r="C588" s="8">
        <v>0.63791666666666669</v>
      </c>
      <c r="D588" t="s">
        <v>17</v>
      </c>
      <c r="E588" t="s">
        <v>2</v>
      </c>
      <c r="F588" t="s">
        <v>50</v>
      </c>
      <c r="G588" t="s">
        <v>100</v>
      </c>
      <c r="H588">
        <v>12.53</v>
      </c>
      <c r="I588" t="s">
        <v>52</v>
      </c>
      <c r="J588" t="s">
        <v>114</v>
      </c>
      <c r="K588" t="s">
        <v>54</v>
      </c>
      <c r="L588" t="s">
        <v>102</v>
      </c>
      <c r="O588" t="s">
        <v>103</v>
      </c>
      <c r="P588" t="s">
        <v>104</v>
      </c>
      <c r="Q588">
        <v>40237.39</v>
      </c>
      <c r="R588">
        <v>-12.53</v>
      </c>
      <c r="S588" t="s">
        <v>2895</v>
      </c>
      <c r="T588" t="s">
        <v>2896</v>
      </c>
      <c r="U588" t="s">
        <v>2897</v>
      </c>
    </row>
    <row r="589" spans="1:21">
      <c r="A589" t="s">
        <v>1281</v>
      </c>
      <c r="B589" s="7">
        <v>46163</v>
      </c>
      <c r="C589" s="8">
        <v>0.7036458333333333</v>
      </c>
      <c r="D589" t="s">
        <v>17</v>
      </c>
      <c r="E589" t="s">
        <v>2</v>
      </c>
      <c r="F589" t="s">
        <v>50</v>
      </c>
      <c r="G589" t="s">
        <v>51</v>
      </c>
      <c r="H589">
        <v>17.989999999999998</v>
      </c>
      <c r="I589" t="s">
        <v>52</v>
      </c>
      <c r="J589" t="s">
        <v>126</v>
      </c>
      <c r="K589" t="s">
        <v>54</v>
      </c>
      <c r="L589" t="s">
        <v>55</v>
      </c>
      <c r="O589" t="s">
        <v>56</v>
      </c>
      <c r="P589" t="s">
        <v>57</v>
      </c>
      <c r="Q589">
        <v>40157.15</v>
      </c>
      <c r="R589">
        <v>-17.989999999999998</v>
      </c>
      <c r="S589" t="s">
        <v>2895</v>
      </c>
      <c r="T589" t="s">
        <v>2896</v>
      </c>
      <c r="U589" t="s">
        <v>2897</v>
      </c>
    </row>
    <row r="590" spans="1:21">
      <c r="A590" t="s">
        <v>1283</v>
      </c>
      <c r="B590" s="7">
        <v>46163</v>
      </c>
      <c r="C590" s="8">
        <v>0.73214120370370372</v>
      </c>
      <c r="D590" t="s">
        <v>17</v>
      </c>
      <c r="E590" t="s">
        <v>2</v>
      </c>
      <c r="F590" t="s">
        <v>50</v>
      </c>
      <c r="G590" t="s">
        <v>51</v>
      </c>
      <c r="H590">
        <v>155.37</v>
      </c>
      <c r="I590" t="s">
        <v>52</v>
      </c>
      <c r="J590" t="s">
        <v>196</v>
      </c>
      <c r="K590" t="s">
        <v>54</v>
      </c>
      <c r="L590" t="s">
        <v>55</v>
      </c>
      <c r="O590" t="s">
        <v>197</v>
      </c>
      <c r="P590" t="s">
        <v>198</v>
      </c>
      <c r="Q590">
        <v>40249.919999999998</v>
      </c>
      <c r="R590">
        <v>-155.37</v>
      </c>
      <c r="S590" t="s">
        <v>2895</v>
      </c>
      <c r="T590" t="s">
        <v>2896</v>
      </c>
      <c r="U590" t="s">
        <v>2897</v>
      </c>
    </row>
    <row r="591" spans="1:21">
      <c r="A591" t="s">
        <v>1285</v>
      </c>
      <c r="B591" s="7">
        <v>46163</v>
      </c>
      <c r="C591" s="8">
        <v>0.83197916666666671</v>
      </c>
      <c r="D591" t="s">
        <v>17</v>
      </c>
      <c r="E591" t="s">
        <v>2</v>
      </c>
      <c r="F591" t="s">
        <v>50</v>
      </c>
      <c r="G591" t="s">
        <v>51</v>
      </c>
      <c r="H591">
        <v>28.78</v>
      </c>
      <c r="I591" t="s">
        <v>52</v>
      </c>
      <c r="J591" t="s">
        <v>60</v>
      </c>
      <c r="K591" t="s">
        <v>54</v>
      </c>
      <c r="L591" t="s">
        <v>55</v>
      </c>
      <c r="O591" t="s">
        <v>61</v>
      </c>
      <c r="P591" t="s">
        <v>62</v>
      </c>
      <c r="Q591">
        <v>40191.279999999999</v>
      </c>
      <c r="R591">
        <v>-28.78</v>
      </c>
      <c r="S591" t="s">
        <v>2895</v>
      </c>
      <c r="T591" t="s">
        <v>2896</v>
      </c>
      <c r="U591" t="s">
        <v>2897</v>
      </c>
    </row>
    <row r="592" spans="1:21">
      <c r="A592" t="s">
        <v>1287</v>
      </c>
      <c r="B592" s="7">
        <v>46163</v>
      </c>
      <c r="C592" s="8">
        <v>0.95674768518518516</v>
      </c>
      <c r="D592" t="s">
        <v>17</v>
      </c>
      <c r="E592" t="s">
        <v>2</v>
      </c>
      <c r="F592" t="s">
        <v>50</v>
      </c>
      <c r="G592" t="s">
        <v>51</v>
      </c>
      <c r="H592">
        <v>17.329999999999998</v>
      </c>
      <c r="I592" t="s">
        <v>52</v>
      </c>
      <c r="J592" t="s">
        <v>53</v>
      </c>
      <c r="K592" t="s">
        <v>54</v>
      </c>
      <c r="L592" t="s">
        <v>55</v>
      </c>
      <c r="O592" t="s">
        <v>56</v>
      </c>
      <c r="P592" t="s">
        <v>57</v>
      </c>
      <c r="Q592">
        <v>40220.06</v>
      </c>
      <c r="R592">
        <v>-17.329999999999998</v>
      </c>
      <c r="S592" t="s">
        <v>2895</v>
      </c>
      <c r="T592" t="s">
        <v>2896</v>
      </c>
      <c r="U592" t="s">
        <v>2897</v>
      </c>
    </row>
    <row r="593" spans="1:21">
      <c r="A593" t="s">
        <v>1289</v>
      </c>
      <c r="B593" s="7">
        <v>46164</v>
      </c>
      <c r="C593" s="8">
        <v>0.29312500000000002</v>
      </c>
      <c r="D593" t="s">
        <v>17</v>
      </c>
      <c r="E593" t="s">
        <v>2</v>
      </c>
      <c r="F593" t="s">
        <v>50</v>
      </c>
      <c r="G593" t="s">
        <v>100</v>
      </c>
      <c r="H593">
        <v>15</v>
      </c>
      <c r="I593" t="s">
        <v>52</v>
      </c>
      <c r="J593" t="s">
        <v>101</v>
      </c>
      <c r="K593" t="s">
        <v>54</v>
      </c>
      <c r="L593" t="s">
        <v>102</v>
      </c>
      <c r="O593" t="s">
        <v>103</v>
      </c>
      <c r="P593" t="s">
        <v>104</v>
      </c>
      <c r="Q593">
        <v>39858.74</v>
      </c>
      <c r="R593">
        <v>-15</v>
      </c>
      <c r="S593" t="s">
        <v>2895</v>
      </c>
      <c r="T593" t="s">
        <v>2896</v>
      </c>
      <c r="U593" t="s">
        <v>2897</v>
      </c>
    </row>
    <row r="594" spans="1:21">
      <c r="A594" t="s">
        <v>1291</v>
      </c>
      <c r="B594" s="7">
        <v>46164</v>
      </c>
      <c r="C594" s="8">
        <v>0.35106481481481483</v>
      </c>
      <c r="D594" t="s">
        <v>17</v>
      </c>
      <c r="E594" t="s">
        <v>2</v>
      </c>
      <c r="F594" t="s">
        <v>50</v>
      </c>
      <c r="G594" t="s">
        <v>51</v>
      </c>
      <c r="H594">
        <v>11.59</v>
      </c>
      <c r="I594" t="s">
        <v>52</v>
      </c>
      <c r="J594" t="s">
        <v>121</v>
      </c>
      <c r="K594" t="s">
        <v>54</v>
      </c>
      <c r="L594" t="s">
        <v>55</v>
      </c>
      <c r="O594" t="s">
        <v>122</v>
      </c>
      <c r="P594" t="s">
        <v>123</v>
      </c>
      <c r="Q594">
        <v>40114.46</v>
      </c>
      <c r="R594">
        <v>-11.59</v>
      </c>
      <c r="S594" t="s">
        <v>2895</v>
      </c>
      <c r="T594" t="s">
        <v>2896</v>
      </c>
      <c r="U594" t="s">
        <v>2897</v>
      </c>
    </row>
    <row r="595" spans="1:21">
      <c r="A595" t="s">
        <v>1292</v>
      </c>
      <c r="B595" s="7">
        <v>46164</v>
      </c>
      <c r="C595" s="8">
        <v>0.36561342592592594</v>
      </c>
      <c r="D595" t="s">
        <v>17</v>
      </c>
      <c r="E595" t="s">
        <v>2</v>
      </c>
      <c r="F595" t="s">
        <v>50</v>
      </c>
      <c r="G595" t="s">
        <v>51</v>
      </c>
      <c r="H595">
        <v>38.26</v>
      </c>
      <c r="I595" t="s">
        <v>52</v>
      </c>
      <c r="J595" t="s">
        <v>81</v>
      </c>
      <c r="K595" t="s">
        <v>54</v>
      </c>
      <c r="L595" t="s">
        <v>55</v>
      </c>
      <c r="O595" t="s">
        <v>82</v>
      </c>
      <c r="P595" t="s">
        <v>83</v>
      </c>
      <c r="Q595">
        <v>40062.47</v>
      </c>
      <c r="R595">
        <v>-38.26</v>
      </c>
      <c r="S595" t="s">
        <v>2895</v>
      </c>
      <c r="T595" t="s">
        <v>2896</v>
      </c>
      <c r="U595" t="s">
        <v>2897</v>
      </c>
    </row>
    <row r="596" spans="1:21">
      <c r="A596" t="s">
        <v>1294</v>
      </c>
      <c r="B596" s="7">
        <v>46164</v>
      </c>
      <c r="C596" s="8">
        <v>0.44229166666666669</v>
      </c>
      <c r="D596" t="s">
        <v>17</v>
      </c>
      <c r="E596" t="s">
        <v>2</v>
      </c>
      <c r="F596" t="s">
        <v>50</v>
      </c>
      <c r="G596" t="s">
        <v>51</v>
      </c>
      <c r="H596">
        <v>36.46</v>
      </c>
      <c r="I596" t="s">
        <v>52</v>
      </c>
      <c r="J596" t="s">
        <v>81</v>
      </c>
      <c r="K596" t="s">
        <v>54</v>
      </c>
      <c r="L596" t="s">
        <v>55</v>
      </c>
      <c r="O596" t="s">
        <v>82</v>
      </c>
      <c r="P596" t="s">
        <v>83</v>
      </c>
      <c r="Q596">
        <v>39873.74</v>
      </c>
      <c r="R596">
        <v>-36.46</v>
      </c>
      <c r="S596" t="s">
        <v>2895</v>
      </c>
      <c r="T596" t="s">
        <v>2896</v>
      </c>
      <c r="U596" t="s">
        <v>2897</v>
      </c>
    </row>
    <row r="597" spans="1:21">
      <c r="A597" t="s">
        <v>1296</v>
      </c>
      <c r="B597" s="7">
        <v>46164</v>
      </c>
      <c r="C597" s="8">
        <v>0.61141203703703706</v>
      </c>
      <c r="D597" t="s">
        <v>17</v>
      </c>
      <c r="E597" t="s">
        <v>2</v>
      </c>
      <c r="F597" t="s">
        <v>50</v>
      </c>
      <c r="G597" t="s">
        <v>51</v>
      </c>
      <c r="H597">
        <v>31.1</v>
      </c>
      <c r="I597" t="s">
        <v>52</v>
      </c>
      <c r="J597" t="s">
        <v>126</v>
      </c>
      <c r="K597" t="s">
        <v>54</v>
      </c>
      <c r="L597" t="s">
        <v>55</v>
      </c>
      <c r="O597" t="s">
        <v>56</v>
      </c>
      <c r="P597" t="s">
        <v>57</v>
      </c>
      <c r="Q597">
        <v>40126.050000000003</v>
      </c>
      <c r="R597">
        <v>-31.1</v>
      </c>
      <c r="S597" t="s">
        <v>2895</v>
      </c>
      <c r="T597" t="s">
        <v>2896</v>
      </c>
      <c r="U597" t="s">
        <v>2897</v>
      </c>
    </row>
    <row r="598" spans="1:21">
      <c r="A598" t="s">
        <v>1298</v>
      </c>
      <c r="B598" s="7">
        <v>46164</v>
      </c>
      <c r="C598" s="8">
        <v>0.70368055555555553</v>
      </c>
      <c r="D598" t="s">
        <v>17</v>
      </c>
      <c r="E598" t="s">
        <v>2</v>
      </c>
      <c r="F598" t="s">
        <v>50</v>
      </c>
      <c r="G598" t="s">
        <v>51</v>
      </c>
      <c r="H598">
        <v>100.06</v>
      </c>
      <c r="I598" t="s">
        <v>52</v>
      </c>
      <c r="J598" t="s">
        <v>196</v>
      </c>
      <c r="K598" t="s">
        <v>54</v>
      </c>
      <c r="L598" t="s">
        <v>55</v>
      </c>
      <c r="O598" t="s">
        <v>197</v>
      </c>
      <c r="P598" t="s">
        <v>198</v>
      </c>
      <c r="Q598">
        <v>39910.199999999997</v>
      </c>
      <c r="R598">
        <v>-100.06</v>
      </c>
      <c r="S598" t="s">
        <v>2895</v>
      </c>
      <c r="T598" t="s">
        <v>2896</v>
      </c>
      <c r="U598" t="s">
        <v>2897</v>
      </c>
    </row>
    <row r="599" spans="1:21">
      <c r="A599" t="s">
        <v>1300</v>
      </c>
      <c r="B599" s="7">
        <v>46164</v>
      </c>
      <c r="C599" s="8">
        <v>0.7288310185185185</v>
      </c>
      <c r="D599" t="s">
        <v>17</v>
      </c>
      <c r="E599" t="s">
        <v>2</v>
      </c>
      <c r="F599" t="s">
        <v>50</v>
      </c>
      <c r="G599" t="s">
        <v>51</v>
      </c>
      <c r="H599">
        <v>13.73</v>
      </c>
      <c r="I599" t="s">
        <v>52</v>
      </c>
      <c r="J599" t="s">
        <v>53</v>
      </c>
      <c r="K599" t="s">
        <v>54</v>
      </c>
      <c r="L599" t="s">
        <v>55</v>
      </c>
      <c r="O599" t="s">
        <v>56</v>
      </c>
      <c r="P599" t="s">
        <v>57</v>
      </c>
      <c r="Q599">
        <v>40100.730000000003</v>
      </c>
      <c r="R599">
        <v>-13.73</v>
      </c>
      <c r="S599" t="s">
        <v>2895</v>
      </c>
      <c r="T599" t="s">
        <v>2896</v>
      </c>
      <c r="U599" t="s">
        <v>2897</v>
      </c>
    </row>
    <row r="600" spans="1:21">
      <c r="A600" t="s">
        <v>1302</v>
      </c>
      <c r="B600" s="7">
        <v>46164</v>
      </c>
      <c r="C600" s="8">
        <v>0.75934027777777779</v>
      </c>
      <c r="D600" t="s">
        <v>17</v>
      </c>
      <c r="E600" t="s">
        <v>2</v>
      </c>
      <c r="F600" t="s">
        <v>50</v>
      </c>
      <c r="G600" t="s">
        <v>51</v>
      </c>
      <c r="H600">
        <v>52.21</v>
      </c>
      <c r="I600" t="s">
        <v>52</v>
      </c>
      <c r="J600" t="s">
        <v>81</v>
      </c>
      <c r="K600" t="s">
        <v>54</v>
      </c>
      <c r="L600" t="s">
        <v>55</v>
      </c>
      <c r="O600" t="s">
        <v>82</v>
      </c>
      <c r="P600" t="s">
        <v>83</v>
      </c>
      <c r="Q600">
        <v>40010.26</v>
      </c>
      <c r="R600">
        <v>-52.21</v>
      </c>
      <c r="S600" t="s">
        <v>2895</v>
      </c>
      <c r="T600" t="s">
        <v>2896</v>
      </c>
      <c r="U600" t="s">
        <v>2897</v>
      </c>
    </row>
    <row r="601" spans="1:21">
      <c r="A601" t="s">
        <v>1304</v>
      </c>
      <c r="B601" s="7">
        <v>46165</v>
      </c>
      <c r="C601" s="8">
        <v>0.4607060185185185</v>
      </c>
      <c r="D601" t="s">
        <v>17</v>
      </c>
      <c r="E601" t="s">
        <v>2</v>
      </c>
      <c r="F601" t="s">
        <v>50</v>
      </c>
      <c r="G601" t="s">
        <v>51</v>
      </c>
      <c r="H601">
        <v>42.55</v>
      </c>
      <c r="I601" t="s">
        <v>52</v>
      </c>
      <c r="J601" t="s">
        <v>81</v>
      </c>
      <c r="K601" t="s">
        <v>54</v>
      </c>
      <c r="L601" t="s">
        <v>55</v>
      </c>
      <c r="O601" t="s">
        <v>82</v>
      </c>
      <c r="P601" t="s">
        <v>83</v>
      </c>
      <c r="Q601">
        <v>39555.160000000003</v>
      </c>
      <c r="R601">
        <v>-42.55</v>
      </c>
      <c r="S601" t="s">
        <v>2895</v>
      </c>
      <c r="T601" t="s">
        <v>2896</v>
      </c>
      <c r="U601" t="s">
        <v>2897</v>
      </c>
    </row>
    <row r="602" spans="1:21">
      <c r="A602" t="s">
        <v>1306</v>
      </c>
      <c r="B602" s="7">
        <v>46165</v>
      </c>
      <c r="C602" s="8">
        <v>0.47811342592592593</v>
      </c>
      <c r="D602" t="s">
        <v>17</v>
      </c>
      <c r="E602" t="s">
        <v>2</v>
      </c>
      <c r="F602" t="s">
        <v>50</v>
      </c>
      <c r="G602" t="s">
        <v>51</v>
      </c>
      <c r="H602">
        <v>68.47</v>
      </c>
      <c r="I602" t="s">
        <v>52</v>
      </c>
      <c r="J602" t="s">
        <v>60</v>
      </c>
      <c r="K602" t="s">
        <v>54</v>
      </c>
      <c r="L602" t="s">
        <v>55</v>
      </c>
      <c r="O602" t="s">
        <v>61</v>
      </c>
      <c r="P602" t="s">
        <v>62</v>
      </c>
      <c r="Q602">
        <v>39790.269999999997</v>
      </c>
      <c r="R602">
        <v>-68.47</v>
      </c>
      <c r="S602" t="s">
        <v>2895</v>
      </c>
      <c r="T602" t="s">
        <v>2896</v>
      </c>
      <c r="U602" t="s">
        <v>2897</v>
      </c>
    </row>
    <row r="603" spans="1:21">
      <c r="A603" t="s">
        <v>1308</v>
      </c>
      <c r="B603" s="7">
        <v>46165</v>
      </c>
      <c r="C603" s="8">
        <v>0.63258101851851856</v>
      </c>
      <c r="D603" t="s">
        <v>17</v>
      </c>
      <c r="E603" t="s">
        <v>2</v>
      </c>
      <c r="F603" t="s">
        <v>50</v>
      </c>
      <c r="G603" t="s">
        <v>51</v>
      </c>
      <c r="H603">
        <v>43.29</v>
      </c>
      <c r="I603" t="s">
        <v>52</v>
      </c>
      <c r="J603" t="s">
        <v>126</v>
      </c>
      <c r="K603" t="s">
        <v>54</v>
      </c>
      <c r="L603" t="s">
        <v>55</v>
      </c>
      <c r="O603" t="s">
        <v>56</v>
      </c>
      <c r="P603" t="s">
        <v>57</v>
      </c>
      <c r="Q603">
        <v>39603.019999999997</v>
      </c>
      <c r="R603">
        <v>-43.29</v>
      </c>
      <c r="S603" t="s">
        <v>2895</v>
      </c>
      <c r="T603" t="s">
        <v>2896</v>
      </c>
      <c r="U603" t="s">
        <v>2897</v>
      </c>
    </row>
    <row r="604" spans="1:21">
      <c r="A604" t="s">
        <v>1310</v>
      </c>
      <c r="B604" s="7">
        <v>46165</v>
      </c>
      <c r="C604" s="8">
        <v>0.71950231481481486</v>
      </c>
      <c r="D604" t="s">
        <v>17</v>
      </c>
      <c r="E604" t="s">
        <v>2</v>
      </c>
      <c r="F604" t="s">
        <v>50</v>
      </c>
      <c r="G604" t="s">
        <v>51</v>
      </c>
      <c r="H604">
        <v>5.31</v>
      </c>
      <c r="I604" t="s">
        <v>52</v>
      </c>
      <c r="J604" t="s">
        <v>53</v>
      </c>
      <c r="K604" t="s">
        <v>54</v>
      </c>
      <c r="L604" t="s">
        <v>55</v>
      </c>
      <c r="O604" t="s">
        <v>56</v>
      </c>
      <c r="P604" t="s">
        <v>57</v>
      </c>
      <c r="Q604">
        <v>39597.71</v>
      </c>
      <c r="R604">
        <v>-5.31</v>
      </c>
      <c r="S604" t="s">
        <v>2895</v>
      </c>
      <c r="T604" t="s">
        <v>2896</v>
      </c>
      <c r="U604" t="s">
        <v>2897</v>
      </c>
    </row>
    <row r="605" spans="1:21">
      <c r="A605" t="s">
        <v>1312</v>
      </c>
      <c r="B605" s="7">
        <v>46165</v>
      </c>
      <c r="C605" s="8">
        <v>0.80050925925925931</v>
      </c>
      <c r="D605" t="s">
        <v>17</v>
      </c>
      <c r="E605" t="s">
        <v>2</v>
      </c>
      <c r="F605" t="s">
        <v>50</v>
      </c>
      <c r="G605" t="s">
        <v>51</v>
      </c>
      <c r="H605">
        <v>143.96</v>
      </c>
      <c r="I605" t="s">
        <v>52</v>
      </c>
      <c r="J605" t="s">
        <v>65</v>
      </c>
      <c r="K605" t="s">
        <v>54</v>
      </c>
      <c r="L605" t="s">
        <v>55</v>
      </c>
      <c r="O605" t="s">
        <v>66</v>
      </c>
      <c r="P605" t="s">
        <v>67</v>
      </c>
      <c r="Q605">
        <v>39646.31</v>
      </c>
      <c r="R605">
        <v>-143.96</v>
      </c>
      <c r="S605" t="s">
        <v>2895</v>
      </c>
      <c r="T605" t="s">
        <v>2896</v>
      </c>
      <c r="U605" t="s">
        <v>2897</v>
      </c>
    </row>
    <row r="606" spans="1:21">
      <c r="A606" t="s">
        <v>1314</v>
      </c>
      <c r="B606" s="7">
        <v>46166</v>
      </c>
      <c r="C606" s="8">
        <v>0.37515046296296295</v>
      </c>
      <c r="D606" t="s">
        <v>17</v>
      </c>
      <c r="E606" t="s">
        <v>2</v>
      </c>
      <c r="F606" t="s">
        <v>50</v>
      </c>
      <c r="G606" t="s">
        <v>51</v>
      </c>
      <c r="H606">
        <v>15.45</v>
      </c>
      <c r="I606" t="s">
        <v>52</v>
      </c>
      <c r="J606" t="s">
        <v>121</v>
      </c>
      <c r="K606" t="s">
        <v>54</v>
      </c>
      <c r="L606" t="s">
        <v>55</v>
      </c>
      <c r="O606" t="s">
        <v>122</v>
      </c>
      <c r="P606" t="s">
        <v>123</v>
      </c>
      <c r="Q606">
        <v>39539.71</v>
      </c>
      <c r="R606">
        <v>-15.45</v>
      </c>
      <c r="S606" t="s">
        <v>2895</v>
      </c>
      <c r="T606" t="s">
        <v>2896</v>
      </c>
      <c r="U606" t="s">
        <v>2897</v>
      </c>
    </row>
    <row r="607" spans="1:21">
      <c r="A607" t="s">
        <v>1316</v>
      </c>
      <c r="B607" s="7">
        <v>46166</v>
      </c>
      <c r="C607" s="8">
        <v>0.37939814814814815</v>
      </c>
      <c r="D607" t="s">
        <v>17</v>
      </c>
      <c r="E607" t="s">
        <v>2</v>
      </c>
      <c r="F607" t="s">
        <v>50</v>
      </c>
      <c r="G607" t="s">
        <v>51</v>
      </c>
      <c r="H607">
        <v>4.7</v>
      </c>
      <c r="I607" t="s">
        <v>52</v>
      </c>
      <c r="J607" t="s">
        <v>121</v>
      </c>
      <c r="K607" t="s">
        <v>54</v>
      </c>
      <c r="L607" t="s">
        <v>55</v>
      </c>
      <c r="O607" t="s">
        <v>122</v>
      </c>
      <c r="P607" t="s">
        <v>123</v>
      </c>
      <c r="Q607">
        <v>39488.82</v>
      </c>
      <c r="R607">
        <v>-4.7</v>
      </c>
      <c r="S607" t="s">
        <v>2895</v>
      </c>
      <c r="T607" t="s">
        <v>2896</v>
      </c>
      <c r="U607" t="s">
        <v>2897</v>
      </c>
    </row>
    <row r="608" spans="1:21">
      <c r="A608" t="s">
        <v>1318</v>
      </c>
      <c r="B608" s="7">
        <v>46166</v>
      </c>
      <c r="C608" s="8">
        <v>0.43390046296296297</v>
      </c>
      <c r="D608" t="s">
        <v>17</v>
      </c>
      <c r="E608" t="s">
        <v>2</v>
      </c>
      <c r="F608" t="s">
        <v>50</v>
      </c>
      <c r="G608" t="s">
        <v>51</v>
      </c>
      <c r="H608">
        <v>53.81</v>
      </c>
      <c r="I608" t="s">
        <v>52</v>
      </c>
      <c r="J608" t="s">
        <v>81</v>
      </c>
      <c r="K608" t="s">
        <v>54</v>
      </c>
      <c r="L608" t="s">
        <v>55</v>
      </c>
      <c r="O608" t="s">
        <v>82</v>
      </c>
      <c r="P608" t="s">
        <v>83</v>
      </c>
      <c r="Q608">
        <v>39435.01</v>
      </c>
      <c r="R608">
        <v>-53.81</v>
      </c>
      <c r="S608" t="s">
        <v>2895</v>
      </c>
      <c r="T608" t="s">
        <v>2896</v>
      </c>
      <c r="U608" t="s">
        <v>2897</v>
      </c>
    </row>
    <row r="609" spans="1:21">
      <c r="A609" t="s">
        <v>1320</v>
      </c>
      <c r="B609" s="7">
        <v>46166</v>
      </c>
      <c r="C609" s="8">
        <v>0.56508101851851855</v>
      </c>
      <c r="D609" t="s">
        <v>17</v>
      </c>
      <c r="E609" t="s">
        <v>2</v>
      </c>
      <c r="F609" t="s">
        <v>50</v>
      </c>
      <c r="G609" t="s">
        <v>100</v>
      </c>
      <c r="H609">
        <v>15</v>
      </c>
      <c r="I609" t="s">
        <v>52</v>
      </c>
      <c r="J609" t="s">
        <v>101</v>
      </c>
      <c r="K609" t="s">
        <v>54</v>
      </c>
      <c r="L609" t="s">
        <v>102</v>
      </c>
      <c r="O609" t="s">
        <v>103</v>
      </c>
      <c r="P609" t="s">
        <v>104</v>
      </c>
      <c r="Q609">
        <v>39524.71</v>
      </c>
      <c r="R609">
        <v>-15</v>
      </c>
      <c r="S609" t="s">
        <v>2895</v>
      </c>
      <c r="T609" t="s">
        <v>2896</v>
      </c>
      <c r="U609" t="s">
        <v>2897</v>
      </c>
    </row>
    <row r="610" spans="1:21">
      <c r="A610" t="s">
        <v>1322</v>
      </c>
      <c r="B610" s="7">
        <v>46166</v>
      </c>
      <c r="C610" s="8">
        <v>0.70285879629629633</v>
      </c>
      <c r="D610" t="s">
        <v>17</v>
      </c>
      <c r="E610" t="s">
        <v>2</v>
      </c>
      <c r="F610" t="s">
        <v>50</v>
      </c>
      <c r="G610" t="s">
        <v>100</v>
      </c>
      <c r="H610">
        <v>15</v>
      </c>
      <c r="I610" t="s">
        <v>52</v>
      </c>
      <c r="J610" t="s">
        <v>101</v>
      </c>
      <c r="K610" t="s">
        <v>54</v>
      </c>
      <c r="L610" t="s">
        <v>102</v>
      </c>
      <c r="O610" t="s">
        <v>103</v>
      </c>
      <c r="P610" t="s">
        <v>104</v>
      </c>
      <c r="Q610">
        <v>39509.71</v>
      </c>
      <c r="R610">
        <v>-15</v>
      </c>
      <c r="S610" t="s">
        <v>2895</v>
      </c>
      <c r="T610" t="s">
        <v>2896</v>
      </c>
      <c r="U610" t="s">
        <v>2897</v>
      </c>
    </row>
    <row r="611" spans="1:21">
      <c r="A611" t="s">
        <v>1324</v>
      </c>
      <c r="B611" s="7">
        <v>46166</v>
      </c>
      <c r="C611" s="8">
        <v>0.87793981481481487</v>
      </c>
      <c r="D611" t="s">
        <v>17</v>
      </c>
      <c r="E611" t="s">
        <v>2</v>
      </c>
      <c r="F611" t="s">
        <v>50</v>
      </c>
      <c r="G611" t="s">
        <v>51</v>
      </c>
      <c r="H611">
        <v>16.190000000000001</v>
      </c>
      <c r="I611" t="s">
        <v>52</v>
      </c>
      <c r="J611" t="s">
        <v>121</v>
      </c>
      <c r="K611" t="s">
        <v>54</v>
      </c>
      <c r="L611" t="s">
        <v>55</v>
      </c>
      <c r="O611" t="s">
        <v>122</v>
      </c>
      <c r="P611" t="s">
        <v>123</v>
      </c>
      <c r="Q611">
        <v>39493.519999999997</v>
      </c>
      <c r="R611">
        <v>-16.190000000000001</v>
      </c>
      <c r="S611" t="s">
        <v>2895</v>
      </c>
      <c r="T611" t="s">
        <v>2896</v>
      </c>
      <c r="U611" t="s">
        <v>2897</v>
      </c>
    </row>
    <row r="612" spans="1:21">
      <c r="A612" t="s">
        <v>1326</v>
      </c>
      <c r="B612" s="7">
        <v>46167</v>
      </c>
      <c r="C612" s="8">
        <v>0.27755787037037039</v>
      </c>
      <c r="D612" t="s">
        <v>17</v>
      </c>
      <c r="E612" t="s">
        <v>2</v>
      </c>
      <c r="F612" t="s">
        <v>50</v>
      </c>
      <c r="G612" t="s">
        <v>51</v>
      </c>
      <c r="H612">
        <v>48.53</v>
      </c>
      <c r="I612" t="s">
        <v>52</v>
      </c>
      <c r="J612" t="s">
        <v>60</v>
      </c>
      <c r="K612" t="s">
        <v>54</v>
      </c>
      <c r="L612" t="s">
        <v>55</v>
      </c>
      <c r="O612" t="s">
        <v>61</v>
      </c>
      <c r="P612" t="s">
        <v>62</v>
      </c>
      <c r="Q612">
        <v>39386.480000000003</v>
      </c>
      <c r="R612">
        <v>-48.53</v>
      </c>
      <c r="S612" t="s">
        <v>2895</v>
      </c>
      <c r="T612" t="s">
        <v>2896</v>
      </c>
      <c r="U612" t="s">
        <v>2897</v>
      </c>
    </row>
    <row r="613" spans="1:21">
      <c r="A613" t="s">
        <v>1328</v>
      </c>
      <c r="B613" s="7">
        <v>46167</v>
      </c>
      <c r="C613" s="8">
        <v>0.34415509259259258</v>
      </c>
      <c r="D613" t="s">
        <v>17</v>
      </c>
      <c r="E613" t="s">
        <v>2</v>
      </c>
      <c r="F613" t="s">
        <v>50</v>
      </c>
      <c r="G613" t="s">
        <v>51</v>
      </c>
      <c r="H613">
        <v>17.91</v>
      </c>
      <c r="I613" t="s">
        <v>52</v>
      </c>
      <c r="J613" t="s">
        <v>126</v>
      </c>
      <c r="K613" t="s">
        <v>54</v>
      </c>
      <c r="L613" t="s">
        <v>55</v>
      </c>
      <c r="O613" t="s">
        <v>56</v>
      </c>
      <c r="P613" t="s">
        <v>57</v>
      </c>
      <c r="Q613">
        <v>39221.660000000003</v>
      </c>
      <c r="R613">
        <v>-17.91</v>
      </c>
      <c r="S613" t="s">
        <v>2895</v>
      </c>
      <c r="T613" t="s">
        <v>2896</v>
      </c>
      <c r="U613" t="s">
        <v>2897</v>
      </c>
    </row>
    <row r="614" spans="1:21">
      <c r="A614" t="s">
        <v>1330</v>
      </c>
      <c r="B614" s="7">
        <v>46167</v>
      </c>
      <c r="C614" s="8">
        <v>0.45008101851851851</v>
      </c>
      <c r="D614" t="s">
        <v>17</v>
      </c>
      <c r="E614" t="s">
        <v>2</v>
      </c>
      <c r="F614" t="s">
        <v>50</v>
      </c>
      <c r="G614" t="s">
        <v>51</v>
      </c>
      <c r="H614">
        <v>66.83</v>
      </c>
      <c r="I614" t="s">
        <v>52</v>
      </c>
      <c r="J614" t="s">
        <v>60</v>
      </c>
      <c r="K614" t="s">
        <v>54</v>
      </c>
      <c r="L614" t="s">
        <v>55</v>
      </c>
      <c r="O614" t="s">
        <v>61</v>
      </c>
      <c r="P614" t="s">
        <v>62</v>
      </c>
      <c r="Q614">
        <v>39249.25</v>
      </c>
      <c r="R614">
        <v>-66.83</v>
      </c>
      <c r="S614" t="s">
        <v>2895</v>
      </c>
      <c r="T614" t="s">
        <v>2896</v>
      </c>
      <c r="U614" t="s">
        <v>2897</v>
      </c>
    </row>
    <row r="615" spans="1:21">
      <c r="A615" t="s">
        <v>1332</v>
      </c>
      <c r="B615" s="7">
        <v>46167</v>
      </c>
      <c r="C615" s="8">
        <v>0.52832175925925928</v>
      </c>
      <c r="D615" t="s">
        <v>17</v>
      </c>
      <c r="E615" t="s">
        <v>2</v>
      </c>
      <c r="F615" t="s">
        <v>50</v>
      </c>
      <c r="G615" t="s">
        <v>51</v>
      </c>
      <c r="H615">
        <v>25.6</v>
      </c>
      <c r="I615" t="s">
        <v>52</v>
      </c>
      <c r="J615" t="s">
        <v>126</v>
      </c>
      <c r="K615" t="s">
        <v>54</v>
      </c>
      <c r="L615" t="s">
        <v>55</v>
      </c>
      <c r="O615" t="s">
        <v>56</v>
      </c>
      <c r="P615" t="s">
        <v>57</v>
      </c>
      <c r="Q615">
        <v>39360.879999999997</v>
      </c>
      <c r="R615">
        <v>-25.6</v>
      </c>
      <c r="S615" t="s">
        <v>2895</v>
      </c>
      <c r="T615" t="s">
        <v>2896</v>
      </c>
      <c r="U615" t="s">
        <v>2897</v>
      </c>
    </row>
    <row r="616" spans="1:21">
      <c r="A616" t="s">
        <v>1334</v>
      </c>
      <c r="B616" s="7">
        <v>46167</v>
      </c>
      <c r="C616" s="8">
        <v>0.8061342592592593</v>
      </c>
      <c r="D616" t="s">
        <v>17</v>
      </c>
      <c r="E616" t="s">
        <v>2</v>
      </c>
      <c r="F616" t="s">
        <v>50</v>
      </c>
      <c r="G616" t="s">
        <v>51</v>
      </c>
      <c r="H616">
        <v>9.68</v>
      </c>
      <c r="I616" t="s">
        <v>52</v>
      </c>
      <c r="J616" t="s">
        <v>121</v>
      </c>
      <c r="K616" t="s">
        <v>54</v>
      </c>
      <c r="L616" t="s">
        <v>55</v>
      </c>
      <c r="O616" t="s">
        <v>122</v>
      </c>
      <c r="P616" t="s">
        <v>123</v>
      </c>
      <c r="Q616">
        <v>39239.57</v>
      </c>
      <c r="R616">
        <v>-9.68</v>
      </c>
      <c r="S616" t="s">
        <v>2895</v>
      </c>
      <c r="T616" t="s">
        <v>2896</v>
      </c>
      <c r="U616" t="s">
        <v>2897</v>
      </c>
    </row>
    <row r="617" spans="1:21">
      <c r="A617" t="s">
        <v>1336</v>
      </c>
      <c r="B617" s="7">
        <v>46167</v>
      </c>
      <c r="C617" s="8">
        <v>0.87167824074074074</v>
      </c>
      <c r="D617" t="s">
        <v>17</v>
      </c>
      <c r="E617" t="s">
        <v>2</v>
      </c>
      <c r="F617" t="s">
        <v>50</v>
      </c>
      <c r="G617" t="s">
        <v>51</v>
      </c>
      <c r="H617">
        <v>44.8</v>
      </c>
      <c r="I617" t="s">
        <v>52</v>
      </c>
      <c r="J617" t="s">
        <v>126</v>
      </c>
      <c r="K617" t="s">
        <v>54</v>
      </c>
      <c r="L617" t="s">
        <v>55</v>
      </c>
      <c r="O617" t="s">
        <v>56</v>
      </c>
      <c r="P617" t="s">
        <v>57</v>
      </c>
      <c r="Q617">
        <v>39316.080000000002</v>
      </c>
      <c r="R617">
        <v>-44.8</v>
      </c>
      <c r="S617" t="s">
        <v>2895</v>
      </c>
      <c r="T617" t="s">
        <v>2896</v>
      </c>
      <c r="U617" t="s">
        <v>2897</v>
      </c>
    </row>
    <row r="618" spans="1:21">
      <c r="A618" t="s">
        <v>1338</v>
      </c>
      <c r="B618" s="7">
        <v>46168</v>
      </c>
      <c r="C618" s="8">
        <v>0.33351851851851849</v>
      </c>
      <c r="D618" t="s">
        <v>17</v>
      </c>
      <c r="E618" t="s">
        <v>2</v>
      </c>
      <c r="F618" t="s">
        <v>50</v>
      </c>
      <c r="G618" t="s">
        <v>51</v>
      </c>
      <c r="H618">
        <v>22.83</v>
      </c>
      <c r="I618" t="s">
        <v>52</v>
      </c>
      <c r="J618" t="s">
        <v>60</v>
      </c>
      <c r="K618" t="s">
        <v>54</v>
      </c>
      <c r="L618" t="s">
        <v>55</v>
      </c>
      <c r="O618" t="s">
        <v>61</v>
      </c>
      <c r="P618" t="s">
        <v>62</v>
      </c>
      <c r="Q618">
        <v>38755.46</v>
      </c>
      <c r="R618">
        <v>-22.83</v>
      </c>
      <c r="S618" t="s">
        <v>2895</v>
      </c>
      <c r="T618" t="s">
        <v>2896</v>
      </c>
      <c r="U618" t="s">
        <v>2897</v>
      </c>
    </row>
    <row r="619" spans="1:21">
      <c r="A619" t="s">
        <v>1340</v>
      </c>
      <c r="B619" s="7">
        <v>46168</v>
      </c>
      <c r="C619" s="8">
        <v>0.35689814814814813</v>
      </c>
      <c r="D619" t="s">
        <v>17</v>
      </c>
      <c r="E619" t="s">
        <v>2</v>
      </c>
      <c r="F619" t="s">
        <v>50</v>
      </c>
      <c r="G619" t="s">
        <v>51</v>
      </c>
      <c r="H619">
        <v>34.049999999999997</v>
      </c>
      <c r="I619" t="s">
        <v>52</v>
      </c>
      <c r="J619" t="s">
        <v>60</v>
      </c>
      <c r="K619" t="s">
        <v>54</v>
      </c>
      <c r="L619" t="s">
        <v>55</v>
      </c>
      <c r="O619" t="s">
        <v>61</v>
      </c>
      <c r="P619" t="s">
        <v>62</v>
      </c>
      <c r="Q619">
        <v>38931.56</v>
      </c>
      <c r="R619">
        <v>-34.049999999999997</v>
      </c>
      <c r="S619" t="s">
        <v>2895</v>
      </c>
      <c r="T619" t="s">
        <v>2896</v>
      </c>
      <c r="U619" t="s">
        <v>2897</v>
      </c>
    </row>
    <row r="620" spans="1:21">
      <c r="A620" t="s">
        <v>1342</v>
      </c>
      <c r="B620" s="7">
        <v>46168</v>
      </c>
      <c r="C620" s="8">
        <v>0.49201388888888886</v>
      </c>
      <c r="D620" t="s">
        <v>17</v>
      </c>
      <c r="E620" t="s">
        <v>2</v>
      </c>
      <c r="F620" t="s">
        <v>50</v>
      </c>
      <c r="G620" t="s">
        <v>51</v>
      </c>
      <c r="H620">
        <v>9.94</v>
      </c>
      <c r="I620" t="s">
        <v>52</v>
      </c>
      <c r="J620" t="s">
        <v>121</v>
      </c>
      <c r="K620" t="s">
        <v>54</v>
      </c>
      <c r="L620" t="s">
        <v>55</v>
      </c>
      <c r="O620" t="s">
        <v>122</v>
      </c>
      <c r="P620" t="s">
        <v>123</v>
      </c>
      <c r="Q620">
        <v>38778.29</v>
      </c>
      <c r="R620">
        <v>-9.94</v>
      </c>
      <c r="S620" t="s">
        <v>2895</v>
      </c>
      <c r="T620" t="s">
        <v>2896</v>
      </c>
      <c r="U620" t="s">
        <v>2897</v>
      </c>
    </row>
    <row r="621" spans="1:21">
      <c r="A621" t="s">
        <v>1344</v>
      </c>
      <c r="B621" s="7">
        <v>46168</v>
      </c>
      <c r="C621" s="8">
        <v>0.56347222222222226</v>
      </c>
      <c r="D621" t="s">
        <v>17</v>
      </c>
      <c r="E621" t="s">
        <v>2</v>
      </c>
      <c r="F621" t="s">
        <v>50</v>
      </c>
      <c r="G621" t="s">
        <v>51</v>
      </c>
      <c r="H621">
        <v>117.54</v>
      </c>
      <c r="I621" t="s">
        <v>52</v>
      </c>
      <c r="J621" t="s">
        <v>65</v>
      </c>
      <c r="K621" t="s">
        <v>54</v>
      </c>
      <c r="L621" t="s">
        <v>55</v>
      </c>
      <c r="O621" t="s">
        <v>66</v>
      </c>
      <c r="P621" t="s">
        <v>67</v>
      </c>
      <c r="Q621">
        <v>38965.61</v>
      </c>
      <c r="R621">
        <v>-117.54</v>
      </c>
      <c r="S621" t="s">
        <v>2895</v>
      </c>
      <c r="T621" t="s">
        <v>2896</v>
      </c>
      <c r="U621" t="s">
        <v>2897</v>
      </c>
    </row>
    <row r="622" spans="1:21">
      <c r="A622" t="s">
        <v>1346</v>
      </c>
      <c r="B622" s="7">
        <v>46168</v>
      </c>
      <c r="C622" s="8">
        <v>0.63440972222222225</v>
      </c>
      <c r="D622" t="s">
        <v>17</v>
      </c>
      <c r="E622" t="s">
        <v>2</v>
      </c>
      <c r="F622" t="s">
        <v>50</v>
      </c>
      <c r="G622" t="s">
        <v>51</v>
      </c>
      <c r="H622">
        <v>125.68</v>
      </c>
      <c r="I622" t="s">
        <v>52</v>
      </c>
      <c r="J622" t="s">
        <v>65</v>
      </c>
      <c r="K622" t="s">
        <v>54</v>
      </c>
      <c r="L622" t="s">
        <v>55</v>
      </c>
      <c r="O622" t="s">
        <v>66</v>
      </c>
      <c r="P622" t="s">
        <v>67</v>
      </c>
      <c r="Q622">
        <v>39095.980000000003</v>
      </c>
      <c r="R622">
        <v>-125.68</v>
      </c>
      <c r="S622" t="s">
        <v>2895</v>
      </c>
      <c r="T622" t="s">
        <v>2896</v>
      </c>
      <c r="U622" t="s">
        <v>2897</v>
      </c>
    </row>
    <row r="623" spans="1:21">
      <c r="A623" t="s">
        <v>1348</v>
      </c>
      <c r="B623" s="7">
        <v>46168</v>
      </c>
      <c r="C623" s="8">
        <v>0.65329861111111109</v>
      </c>
      <c r="D623" t="s">
        <v>17</v>
      </c>
      <c r="E623" t="s">
        <v>2</v>
      </c>
      <c r="F623" t="s">
        <v>149</v>
      </c>
      <c r="G623" t="s">
        <v>72</v>
      </c>
      <c r="H623">
        <v>83.68</v>
      </c>
      <c r="I623" t="s">
        <v>52</v>
      </c>
      <c r="J623" t="s">
        <v>150</v>
      </c>
      <c r="K623" t="s">
        <v>54</v>
      </c>
      <c r="L623" t="s">
        <v>74</v>
      </c>
      <c r="O623" t="s">
        <v>75</v>
      </c>
      <c r="P623" t="s">
        <v>76</v>
      </c>
      <c r="Q623">
        <v>38839.14</v>
      </c>
      <c r="R623">
        <v>83.68</v>
      </c>
      <c r="S623" t="s">
        <v>2895</v>
      </c>
      <c r="T623" t="s">
        <v>2896</v>
      </c>
      <c r="U623" t="s">
        <v>2897</v>
      </c>
    </row>
    <row r="624" spans="1:21">
      <c r="A624" t="s">
        <v>1350</v>
      </c>
      <c r="B624" s="7">
        <v>46168</v>
      </c>
      <c r="C624" s="8">
        <v>0.67249999999999999</v>
      </c>
      <c r="D624" t="s">
        <v>17</v>
      </c>
      <c r="E624" t="s">
        <v>2</v>
      </c>
      <c r="F624" t="s">
        <v>50</v>
      </c>
      <c r="G624" t="s">
        <v>51</v>
      </c>
      <c r="H624">
        <v>143.33000000000001</v>
      </c>
      <c r="I624" t="s">
        <v>52</v>
      </c>
      <c r="J624" t="s">
        <v>65</v>
      </c>
      <c r="K624" t="s">
        <v>54</v>
      </c>
      <c r="L624" t="s">
        <v>55</v>
      </c>
      <c r="O624" t="s">
        <v>66</v>
      </c>
      <c r="P624" t="s">
        <v>67</v>
      </c>
      <c r="Q624">
        <v>38788.230000000003</v>
      </c>
      <c r="R624">
        <v>-143.33000000000001</v>
      </c>
      <c r="S624" t="s">
        <v>2895</v>
      </c>
      <c r="T624" t="s">
        <v>2896</v>
      </c>
      <c r="U624" t="s">
        <v>2897</v>
      </c>
    </row>
    <row r="625" spans="1:21">
      <c r="A625" t="s">
        <v>1352</v>
      </c>
      <c r="B625" s="7">
        <v>46168</v>
      </c>
      <c r="C625" s="8">
        <v>0.76297453703703699</v>
      </c>
      <c r="D625" t="s">
        <v>17</v>
      </c>
      <c r="E625" t="s">
        <v>2</v>
      </c>
      <c r="F625" t="s">
        <v>50</v>
      </c>
      <c r="G625" t="s">
        <v>100</v>
      </c>
      <c r="H625">
        <v>12.83</v>
      </c>
      <c r="I625" t="s">
        <v>52</v>
      </c>
      <c r="J625" t="s">
        <v>114</v>
      </c>
      <c r="K625" t="s">
        <v>54</v>
      </c>
      <c r="L625" t="s">
        <v>102</v>
      </c>
      <c r="O625" t="s">
        <v>103</v>
      </c>
      <c r="P625" t="s">
        <v>104</v>
      </c>
      <c r="Q625">
        <v>39083.15</v>
      </c>
      <c r="R625">
        <v>-12.83</v>
      </c>
      <c r="S625" t="s">
        <v>2895</v>
      </c>
      <c r="T625" t="s">
        <v>2896</v>
      </c>
      <c r="U625" t="s">
        <v>2897</v>
      </c>
    </row>
    <row r="626" spans="1:21">
      <c r="A626" t="s">
        <v>1354</v>
      </c>
      <c r="B626" s="7">
        <v>46169</v>
      </c>
      <c r="C626" s="8">
        <v>0.34703703703703703</v>
      </c>
      <c r="D626" t="s">
        <v>17</v>
      </c>
      <c r="E626" t="s">
        <v>2</v>
      </c>
      <c r="F626" t="s">
        <v>50</v>
      </c>
      <c r="G626" t="s">
        <v>100</v>
      </c>
      <c r="H626">
        <v>14.9</v>
      </c>
      <c r="I626" t="s">
        <v>52</v>
      </c>
      <c r="J626" t="s">
        <v>114</v>
      </c>
      <c r="K626" t="s">
        <v>54</v>
      </c>
      <c r="L626" t="s">
        <v>102</v>
      </c>
      <c r="O626" t="s">
        <v>103</v>
      </c>
      <c r="P626" t="s">
        <v>104</v>
      </c>
      <c r="Q626">
        <v>38741.1</v>
      </c>
      <c r="R626">
        <v>-14.9</v>
      </c>
      <c r="S626" t="s">
        <v>2895</v>
      </c>
      <c r="T626" t="s">
        <v>2896</v>
      </c>
      <c r="U626" t="s">
        <v>2897</v>
      </c>
    </row>
    <row r="627" spans="1:21">
      <c r="A627" t="s">
        <v>1356</v>
      </c>
      <c r="B627" s="7">
        <v>46169</v>
      </c>
      <c r="C627" s="8">
        <v>0.36150462962962965</v>
      </c>
      <c r="D627" t="s">
        <v>17</v>
      </c>
      <c r="E627" t="s">
        <v>2</v>
      </c>
      <c r="F627" t="s">
        <v>50</v>
      </c>
      <c r="G627" t="s">
        <v>51</v>
      </c>
      <c r="H627">
        <v>16.329999999999998</v>
      </c>
      <c r="I627" t="s">
        <v>52</v>
      </c>
      <c r="J627" t="s">
        <v>121</v>
      </c>
      <c r="K627" t="s">
        <v>54</v>
      </c>
      <c r="L627" t="s">
        <v>55</v>
      </c>
      <c r="O627" t="s">
        <v>122</v>
      </c>
      <c r="P627" t="s">
        <v>123</v>
      </c>
      <c r="Q627">
        <v>38822.81</v>
      </c>
      <c r="R627">
        <v>-16.329999999999998</v>
      </c>
      <c r="S627" t="s">
        <v>2895</v>
      </c>
      <c r="T627" t="s">
        <v>2896</v>
      </c>
      <c r="U627" t="s">
        <v>2897</v>
      </c>
    </row>
    <row r="628" spans="1:21">
      <c r="A628" t="s">
        <v>1358</v>
      </c>
      <c r="B628" s="7">
        <v>46169</v>
      </c>
      <c r="C628" s="8">
        <v>0.39559027777777778</v>
      </c>
      <c r="D628" t="s">
        <v>17</v>
      </c>
      <c r="E628" t="s">
        <v>2</v>
      </c>
      <c r="F628" t="s">
        <v>50</v>
      </c>
      <c r="G628" t="s">
        <v>51</v>
      </c>
      <c r="H628">
        <v>68.23</v>
      </c>
      <c r="I628" t="s">
        <v>52</v>
      </c>
      <c r="J628" t="s">
        <v>60</v>
      </c>
      <c r="K628" t="s">
        <v>54</v>
      </c>
      <c r="L628" t="s">
        <v>55</v>
      </c>
      <c r="O628" t="s">
        <v>61</v>
      </c>
      <c r="P628" t="s">
        <v>62</v>
      </c>
      <c r="Q628">
        <v>38656</v>
      </c>
      <c r="R628">
        <v>-68.23</v>
      </c>
      <c r="S628" t="s">
        <v>2895</v>
      </c>
      <c r="T628" t="s">
        <v>2896</v>
      </c>
      <c r="U628" t="s">
        <v>2897</v>
      </c>
    </row>
    <row r="629" spans="1:21">
      <c r="A629" t="s">
        <v>1360</v>
      </c>
      <c r="B629" s="7">
        <v>46169</v>
      </c>
      <c r="C629" s="8">
        <v>0.46319444444444446</v>
      </c>
      <c r="D629" t="s">
        <v>17</v>
      </c>
      <c r="E629" t="s">
        <v>2</v>
      </c>
      <c r="F629" t="s">
        <v>50</v>
      </c>
      <c r="G629" t="s">
        <v>51</v>
      </c>
      <c r="H629">
        <v>57.28</v>
      </c>
      <c r="I629" t="s">
        <v>52</v>
      </c>
      <c r="J629" t="s">
        <v>65</v>
      </c>
      <c r="K629" t="s">
        <v>54</v>
      </c>
      <c r="L629" t="s">
        <v>55</v>
      </c>
      <c r="O629" t="s">
        <v>66</v>
      </c>
      <c r="P629" t="s">
        <v>67</v>
      </c>
      <c r="Q629">
        <v>38598.720000000001</v>
      </c>
      <c r="R629">
        <v>-57.28</v>
      </c>
      <c r="S629" t="s">
        <v>2895</v>
      </c>
      <c r="T629" t="s">
        <v>2896</v>
      </c>
      <c r="U629" t="s">
        <v>2897</v>
      </c>
    </row>
    <row r="630" spans="1:21">
      <c r="A630" t="s">
        <v>1362</v>
      </c>
      <c r="B630" s="7">
        <v>46169</v>
      </c>
      <c r="C630" s="8">
        <v>0.48011574074074076</v>
      </c>
      <c r="D630" t="s">
        <v>17</v>
      </c>
      <c r="E630" t="s">
        <v>2</v>
      </c>
      <c r="F630" t="s">
        <v>50</v>
      </c>
      <c r="G630" t="s">
        <v>51</v>
      </c>
      <c r="H630">
        <v>36.06</v>
      </c>
      <c r="I630" t="s">
        <v>52</v>
      </c>
      <c r="J630" t="s">
        <v>126</v>
      </c>
      <c r="K630" t="s">
        <v>54</v>
      </c>
      <c r="L630" t="s">
        <v>55</v>
      </c>
      <c r="O630" t="s">
        <v>56</v>
      </c>
      <c r="P630" t="s">
        <v>57</v>
      </c>
      <c r="Q630">
        <v>38562.660000000003</v>
      </c>
      <c r="R630">
        <v>-36.06</v>
      </c>
      <c r="S630" t="s">
        <v>2895</v>
      </c>
      <c r="T630" t="s">
        <v>2896</v>
      </c>
      <c r="U630" t="s">
        <v>2897</v>
      </c>
    </row>
    <row r="631" spans="1:21">
      <c r="A631" t="s">
        <v>1364</v>
      </c>
      <c r="B631" s="7">
        <v>46169</v>
      </c>
      <c r="C631" s="8">
        <v>0.53552083333333333</v>
      </c>
      <c r="D631" t="s">
        <v>17</v>
      </c>
      <c r="E631" t="s">
        <v>2</v>
      </c>
      <c r="F631" t="s">
        <v>50</v>
      </c>
      <c r="G631" t="s">
        <v>51</v>
      </c>
      <c r="H631">
        <v>47.57</v>
      </c>
      <c r="I631" t="s">
        <v>52</v>
      </c>
      <c r="J631" t="s">
        <v>60</v>
      </c>
      <c r="K631" t="s">
        <v>54</v>
      </c>
      <c r="L631" t="s">
        <v>55</v>
      </c>
      <c r="O631" t="s">
        <v>61</v>
      </c>
      <c r="P631" t="s">
        <v>62</v>
      </c>
      <c r="Q631">
        <v>38756</v>
      </c>
      <c r="R631">
        <v>-47.57</v>
      </c>
      <c r="S631" t="s">
        <v>2895</v>
      </c>
      <c r="T631" t="s">
        <v>2896</v>
      </c>
      <c r="U631" t="s">
        <v>2897</v>
      </c>
    </row>
    <row r="632" spans="1:21">
      <c r="A632" t="s">
        <v>1366</v>
      </c>
      <c r="B632" s="7">
        <v>46169</v>
      </c>
      <c r="C632" s="8">
        <v>0.54392361111111109</v>
      </c>
      <c r="D632" t="s">
        <v>17</v>
      </c>
      <c r="E632" t="s">
        <v>2</v>
      </c>
      <c r="F632" t="s">
        <v>50</v>
      </c>
      <c r="G632" t="s">
        <v>51</v>
      </c>
      <c r="H632">
        <v>16.87</v>
      </c>
      <c r="I632" t="s">
        <v>52</v>
      </c>
      <c r="J632" t="s">
        <v>121</v>
      </c>
      <c r="K632" t="s">
        <v>54</v>
      </c>
      <c r="L632" t="s">
        <v>55</v>
      </c>
      <c r="O632" t="s">
        <v>122</v>
      </c>
      <c r="P632" t="s">
        <v>123</v>
      </c>
      <c r="Q632">
        <v>38724.230000000003</v>
      </c>
      <c r="R632">
        <v>-16.87</v>
      </c>
      <c r="S632" t="s">
        <v>2895</v>
      </c>
      <c r="T632" t="s">
        <v>2896</v>
      </c>
      <c r="U632" t="s">
        <v>2897</v>
      </c>
    </row>
    <row r="633" spans="1:21">
      <c r="A633" t="s">
        <v>1368</v>
      </c>
      <c r="B633" s="7">
        <v>46169</v>
      </c>
      <c r="C633" s="8">
        <v>0.58702546296296299</v>
      </c>
      <c r="D633" t="s">
        <v>17</v>
      </c>
      <c r="E633" t="s">
        <v>2</v>
      </c>
      <c r="F633" t="s">
        <v>50</v>
      </c>
      <c r="G633" t="s">
        <v>100</v>
      </c>
      <c r="H633">
        <v>19.239999999999998</v>
      </c>
      <c r="I633" t="s">
        <v>52</v>
      </c>
      <c r="J633" t="s">
        <v>114</v>
      </c>
      <c r="K633" t="s">
        <v>54</v>
      </c>
      <c r="L633" t="s">
        <v>102</v>
      </c>
      <c r="O633" t="s">
        <v>103</v>
      </c>
      <c r="P633" t="s">
        <v>104</v>
      </c>
      <c r="Q633">
        <v>38803.57</v>
      </c>
      <c r="R633">
        <v>-19.239999999999998</v>
      </c>
      <c r="S633" t="s">
        <v>2895</v>
      </c>
      <c r="T633" t="s">
        <v>2896</v>
      </c>
      <c r="U633" t="s">
        <v>2897</v>
      </c>
    </row>
    <row r="634" spans="1:21">
      <c r="A634" t="s">
        <v>1370</v>
      </c>
      <c r="B634" s="7">
        <v>46170</v>
      </c>
      <c r="C634" s="8">
        <v>0.26043981481481482</v>
      </c>
      <c r="D634" t="s">
        <v>17</v>
      </c>
      <c r="E634" t="s">
        <v>2</v>
      </c>
      <c r="F634" t="s">
        <v>50</v>
      </c>
      <c r="G634" t="s">
        <v>100</v>
      </c>
      <c r="H634">
        <v>10.039999999999999</v>
      </c>
      <c r="I634" t="s">
        <v>52</v>
      </c>
      <c r="J634" t="s">
        <v>114</v>
      </c>
      <c r="K634" t="s">
        <v>54</v>
      </c>
      <c r="L634" t="s">
        <v>102</v>
      </c>
      <c r="O634" t="s">
        <v>103</v>
      </c>
      <c r="P634" t="s">
        <v>104</v>
      </c>
      <c r="Q634">
        <v>38384.370000000003</v>
      </c>
      <c r="R634">
        <v>-10.039999999999999</v>
      </c>
      <c r="S634" t="s">
        <v>2895</v>
      </c>
      <c r="T634" t="s">
        <v>2896</v>
      </c>
      <c r="U634" t="s">
        <v>2897</v>
      </c>
    </row>
    <row r="635" spans="1:21">
      <c r="A635" t="s">
        <v>1372</v>
      </c>
      <c r="B635" s="7">
        <v>46170</v>
      </c>
      <c r="C635" s="8">
        <v>0.2651736111111111</v>
      </c>
      <c r="D635" t="s">
        <v>17</v>
      </c>
      <c r="E635" t="s">
        <v>2</v>
      </c>
      <c r="F635" t="s">
        <v>50</v>
      </c>
      <c r="G635" t="s">
        <v>51</v>
      </c>
      <c r="H635">
        <v>60.57</v>
      </c>
      <c r="I635" t="s">
        <v>52</v>
      </c>
      <c r="J635" t="s">
        <v>60</v>
      </c>
      <c r="K635" t="s">
        <v>54</v>
      </c>
      <c r="L635" t="s">
        <v>55</v>
      </c>
      <c r="O635" t="s">
        <v>61</v>
      </c>
      <c r="P635" t="s">
        <v>62</v>
      </c>
      <c r="Q635">
        <v>38479.22</v>
      </c>
      <c r="R635">
        <v>-60.57</v>
      </c>
      <c r="S635" t="s">
        <v>2895</v>
      </c>
      <c r="T635" t="s">
        <v>2896</v>
      </c>
      <c r="U635" t="s">
        <v>2897</v>
      </c>
    </row>
    <row r="636" spans="1:21">
      <c r="A636" t="s">
        <v>1374</v>
      </c>
      <c r="B636" s="7">
        <v>46170</v>
      </c>
      <c r="C636" s="8">
        <v>0.3449652777777778</v>
      </c>
      <c r="D636" t="s">
        <v>17</v>
      </c>
      <c r="E636" t="s">
        <v>2</v>
      </c>
      <c r="F636" t="s">
        <v>50</v>
      </c>
      <c r="G636" t="s">
        <v>51</v>
      </c>
      <c r="H636">
        <v>8.17</v>
      </c>
      <c r="I636" t="s">
        <v>52</v>
      </c>
      <c r="J636" t="s">
        <v>121</v>
      </c>
      <c r="K636" t="s">
        <v>54</v>
      </c>
      <c r="L636" t="s">
        <v>55</v>
      </c>
      <c r="O636" t="s">
        <v>122</v>
      </c>
      <c r="P636" t="s">
        <v>123</v>
      </c>
      <c r="Q636">
        <v>38471.050000000003</v>
      </c>
      <c r="R636">
        <v>-8.17</v>
      </c>
      <c r="S636" t="s">
        <v>2895</v>
      </c>
      <c r="T636" t="s">
        <v>2896</v>
      </c>
      <c r="U636" t="s">
        <v>2897</v>
      </c>
    </row>
    <row r="637" spans="1:21">
      <c r="A637" t="s">
        <v>1376</v>
      </c>
      <c r="B637" s="7">
        <v>46170</v>
      </c>
      <c r="C637" s="8">
        <v>0.38526620370370368</v>
      </c>
      <c r="D637" t="s">
        <v>17</v>
      </c>
      <c r="E637" t="s">
        <v>2</v>
      </c>
      <c r="F637" t="s">
        <v>50</v>
      </c>
      <c r="G637" t="s">
        <v>51</v>
      </c>
      <c r="H637">
        <v>14.83</v>
      </c>
      <c r="I637" t="s">
        <v>52</v>
      </c>
      <c r="J637" t="s">
        <v>53</v>
      </c>
      <c r="K637" t="s">
        <v>54</v>
      </c>
      <c r="L637" t="s">
        <v>55</v>
      </c>
      <c r="O637" t="s">
        <v>56</v>
      </c>
      <c r="P637" t="s">
        <v>57</v>
      </c>
      <c r="Q637">
        <v>38394.410000000003</v>
      </c>
      <c r="R637">
        <v>-14.83</v>
      </c>
      <c r="S637" t="s">
        <v>2895</v>
      </c>
      <c r="T637" t="s">
        <v>2896</v>
      </c>
      <c r="U637" t="s">
        <v>2897</v>
      </c>
    </row>
    <row r="638" spans="1:21">
      <c r="A638" t="s">
        <v>1378</v>
      </c>
      <c r="B638" s="7">
        <v>46170</v>
      </c>
      <c r="C638" s="8">
        <v>0.47442129629629631</v>
      </c>
      <c r="D638" t="s">
        <v>17</v>
      </c>
      <c r="E638" t="s">
        <v>2</v>
      </c>
      <c r="F638" t="s">
        <v>50</v>
      </c>
      <c r="G638" t="s">
        <v>100</v>
      </c>
      <c r="H638">
        <v>15</v>
      </c>
      <c r="I638" t="s">
        <v>52</v>
      </c>
      <c r="J638" t="s">
        <v>101</v>
      </c>
      <c r="K638" t="s">
        <v>54</v>
      </c>
      <c r="L638" t="s">
        <v>102</v>
      </c>
      <c r="O638" t="s">
        <v>103</v>
      </c>
      <c r="P638" t="s">
        <v>104</v>
      </c>
      <c r="Q638">
        <v>38409.24</v>
      </c>
      <c r="R638">
        <v>-15</v>
      </c>
      <c r="S638" t="s">
        <v>2895</v>
      </c>
      <c r="T638" t="s">
        <v>2896</v>
      </c>
      <c r="U638" t="s">
        <v>2897</v>
      </c>
    </row>
    <row r="639" spans="1:21">
      <c r="A639" t="s">
        <v>1380</v>
      </c>
      <c r="B639" s="7">
        <v>46170</v>
      </c>
      <c r="C639" s="8">
        <v>0.575775462962963</v>
      </c>
      <c r="D639" t="s">
        <v>17</v>
      </c>
      <c r="E639" t="s">
        <v>2</v>
      </c>
      <c r="F639" t="s">
        <v>149</v>
      </c>
      <c r="G639" t="s">
        <v>321</v>
      </c>
      <c r="H639">
        <v>3229.67</v>
      </c>
      <c r="I639" t="s">
        <v>52</v>
      </c>
      <c r="J639" t="s">
        <v>9</v>
      </c>
      <c r="K639" t="s">
        <v>54</v>
      </c>
      <c r="L639" t="s">
        <v>102</v>
      </c>
      <c r="O639" t="s">
        <v>322</v>
      </c>
      <c r="P639" t="s">
        <v>323</v>
      </c>
      <c r="Q639">
        <v>32286.2</v>
      </c>
      <c r="R639">
        <v>3229.67</v>
      </c>
      <c r="S639" t="s">
        <v>2895</v>
      </c>
      <c r="T639" t="s">
        <v>2896</v>
      </c>
      <c r="U639" t="s">
        <v>2897</v>
      </c>
    </row>
    <row r="640" spans="1:21">
      <c r="A640" t="s">
        <v>1382</v>
      </c>
      <c r="B640" s="7">
        <v>46170</v>
      </c>
      <c r="C640" s="8">
        <v>0.61592592592592588</v>
      </c>
      <c r="D640" t="s">
        <v>17</v>
      </c>
      <c r="E640" t="s">
        <v>2</v>
      </c>
      <c r="F640" t="s">
        <v>50</v>
      </c>
      <c r="G640" t="s">
        <v>51</v>
      </c>
      <c r="H640">
        <v>22.87</v>
      </c>
      <c r="I640" t="s">
        <v>52</v>
      </c>
      <c r="J640" t="s">
        <v>126</v>
      </c>
      <c r="K640" t="s">
        <v>54</v>
      </c>
      <c r="L640" t="s">
        <v>55</v>
      </c>
      <c r="O640" t="s">
        <v>56</v>
      </c>
      <c r="P640" t="s">
        <v>57</v>
      </c>
      <c r="Q640">
        <v>38539.79</v>
      </c>
      <c r="R640">
        <v>-22.87</v>
      </c>
      <c r="S640" t="s">
        <v>2895</v>
      </c>
      <c r="T640" t="s">
        <v>2896</v>
      </c>
      <c r="U640" t="s">
        <v>2897</v>
      </c>
    </row>
    <row r="641" spans="1:21">
      <c r="A641" t="s">
        <v>1384</v>
      </c>
      <c r="B641" s="7">
        <v>46170</v>
      </c>
      <c r="C641" s="8">
        <v>0.93267361111111113</v>
      </c>
      <c r="D641" t="s">
        <v>17</v>
      </c>
      <c r="E641" t="s">
        <v>2</v>
      </c>
      <c r="F641" t="s">
        <v>50</v>
      </c>
      <c r="G641" t="s">
        <v>51</v>
      </c>
      <c r="H641">
        <v>46.81</v>
      </c>
      <c r="I641" t="s">
        <v>52</v>
      </c>
      <c r="J641" t="s">
        <v>60</v>
      </c>
      <c r="K641" t="s">
        <v>54</v>
      </c>
      <c r="L641" t="s">
        <v>55</v>
      </c>
      <c r="O641" t="s">
        <v>61</v>
      </c>
      <c r="P641" t="s">
        <v>62</v>
      </c>
      <c r="Q641">
        <v>38424.239999999998</v>
      </c>
      <c r="R641">
        <v>-46.81</v>
      </c>
      <c r="S641" t="s">
        <v>2895</v>
      </c>
      <c r="T641" t="s">
        <v>2896</v>
      </c>
      <c r="U641" t="s">
        <v>2897</v>
      </c>
    </row>
    <row r="642" spans="1:21">
      <c r="A642" t="s">
        <v>1386</v>
      </c>
      <c r="B642" s="7">
        <v>46171</v>
      </c>
      <c r="C642" s="8">
        <v>0.29946759259259259</v>
      </c>
      <c r="D642" t="s">
        <v>17</v>
      </c>
      <c r="E642" t="s">
        <v>2</v>
      </c>
      <c r="F642" t="s">
        <v>50</v>
      </c>
      <c r="G642" t="s">
        <v>51</v>
      </c>
      <c r="H642">
        <v>47.1</v>
      </c>
      <c r="I642" t="s">
        <v>52</v>
      </c>
      <c r="J642" t="s">
        <v>60</v>
      </c>
      <c r="K642" t="s">
        <v>54</v>
      </c>
      <c r="L642" t="s">
        <v>55</v>
      </c>
      <c r="O642" t="s">
        <v>61</v>
      </c>
      <c r="P642" t="s">
        <v>62</v>
      </c>
      <c r="Q642">
        <v>38262.639999999999</v>
      </c>
      <c r="R642">
        <v>-47.1</v>
      </c>
      <c r="S642" t="s">
        <v>2895</v>
      </c>
      <c r="T642" t="s">
        <v>2896</v>
      </c>
      <c r="U642" t="s">
        <v>2897</v>
      </c>
    </row>
    <row r="643" spans="1:21">
      <c r="A643" t="s">
        <v>1388</v>
      </c>
      <c r="B643" s="7">
        <v>46171</v>
      </c>
      <c r="C643" s="8">
        <v>0.31656250000000002</v>
      </c>
      <c r="D643" t="s">
        <v>17</v>
      </c>
      <c r="E643" t="s">
        <v>2</v>
      </c>
      <c r="F643" t="s">
        <v>50</v>
      </c>
      <c r="G643" t="s">
        <v>51</v>
      </c>
      <c r="H643">
        <v>45.25</v>
      </c>
      <c r="I643" t="s">
        <v>52</v>
      </c>
      <c r="J643" t="s">
        <v>126</v>
      </c>
      <c r="K643" t="s">
        <v>54</v>
      </c>
      <c r="L643" t="s">
        <v>55</v>
      </c>
      <c r="O643" t="s">
        <v>56</v>
      </c>
      <c r="P643" t="s">
        <v>57</v>
      </c>
      <c r="Q643">
        <v>38339.120000000003</v>
      </c>
      <c r="R643">
        <v>-45.25</v>
      </c>
      <c r="S643" t="s">
        <v>2895</v>
      </c>
      <c r="T643" t="s">
        <v>2896</v>
      </c>
      <c r="U643" t="s">
        <v>2897</v>
      </c>
    </row>
    <row r="644" spans="1:21">
      <c r="A644" t="s">
        <v>1390</v>
      </c>
      <c r="B644" s="7">
        <v>46171</v>
      </c>
      <c r="C644" s="8">
        <v>0.35859953703703706</v>
      </c>
      <c r="D644" t="s">
        <v>17</v>
      </c>
      <c r="E644" t="s">
        <v>2</v>
      </c>
      <c r="F644" t="s">
        <v>50</v>
      </c>
      <c r="G644" t="s">
        <v>51</v>
      </c>
      <c r="H644">
        <v>22.11</v>
      </c>
      <c r="I644" t="s">
        <v>52</v>
      </c>
      <c r="J644" t="s">
        <v>81</v>
      </c>
      <c r="K644" t="s">
        <v>54</v>
      </c>
      <c r="L644" t="s">
        <v>55</v>
      </c>
      <c r="O644" t="s">
        <v>82</v>
      </c>
      <c r="P644" t="s">
        <v>83</v>
      </c>
      <c r="Q644">
        <v>38309.74</v>
      </c>
      <c r="R644">
        <v>-22.11</v>
      </c>
      <c r="S644" t="s">
        <v>2895</v>
      </c>
      <c r="T644" t="s">
        <v>2896</v>
      </c>
      <c r="U644" t="s">
        <v>2897</v>
      </c>
    </row>
    <row r="645" spans="1:21">
      <c r="A645" t="s">
        <v>1392</v>
      </c>
      <c r="B645" s="7">
        <v>46171</v>
      </c>
      <c r="C645" s="8">
        <v>0.56039351851851849</v>
      </c>
      <c r="D645" t="s">
        <v>17</v>
      </c>
      <c r="E645" t="s">
        <v>2</v>
      </c>
      <c r="F645" t="s">
        <v>50</v>
      </c>
      <c r="G645" t="s">
        <v>51</v>
      </c>
      <c r="H645">
        <v>7.27</v>
      </c>
      <c r="I645" t="s">
        <v>52</v>
      </c>
      <c r="J645" t="s">
        <v>121</v>
      </c>
      <c r="K645" t="s">
        <v>54</v>
      </c>
      <c r="L645" t="s">
        <v>55</v>
      </c>
      <c r="O645" t="s">
        <v>122</v>
      </c>
      <c r="P645" t="s">
        <v>123</v>
      </c>
      <c r="Q645">
        <v>38331.85</v>
      </c>
      <c r="R645">
        <v>-7.27</v>
      </c>
      <c r="S645" t="s">
        <v>2895</v>
      </c>
      <c r="T645" t="s">
        <v>2896</v>
      </c>
      <c r="U645" t="s">
        <v>2897</v>
      </c>
    </row>
    <row r="646" spans="1:21">
      <c r="A646" t="s">
        <v>1394</v>
      </c>
      <c r="B646" s="7">
        <v>46171</v>
      </c>
      <c r="C646" s="8">
        <v>0.63894675925925926</v>
      </c>
      <c r="D646" t="s">
        <v>17</v>
      </c>
      <c r="E646" t="s">
        <v>2</v>
      </c>
      <c r="F646" t="s">
        <v>50</v>
      </c>
      <c r="G646" t="s">
        <v>100</v>
      </c>
      <c r="H646">
        <v>15</v>
      </c>
      <c r="I646" t="s">
        <v>52</v>
      </c>
      <c r="J646" t="s">
        <v>101</v>
      </c>
      <c r="K646" t="s">
        <v>54</v>
      </c>
      <c r="L646" t="s">
        <v>102</v>
      </c>
      <c r="O646" t="s">
        <v>103</v>
      </c>
      <c r="P646" t="s">
        <v>104</v>
      </c>
      <c r="Q646">
        <v>38222.92</v>
      </c>
      <c r="R646">
        <v>-15</v>
      </c>
      <c r="S646" t="s">
        <v>2895</v>
      </c>
      <c r="T646" t="s">
        <v>2896</v>
      </c>
      <c r="U646" t="s">
        <v>2897</v>
      </c>
    </row>
    <row r="647" spans="1:21">
      <c r="A647" t="s">
        <v>1396</v>
      </c>
      <c r="B647" s="7">
        <v>46171</v>
      </c>
      <c r="C647" s="8">
        <v>0.65057870370370374</v>
      </c>
      <c r="D647" t="s">
        <v>17</v>
      </c>
      <c r="E647" t="s">
        <v>2</v>
      </c>
      <c r="F647" t="s">
        <v>50</v>
      </c>
      <c r="G647" t="s">
        <v>88</v>
      </c>
      <c r="H647">
        <v>60</v>
      </c>
      <c r="I647" t="s">
        <v>52</v>
      </c>
      <c r="J647" t="s">
        <v>89</v>
      </c>
      <c r="K647" t="s">
        <v>54</v>
      </c>
      <c r="L647" t="s">
        <v>90</v>
      </c>
      <c r="M647" t="s">
        <v>91</v>
      </c>
      <c r="N647" t="s">
        <v>12</v>
      </c>
      <c r="O647" t="s">
        <v>92</v>
      </c>
      <c r="P647" t="s">
        <v>93</v>
      </c>
      <c r="Q647">
        <v>38162.92</v>
      </c>
      <c r="R647">
        <v>-60</v>
      </c>
      <c r="S647" t="s">
        <v>2895</v>
      </c>
      <c r="T647" t="s">
        <v>2896</v>
      </c>
      <c r="U647" t="s">
        <v>2897</v>
      </c>
    </row>
    <row r="648" spans="1:21">
      <c r="A648" t="s">
        <v>1398</v>
      </c>
      <c r="B648" s="7">
        <v>46171</v>
      </c>
      <c r="C648" s="8">
        <v>0.75342592592592594</v>
      </c>
      <c r="D648" t="s">
        <v>17</v>
      </c>
      <c r="E648" t="s">
        <v>2</v>
      </c>
      <c r="F648" t="s">
        <v>50</v>
      </c>
      <c r="G648" t="s">
        <v>100</v>
      </c>
      <c r="H648">
        <v>24.72</v>
      </c>
      <c r="I648" t="s">
        <v>52</v>
      </c>
      <c r="J648" t="s">
        <v>114</v>
      </c>
      <c r="K648" t="s">
        <v>54</v>
      </c>
      <c r="L648" t="s">
        <v>102</v>
      </c>
      <c r="O648" t="s">
        <v>103</v>
      </c>
      <c r="P648" t="s">
        <v>104</v>
      </c>
      <c r="Q648">
        <v>38237.919999999998</v>
      </c>
      <c r="R648">
        <v>-24.72</v>
      </c>
      <c r="S648" t="s">
        <v>2895</v>
      </c>
      <c r="T648" t="s">
        <v>2896</v>
      </c>
      <c r="U648" t="s">
        <v>2897</v>
      </c>
    </row>
    <row r="649" spans="1:21">
      <c r="A649" t="s">
        <v>1400</v>
      </c>
      <c r="B649" s="7">
        <v>46172</v>
      </c>
      <c r="C649" s="8">
        <v>0.28381944444444446</v>
      </c>
      <c r="D649" t="s">
        <v>17</v>
      </c>
      <c r="E649" t="s">
        <v>2</v>
      </c>
      <c r="F649" t="s">
        <v>50</v>
      </c>
      <c r="G649" t="s">
        <v>51</v>
      </c>
      <c r="H649">
        <v>138.78</v>
      </c>
      <c r="I649" t="s">
        <v>52</v>
      </c>
      <c r="J649" t="s">
        <v>65</v>
      </c>
      <c r="K649" t="s">
        <v>54</v>
      </c>
      <c r="L649" t="s">
        <v>55</v>
      </c>
      <c r="O649" t="s">
        <v>66</v>
      </c>
      <c r="P649" t="s">
        <v>67</v>
      </c>
      <c r="Q649">
        <v>37783.730000000003</v>
      </c>
      <c r="R649">
        <v>-138.78</v>
      </c>
      <c r="S649" t="s">
        <v>2895</v>
      </c>
      <c r="T649" t="s">
        <v>2896</v>
      </c>
      <c r="U649" t="s">
        <v>2897</v>
      </c>
    </row>
    <row r="650" spans="1:21">
      <c r="A650" t="s">
        <v>1402</v>
      </c>
      <c r="B650" s="7">
        <v>46172</v>
      </c>
      <c r="C650" s="8">
        <v>0.33539351851851851</v>
      </c>
      <c r="D650" t="s">
        <v>17</v>
      </c>
      <c r="E650" t="s">
        <v>2</v>
      </c>
      <c r="F650" t="s">
        <v>50</v>
      </c>
      <c r="G650" t="s">
        <v>51</v>
      </c>
      <c r="H650">
        <v>36.47</v>
      </c>
      <c r="I650" t="s">
        <v>52</v>
      </c>
      <c r="J650" t="s">
        <v>126</v>
      </c>
      <c r="K650" t="s">
        <v>54</v>
      </c>
      <c r="L650" t="s">
        <v>55</v>
      </c>
      <c r="O650" t="s">
        <v>56</v>
      </c>
      <c r="P650" t="s">
        <v>57</v>
      </c>
      <c r="Q650">
        <v>37703.379999999997</v>
      </c>
      <c r="R650">
        <v>-36.47</v>
      </c>
      <c r="S650" t="s">
        <v>2895</v>
      </c>
      <c r="T650" t="s">
        <v>2896</v>
      </c>
      <c r="U650" t="s">
        <v>2897</v>
      </c>
    </row>
    <row r="651" spans="1:21">
      <c r="A651" t="s">
        <v>1404</v>
      </c>
      <c r="B651" s="7">
        <v>46172</v>
      </c>
      <c r="C651" s="8">
        <v>0.54791666666666672</v>
      </c>
      <c r="D651" t="s">
        <v>17</v>
      </c>
      <c r="E651" t="s">
        <v>2</v>
      </c>
      <c r="F651" t="s">
        <v>50</v>
      </c>
      <c r="G651" t="s">
        <v>51</v>
      </c>
      <c r="H651">
        <v>142.38</v>
      </c>
      <c r="I651" t="s">
        <v>52</v>
      </c>
      <c r="J651" t="s">
        <v>196</v>
      </c>
      <c r="K651" t="s">
        <v>54</v>
      </c>
      <c r="L651" t="s">
        <v>55</v>
      </c>
      <c r="O651" t="s">
        <v>197</v>
      </c>
      <c r="P651" t="s">
        <v>198</v>
      </c>
      <c r="Q651">
        <v>37925.96</v>
      </c>
      <c r="R651">
        <v>-142.38</v>
      </c>
      <c r="S651" t="s">
        <v>2895</v>
      </c>
      <c r="T651" t="s">
        <v>2896</v>
      </c>
      <c r="U651" t="s">
        <v>2897</v>
      </c>
    </row>
    <row r="652" spans="1:21">
      <c r="A652" t="s">
        <v>1406</v>
      </c>
      <c r="B652" s="7">
        <v>46172</v>
      </c>
      <c r="C652" s="8">
        <v>0.6293171296296296</v>
      </c>
      <c r="D652" t="s">
        <v>17</v>
      </c>
      <c r="E652" t="s">
        <v>2</v>
      </c>
      <c r="F652" t="s">
        <v>50</v>
      </c>
      <c r="G652" t="s">
        <v>51</v>
      </c>
      <c r="H652">
        <v>19.13</v>
      </c>
      <c r="I652" t="s">
        <v>52</v>
      </c>
      <c r="J652" t="s">
        <v>121</v>
      </c>
      <c r="K652" t="s">
        <v>54</v>
      </c>
      <c r="L652" t="s">
        <v>55</v>
      </c>
      <c r="O652" t="s">
        <v>122</v>
      </c>
      <c r="P652" t="s">
        <v>123</v>
      </c>
      <c r="Q652">
        <v>37764.6</v>
      </c>
      <c r="R652">
        <v>-19.13</v>
      </c>
      <c r="S652" t="s">
        <v>2895</v>
      </c>
      <c r="T652" t="s">
        <v>2896</v>
      </c>
      <c r="U652" t="s">
        <v>2897</v>
      </c>
    </row>
    <row r="653" spans="1:21">
      <c r="A653" t="s">
        <v>1408</v>
      </c>
      <c r="B653" s="7">
        <v>46172</v>
      </c>
      <c r="C653" s="8">
        <v>0.72901620370370368</v>
      </c>
      <c r="D653" t="s">
        <v>17</v>
      </c>
      <c r="E653" t="s">
        <v>2</v>
      </c>
      <c r="F653" t="s">
        <v>50</v>
      </c>
      <c r="G653" t="s">
        <v>72</v>
      </c>
      <c r="H653">
        <v>132.13999999999999</v>
      </c>
      <c r="I653" t="s">
        <v>52</v>
      </c>
      <c r="J653" t="s">
        <v>316</v>
      </c>
      <c r="K653" t="s">
        <v>54</v>
      </c>
      <c r="L653" t="s">
        <v>74</v>
      </c>
      <c r="O653" t="s">
        <v>75</v>
      </c>
      <c r="P653" t="s">
        <v>76</v>
      </c>
      <c r="Q653">
        <v>37571.24</v>
      </c>
      <c r="R653">
        <v>-132.13999999999999</v>
      </c>
      <c r="S653" t="s">
        <v>2895</v>
      </c>
      <c r="T653" t="s">
        <v>2896</v>
      </c>
      <c r="U653" t="s">
        <v>2897</v>
      </c>
    </row>
    <row r="654" spans="1:21">
      <c r="A654" t="s">
        <v>1410</v>
      </c>
      <c r="B654" s="7">
        <v>46172</v>
      </c>
      <c r="C654" s="8">
        <v>0.736724537037037</v>
      </c>
      <c r="D654" t="s">
        <v>17</v>
      </c>
      <c r="E654" t="s">
        <v>2</v>
      </c>
      <c r="F654" t="s">
        <v>50</v>
      </c>
      <c r="G654" t="s">
        <v>51</v>
      </c>
      <c r="H654">
        <v>3.45</v>
      </c>
      <c r="I654" t="s">
        <v>52</v>
      </c>
      <c r="J654" t="s">
        <v>121</v>
      </c>
      <c r="K654" t="s">
        <v>54</v>
      </c>
      <c r="L654" t="s">
        <v>55</v>
      </c>
      <c r="O654" t="s">
        <v>122</v>
      </c>
      <c r="P654" t="s">
        <v>123</v>
      </c>
      <c r="Q654">
        <v>37922.51</v>
      </c>
      <c r="R654">
        <v>-3.45</v>
      </c>
      <c r="S654" t="s">
        <v>2895</v>
      </c>
      <c r="T654" t="s">
        <v>2896</v>
      </c>
      <c r="U654" t="s">
        <v>2897</v>
      </c>
    </row>
    <row r="655" spans="1:21">
      <c r="A655" t="s">
        <v>1412</v>
      </c>
      <c r="B655" s="7">
        <v>46172</v>
      </c>
      <c r="C655" s="8">
        <v>0.81322916666666667</v>
      </c>
      <c r="D655" t="s">
        <v>17</v>
      </c>
      <c r="E655" t="s">
        <v>2</v>
      </c>
      <c r="F655" t="s">
        <v>50</v>
      </c>
      <c r="G655" t="s">
        <v>100</v>
      </c>
      <c r="H655">
        <v>24.75</v>
      </c>
      <c r="I655" t="s">
        <v>52</v>
      </c>
      <c r="J655" t="s">
        <v>114</v>
      </c>
      <c r="K655" t="s">
        <v>54</v>
      </c>
      <c r="L655" t="s">
        <v>102</v>
      </c>
      <c r="O655" t="s">
        <v>103</v>
      </c>
      <c r="P655" t="s">
        <v>104</v>
      </c>
      <c r="Q655">
        <v>37739.85</v>
      </c>
      <c r="R655">
        <v>-24.75</v>
      </c>
      <c r="S655" t="s">
        <v>2895</v>
      </c>
      <c r="T655" t="s">
        <v>2896</v>
      </c>
      <c r="U655" t="s">
        <v>2897</v>
      </c>
    </row>
    <row r="656" spans="1:21">
      <c r="A656" t="s">
        <v>1414</v>
      </c>
      <c r="B656" s="7">
        <v>46172</v>
      </c>
      <c r="C656" s="8">
        <v>0.90959490740740745</v>
      </c>
      <c r="D656" t="s">
        <v>17</v>
      </c>
      <c r="E656" t="s">
        <v>2</v>
      </c>
      <c r="F656" t="s">
        <v>50</v>
      </c>
      <c r="G656" t="s">
        <v>51</v>
      </c>
      <c r="H656">
        <v>94.58</v>
      </c>
      <c r="I656" t="s">
        <v>52</v>
      </c>
      <c r="J656" t="s">
        <v>196</v>
      </c>
      <c r="K656" t="s">
        <v>54</v>
      </c>
      <c r="L656" t="s">
        <v>55</v>
      </c>
      <c r="O656" t="s">
        <v>197</v>
      </c>
      <c r="P656" t="s">
        <v>198</v>
      </c>
      <c r="Q656">
        <v>38068.339999999997</v>
      </c>
      <c r="R656">
        <v>-94.58</v>
      </c>
      <c r="S656" t="s">
        <v>2895</v>
      </c>
      <c r="T656" t="s">
        <v>2896</v>
      </c>
      <c r="U656" t="s">
        <v>2897</v>
      </c>
    </row>
    <row r="657" spans="1:21">
      <c r="A657" t="s">
        <v>1416</v>
      </c>
      <c r="B657" s="7">
        <v>46172</v>
      </c>
      <c r="C657" s="8">
        <v>0.92268518518518516</v>
      </c>
      <c r="D657" t="s">
        <v>17</v>
      </c>
      <c r="E657" t="s">
        <v>2</v>
      </c>
      <c r="F657" t="s">
        <v>50</v>
      </c>
      <c r="G657" t="s">
        <v>88</v>
      </c>
      <c r="H657">
        <v>40</v>
      </c>
      <c r="I657" t="s">
        <v>52</v>
      </c>
      <c r="J657" t="s">
        <v>89</v>
      </c>
      <c r="K657" t="s">
        <v>54</v>
      </c>
      <c r="L657" t="s">
        <v>90</v>
      </c>
      <c r="M657" t="s">
        <v>91</v>
      </c>
      <c r="N657" t="s">
        <v>12</v>
      </c>
      <c r="O657" t="s">
        <v>92</v>
      </c>
      <c r="P657" t="s">
        <v>93</v>
      </c>
      <c r="Q657">
        <v>37531.24</v>
      </c>
      <c r="R657">
        <v>-40</v>
      </c>
      <c r="S657" t="s">
        <v>2895</v>
      </c>
      <c r="T657" t="s">
        <v>2896</v>
      </c>
      <c r="U657" t="s">
        <v>2897</v>
      </c>
    </row>
    <row r="658" spans="1:21">
      <c r="A658" t="s">
        <v>1418</v>
      </c>
      <c r="B658" s="7">
        <v>46173</v>
      </c>
      <c r="C658" s="8">
        <v>0.31090277777777775</v>
      </c>
      <c r="D658" t="s">
        <v>17</v>
      </c>
      <c r="E658" t="s">
        <v>2</v>
      </c>
      <c r="F658" t="s">
        <v>50</v>
      </c>
      <c r="G658" t="s">
        <v>51</v>
      </c>
      <c r="H658">
        <v>51.59</v>
      </c>
      <c r="I658" t="s">
        <v>52</v>
      </c>
      <c r="J658" t="s">
        <v>60</v>
      </c>
      <c r="K658" t="s">
        <v>54</v>
      </c>
      <c r="L658" t="s">
        <v>55</v>
      </c>
      <c r="O658" t="s">
        <v>61</v>
      </c>
      <c r="P658" t="s">
        <v>62</v>
      </c>
      <c r="Q658">
        <v>37479.65</v>
      </c>
      <c r="R658">
        <v>-51.59</v>
      </c>
      <c r="S658" t="s">
        <v>2895</v>
      </c>
      <c r="T658" t="s">
        <v>2896</v>
      </c>
      <c r="U658" t="s">
        <v>2897</v>
      </c>
    </row>
    <row r="659" spans="1:21">
      <c r="A659" t="s">
        <v>1420</v>
      </c>
      <c r="B659" s="7">
        <v>46173</v>
      </c>
      <c r="C659" s="8">
        <v>0.47811342592592593</v>
      </c>
      <c r="D659" t="s">
        <v>17</v>
      </c>
      <c r="E659" t="s">
        <v>2</v>
      </c>
      <c r="F659" t="s">
        <v>50</v>
      </c>
      <c r="G659" t="s">
        <v>51</v>
      </c>
      <c r="H659">
        <v>29.77</v>
      </c>
      <c r="I659" t="s">
        <v>52</v>
      </c>
      <c r="J659" t="s">
        <v>60</v>
      </c>
      <c r="K659" t="s">
        <v>54</v>
      </c>
      <c r="L659" t="s">
        <v>55</v>
      </c>
      <c r="O659" t="s">
        <v>61</v>
      </c>
      <c r="P659" t="s">
        <v>62</v>
      </c>
      <c r="Q659">
        <v>37408.83</v>
      </c>
      <c r="R659">
        <v>-29.77</v>
      </c>
      <c r="S659" t="s">
        <v>2895</v>
      </c>
      <c r="T659" t="s">
        <v>2896</v>
      </c>
      <c r="U659" t="s">
        <v>2897</v>
      </c>
    </row>
    <row r="660" spans="1:21">
      <c r="A660" t="s">
        <v>1421</v>
      </c>
      <c r="B660" s="7">
        <v>46173</v>
      </c>
      <c r="C660" s="8">
        <v>0.50612268518518522</v>
      </c>
      <c r="D660" t="s">
        <v>17</v>
      </c>
      <c r="E660" t="s">
        <v>2</v>
      </c>
      <c r="F660" t="s">
        <v>50</v>
      </c>
      <c r="G660" t="s">
        <v>51</v>
      </c>
      <c r="H660">
        <v>7.27</v>
      </c>
      <c r="I660" t="s">
        <v>52</v>
      </c>
      <c r="J660" t="s">
        <v>53</v>
      </c>
      <c r="K660" t="s">
        <v>54</v>
      </c>
      <c r="L660" t="s">
        <v>55</v>
      </c>
      <c r="O660" t="s">
        <v>56</v>
      </c>
      <c r="P660" t="s">
        <v>57</v>
      </c>
      <c r="Q660">
        <v>37438.6</v>
      </c>
      <c r="R660">
        <v>-7.27</v>
      </c>
      <c r="S660" t="s">
        <v>2895</v>
      </c>
      <c r="T660" t="s">
        <v>2896</v>
      </c>
      <c r="U660" t="s">
        <v>2897</v>
      </c>
    </row>
    <row r="661" spans="1:21">
      <c r="A661" t="s">
        <v>1423</v>
      </c>
      <c r="B661" s="7">
        <v>46173</v>
      </c>
      <c r="C661" s="8">
        <v>0.62091435185185184</v>
      </c>
      <c r="D661" t="s">
        <v>17</v>
      </c>
      <c r="E661" t="s">
        <v>2</v>
      </c>
      <c r="F661" t="s">
        <v>50</v>
      </c>
      <c r="G661" t="s">
        <v>100</v>
      </c>
      <c r="H661">
        <v>15</v>
      </c>
      <c r="I661" t="s">
        <v>52</v>
      </c>
      <c r="J661" t="s">
        <v>101</v>
      </c>
      <c r="K661" t="s">
        <v>54</v>
      </c>
      <c r="L661" t="s">
        <v>102</v>
      </c>
      <c r="O661" t="s">
        <v>103</v>
      </c>
      <c r="P661" t="s">
        <v>104</v>
      </c>
      <c r="Q661">
        <v>37364.69</v>
      </c>
      <c r="R661">
        <v>-15</v>
      </c>
      <c r="S661" t="s">
        <v>2895</v>
      </c>
      <c r="T661" t="s">
        <v>2896</v>
      </c>
      <c r="U661" t="s">
        <v>2897</v>
      </c>
    </row>
    <row r="662" spans="1:21">
      <c r="A662" t="s">
        <v>1425</v>
      </c>
      <c r="B662" s="7">
        <v>46173</v>
      </c>
      <c r="C662" s="8">
        <v>0.62106481481481479</v>
      </c>
      <c r="D662" t="s">
        <v>17</v>
      </c>
      <c r="E662" t="s">
        <v>2</v>
      </c>
      <c r="F662" t="s">
        <v>50</v>
      </c>
      <c r="G662" t="s">
        <v>51</v>
      </c>
      <c r="H662">
        <v>17.47</v>
      </c>
      <c r="I662" t="s">
        <v>52</v>
      </c>
      <c r="J662" t="s">
        <v>126</v>
      </c>
      <c r="K662" t="s">
        <v>54</v>
      </c>
      <c r="L662" t="s">
        <v>55</v>
      </c>
      <c r="O662" t="s">
        <v>56</v>
      </c>
      <c r="P662" t="s">
        <v>57</v>
      </c>
      <c r="Q662">
        <v>37462.18</v>
      </c>
      <c r="R662">
        <v>-17.47</v>
      </c>
      <c r="S662" t="s">
        <v>2895</v>
      </c>
      <c r="T662" t="s">
        <v>2896</v>
      </c>
      <c r="U662" t="s">
        <v>2897</v>
      </c>
    </row>
    <row r="663" spans="1:21">
      <c r="A663" t="s">
        <v>1427</v>
      </c>
      <c r="B663" s="7">
        <v>46173</v>
      </c>
      <c r="C663" s="8">
        <v>0.6616319444444444</v>
      </c>
      <c r="D663" t="s">
        <v>17</v>
      </c>
      <c r="E663" t="s">
        <v>2</v>
      </c>
      <c r="F663" t="s">
        <v>50</v>
      </c>
      <c r="G663" t="s">
        <v>51</v>
      </c>
      <c r="H663">
        <v>29.88</v>
      </c>
      <c r="I663" t="s">
        <v>52</v>
      </c>
      <c r="J663" t="s">
        <v>60</v>
      </c>
      <c r="K663" t="s">
        <v>54</v>
      </c>
      <c r="L663" t="s">
        <v>55</v>
      </c>
      <c r="O663" t="s">
        <v>61</v>
      </c>
      <c r="P663" t="s">
        <v>62</v>
      </c>
      <c r="Q663">
        <v>37334.81</v>
      </c>
      <c r="R663">
        <v>-29.88</v>
      </c>
      <c r="S663" t="s">
        <v>2895</v>
      </c>
      <c r="T663" t="s">
        <v>2896</v>
      </c>
      <c r="U663" t="s">
        <v>2897</v>
      </c>
    </row>
    <row r="664" spans="1:21">
      <c r="A664" t="s">
        <v>1429</v>
      </c>
      <c r="B664" s="7">
        <v>46173</v>
      </c>
      <c r="C664" s="8">
        <v>0.67297453703703702</v>
      </c>
      <c r="D664" t="s">
        <v>17</v>
      </c>
      <c r="E664" t="s">
        <v>2</v>
      </c>
      <c r="F664" t="s">
        <v>50</v>
      </c>
      <c r="G664" t="s">
        <v>88</v>
      </c>
      <c r="H664">
        <v>200</v>
      </c>
      <c r="I664" t="s">
        <v>52</v>
      </c>
      <c r="J664" t="s">
        <v>89</v>
      </c>
      <c r="K664" t="s">
        <v>54</v>
      </c>
      <c r="L664" t="s">
        <v>90</v>
      </c>
      <c r="M664" t="s">
        <v>91</v>
      </c>
      <c r="N664" t="s">
        <v>12</v>
      </c>
      <c r="O664" t="s">
        <v>92</v>
      </c>
      <c r="P664" t="s">
        <v>93</v>
      </c>
      <c r="Q664">
        <v>37134.81</v>
      </c>
      <c r="R664">
        <v>-200</v>
      </c>
      <c r="S664" t="s">
        <v>2895</v>
      </c>
      <c r="T664" t="s">
        <v>2896</v>
      </c>
      <c r="U664" t="s">
        <v>2897</v>
      </c>
    </row>
    <row r="665" spans="1:21">
      <c r="A665" t="s">
        <v>1431</v>
      </c>
      <c r="B665" s="7">
        <v>46173</v>
      </c>
      <c r="C665" s="8">
        <v>0.68087962962962967</v>
      </c>
      <c r="D665" t="s">
        <v>17</v>
      </c>
      <c r="E665" t="s">
        <v>2</v>
      </c>
      <c r="F665" t="s">
        <v>50</v>
      </c>
      <c r="G665" t="s">
        <v>51</v>
      </c>
      <c r="H665">
        <v>16.309999999999999</v>
      </c>
      <c r="I665" t="s">
        <v>52</v>
      </c>
      <c r="J665" t="s">
        <v>121</v>
      </c>
      <c r="K665" t="s">
        <v>54</v>
      </c>
      <c r="L665" t="s">
        <v>55</v>
      </c>
      <c r="O665" t="s">
        <v>122</v>
      </c>
      <c r="P665" t="s">
        <v>123</v>
      </c>
      <c r="Q665">
        <v>37445.870000000003</v>
      </c>
      <c r="R665">
        <v>-16.309999999999999</v>
      </c>
      <c r="S665" t="s">
        <v>2895</v>
      </c>
      <c r="T665" t="s">
        <v>2896</v>
      </c>
      <c r="U665" t="s">
        <v>2897</v>
      </c>
    </row>
    <row r="666" spans="1:21">
      <c r="A666" t="s">
        <v>1433</v>
      </c>
      <c r="B666" s="7">
        <v>46173</v>
      </c>
      <c r="C666" s="8">
        <v>0.74251157407407409</v>
      </c>
      <c r="D666" t="s">
        <v>17</v>
      </c>
      <c r="E666" t="s">
        <v>2</v>
      </c>
      <c r="F666" t="s">
        <v>50</v>
      </c>
      <c r="G666" t="s">
        <v>51</v>
      </c>
      <c r="H666">
        <v>29.14</v>
      </c>
      <c r="I666" t="s">
        <v>52</v>
      </c>
      <c r="J666" t="s">
        <v>81</v>
      </c>
      <c r="K666" t="s">
        <v>54</v>
      </c>
      <c r="L666" t="s">
        <v>55</v>
      </c>
      <c r="O666" t="s">
        <v>82</v>
      </c>
      <c r="P666" t="s">
        <v>83</v>
      </c>
      <c r="Q666">
        <v>37379.69</v>
      </c>
      <c r="R666">
        <v>-29.14</v>
      </c>
      <c r="S666" t="s">
        <v>2895</v>
      </c>
      <c r="T666" t="s">
        <v>2896</v>
      </c>
      <c r="U666" t="s">
        <v>2897</v>
      </c>
    </row>
    <row r="667" spans="1:21">
      <c r="A667" t="s">
        <v>1435</v>
      </c>
      <c r="B667" s="7">
        <v>46174</v>
      </c>
      <c r="C667" s="8">
        <v>0.32174768518518521</v>
      </c>
      <c r="D667" t="s">
        <v>17</v>
      </c>
      <c r="E667" t="s">
        <v>2</v>
      </c>
      <c r="F667" t="s">
        <v>50</v>
      </c>
      <c r="G667" t="s">
        <v>51</v>
      </c>
      <c r="H667">
        <v>28.6</v>
      </c>
      <c r="I667" t="s">
        <v>52</v>
      </c>
      <c r="J667" t="s">
        <v>81</v>
      </c>
      <c r="K667" t="s">
        <v>54</v>
      </c>
      <c r="L667" t="s">
        <v>55</v>
      </c>
      <c r="O667" t="s">
        <v>82</v>
      </c>
      <c r="P667" t="s">
        <v>83</v>
      </c>
      <c r="Q667">
        <v>37106.21</v>
      </c>
      <c r="R667">
        <v>-28.6</v>
      </c>
      <c r="S667" t="s">
        <v>2895</v>
      </c>
      <c r="T667" t="s">
        <v>2896</v>
      </c>
      <c r="U667" t="s">
        <v>2897</v>
      </c>
    </row>
    <row r="668" spans="1:21">
      <c r="A668" t="s">
        <v>1437</v>
      </c>
      <c r="B668" s="7">
        <v>46174</v>
      </c>
      <c r="C668" s="8">
        <v>0.35945601851851849</v>
      </c>
      <c r="D668" t="s">
        <v>17</v>
      </c>
      <c r="E668" t="s">
        <v>2</v>
      </c>
      <c r="F668" t="s">
        <v>50</v>
      </c>
      <c r="G668" t="s">
        <v>51</v>
      </c>
      <c r="H668">
        <v>10.07</v>
      </c>
      <c r="I668" t="s">
        <v>52</v>
      </c>
      <c r="J668" t="s">
        <v>121</v>
      </c>
      <c r="K668" t="s">
        <v>54</v>
      </c>
      <c r="L668" t="s">
        <v>55</v>
      </c>
      <c r="O668" t="s">
        <v>122</v>
      </c>
      <c r="P668" t="s">
        <v>123</v>
      </c>
      <c r="Q668">
        <v>36880.01</v>
      </c>
      <c r="R668">
        <v>-10.07</v>
      </c>
      <c r="S668" t="s">
        <v>2895</v>
      </c>
      <c r="T668" t="s">
        <v>2896</v>
      </c>
      <c r="U668" t="s">
        <v>2897</v>
      </c>
    </row>
    <row r="669" spans="1:21">
      <c r="A669" t="s">
        <v>1439</v>
      </c>
      <c r="B669" s="7">
        <v>46174</v>
      </c>
      <c r="C669" s="8">
        <v>0.42152777777777778</v>
      </c>
      <c r="D669" t="s">
        <v>17</v>
      </c>
      <c r="E669" t="s">
        <v>2</v>
      </c>
      <c r="F669" t="s">
        <v>50</v>
      </c>
      <c r="G669" t="s">
        <v>51</v>
      </c>
      <c r="H669">
        <v>62.19</v>
      </c>
      <c r="I669" t="s">
        <v>52</v>
      </c>
      <c r="J669" t="s">
        <v>60</v>
      </c>
      <c r="K669" t="s">
        <v>54</v>
      </c>
      <c r="L669" t="s">
        <v>55</v>
      </c>
      <c r="O669" t="s">
        <v>61</v>
      </c>
      <c r="P669" t="s">
        <v>62</v>
      </c>
      <c r="Q669">
        <v>37013.54</v>
      </c>
      <c r="R669">
        <v>-62.19</v>
      </c>
      <c r="S669" t="s">
        <v>2895</v>
      </c>
      <c r="T669" t="s">
        <v>2896</v>
      </c>
      <c r="U669" t="s">
        <v>2897</v>
      </c>
    </row>
    <row r="670" spans="1:21">
      <c r="A670" t="s">
        <v>1441</v>
      </c>
      <c r="B670" s="7">
        <v>46174</v>
      </c>
      <c r="C670" s="8">
        <v>0.45931712962962962</v>
      </c>
      <c r="D670" t="s">
        <v>17</v>
      </c>
      <c r="E670" t="s">
        <v>2</v>
      </c>
      <c r="F670" t="s">
        <v>50</v>
      </c>
      <c r="G670" t="s">
        <v>51</v>
      </c>
      <c r="H670">
        <v>15.48</v>
      </c>
      <c r="I670" t="s">
        <v>52</v>
      </c>
      <c r="J670" t="s">
        <v>53</v>
      </c>
      <c r="K670" t="s">
        <v>54</v>
      </c>
      <c r="L670" t="s">
        <v>55</v>
      </c>
      <c r="O670" t="s">
        <v>56</v>
      </c>
      <c r="P670" t="s">
        <v>57</v>
      </c>
      <c r="Q670">
        <v>37090.730000000003</v>
      </c>
      <c r="R670">
        <v>-15.48</v>
      </c>
      <c r="S670" t="s">
        <v>2895</v>
      </c>
      <c r="T670" t="s">
        <v>2896</v>
      </c>
      <c r="U670" t="s">
        <v>2897</v>
      </c>
    </row>
    <row r="671" spans="1:21">
      <c r="A671" t="s">
        <v>1443</v>
      </c>
      <c r="B671" s="7">
        <v>46174</v>
      </c>
      <c r="C671" s="8">
        <v>0.54005787037037034</v>
      </c>
      <c r="D671" t="s">
        <v>17</v>
      </c>
      <c r="E671" t="s">
        <v>2</v>
      </c>
      <c r="F671" t="s">
        <v>50</v>
      </c>
      <c r="G671" t="s">
        <v>72</v>
      </c>
      <c r="H671">
        <v>179.55</v>
      </c>
      <c r="I671" t="s">
        <v>52</v>
      </c>
      <c r="J671" t="s">
        <v>316</v>
      </c>
      <c r="K671" t="s">
        <v>54</v>
      </c>
      <c r="L671" t="s">
        <v>74</v>
      </c>
      <c r="O671" t="s">
        <v>75</v>
      </c>
      <c r="P671" t="s">
        <v>76</v>
      </c>
      <c r="Q671">
        <v>36700.46</v>
      </c>
      <c r="R671">
        <v>-179.55</v>
      </c>
      <c r="S671" t="s">
        <v>2895</v>
      </c>
      <c r="T671" t="s">
        <v>2896</v>
      </c>
      <c r="U671" t="s">
        <v>2897</v>
      </c>
    </row>
    <row r="672" spans="1:21">
      <c r="A672" t="s">
        <v>1445</v>
      </c>
      <c r="B672" s="7">
        <v>46174</v>
      </c>
      <c r="C672" s="8">
        <v>0.54616898148148152</v>
      </c>
      <c r="D672" t="s">
        <v>17</v>
      </c>
      <c r="E672" t="s">
        <v>2</v>
      </c>
      <c r="F672" t="s">
        <v>50</v>
      </c>
      <c r="G672" t="s">
        <v>100</v>
      </c>
      <c r="H672">
        <v>15</v>
      </c>
      <c r="I672" t="s">
        <v>52</v>
      </c>
      <c r="J672" t="s">
        <v>101</v>
      </c>
      <c r="K672" t="s">
        <v>54</v>
      </c>
      <c r="L672" t="s">
        <v>102</v>
      </c>
      <c r="O672" t="s">
        <v>103</v>
      </c>
      <c r="P672" t="s">
        <v>104</v>
      </c>
      <c r="Q672">
        <v>37075.730000000003</v>
      </c>
      <c r="R672">
        <v>-15</v>
      </c>
      <c r="S672" t="s">
        <v>2895</v>
      </c>
      <c r="T672" t="s">
        <v>2896</v>
      </c>
      <c r="U672" t="s">
        <v>2897</v>
      </c>
    </row>
    <row r="673" spans="1:21">
      <c r="A673" t="s">
        <v>1447</v>
      </c>
      <c r="B673" s="7">
        <v>46174</v>
      </c>
      <c r="C673" s="8">
        <v>0.54736111111111108</v>
      </c>
      <c r="D673" t="s">
        <v>17</v>
      </c>
      <c r="E673" t="s">
        <v>2</v>
      </c>
      <c r="F673" t="s">
        <v>50</v>
      </c>
      <c r="G673" t="s">
        <v>51</v>
      </c>
      <c r="H673">
        <v>123.46</v>
      </c>
      <c r="I673" t="s">
        <v>52</v>
      </c>
      <c r="J673" t="s">
        <v>65</v>
      </c>
      <c r="K673" t="s">
        <v>54</v>
      </c>
      <c r="L673" t="s">
        <v>55</v>
      </c>
      <c r="O673" t="s">
        <v>66</v>
      </c>
      <c r="P673" t="s">
        <v>67</v>
      </c>
      <c r="Q673">
        <v>36890.080000000002</v>
      </c>
      <c r="R673">
        <v>-123.46</v>
      </c>
      <c r="S673" t="s">
        <v>2895</v>
      </c>
      <c r="T673" t="s">
        <v>2896</v>
      </c>
      <c r="U673" t="s">
        <v>2897</v>
      </c>
    </row>
    <row r="674" spans="1:21">
      <c r="A674" t="s">
        <v>1449</v>
      </c>
      <c r="B674" s="7">
        <v>46175</v>
      </c>
      <c r="C674" s="8">
        <v>0.31920138888888888</v>
      </c>
      <c r="D674" t="s">
        <v>17</v>
      </c>
      <c r="E674" t="s">
        <v>2</v>
      </c>
      <c r="F674" t="s">
        <v>50</v>
      </c>
      <c r="G674" t="s">
        <v>100</v>
      </c>
      <c r="H674">
        <v>15</v>
      </c>
      <c r="I674" t="s">
        <v>52</v>
      </c>
      <c r="J674" t="s">
        <v>101</v>
      </c>
      <c r="K674" t="s">
        <v>54</v>
      </c>
      <c r="L674" t="s">
        <v>102</v>
      </c>
      <c r="O674" t="s">
        <v>103</v>
      </c>
      <c r="P674" t="s">
        <v>104</v>
      </c>
      <c r="Q674">
        <v>36568.620000000003</v>
      </c>
      <c r="R674">
        <v>-15</v>
      </c>
      <c r="S674" t="s">
        <v>2895</v>
      </c>
      <c r="T674" t="s">
        <v>2896</v>
      </c>
      <c r="U674" t="s">
        <v>2897</v>
      </c>
    </row>
    <row r="675" spans="1:21">
      <c r="A675" t="s">
        <v>1451</v>
      </c>
      <c r="B675" s="7">
        <v>46175</v>
      </c>
      <c r="C675" s="8">
        <v>0.47033564814814816</v>
      </c>
      <c r="D675" t="s">
        <v>17</v>
      </c>
      <c r="E675" t="s">
        <v>2</v>
      </c>
      <c r="F675" t="s">
        <v>50</v>
      </c>
      <c r="G675" t="s">
        <v>51</v>
      </c>
      <c r="H675">
        <v>22.16</v>
      </c>
      <c r="I675" t="s">
        <v>52</v>
      </c>
      <c r="J675" t="s">
        <v>126</v>
      </c>
      <c r="K675" t="s">
        <v>54</v>
      </c>
      <c r="L675" t="s">
        <v>55</v>
      </c>
      <c r="O675" t="s">
        <v>56</v>
      </c>
      <c r="P675" t="s">
        <v>57</v>
      </c>
      <c r="Q675">
        <v>36583.620000000003</v>
      </c>
      <c r="R675">
        <v>-22.16</v>
      </c>
      <c r="S675" t="s">
        <v>2895</v>
      </c>
      <c r="T675" t="s">
        <v>2896</v>
      </c>
      <c r="U675" t="s">
        <v>2897</v>
      </c>
    </row>
    <row r="676" spans="1:21">
      <c r="A676" t="s">
        <v>1453</v>
      </c>
      <c r="B676" s="7">
        <v>46175</v>
      </c>
      <c r="C676" s="8">
        <v>0.67155092592592591</v>
      </c>
      <c r="D676" t="s">
        <v>17</v>
      </c>
      <c r="E676" t="s">
        <v>2</v>
      </c>
      <c r="F676" t="s">
        <v>50</v>
      </c>
      <c r="G676" t="s">
        <v>51</v>
      </c>
      <c r="H676">
        <v>67.25</v>
      </c>
      <c r="I676" t="s">
        <v>52</v>
      </c>
      <c r="J676" t="s">
        <v>60</v>
      </c>
      <c r="K676" t="s">
        <v>54</v>
      </c>
      <c r="L676" t="s">
        <v>55</v>
      </c>
      <c r="O676" t="s">
        <v>61</v>
      </c>
      <c r="P676" t="s">
        <v>62</v>
      </c>
      <c r="Q676">
        <v>36633.21</v>
      </c>
      <c r="R676">
        <v>-67.25</v>
      </c>
      <c r="S676" t="s">
        <v>2895</v>
      </c>
      <c r="T676" t="s">
        <v>2896</v>
      </c>
      <c r="U676" t="s">
        <v>2897</v>
      </c>
    </row>
    <row r="677" spans="1:21">
      <c r="A677" t="s">
        <v>1455</v>
      </c>
      <c r="B677" s="7">
        <v>46175</v>
      </c>
      <c r="C677" s="8">
        <v>0.75585648148148143</v>
      </c>
      <c r="D677" t="s">
        <v>17</v>
      </c>
      <c r="E677" t="s">
        <v>2</v>
      </c>
      <c r="F677" t="s">
        <v>50</v>
      </c>
      <c r="G677" t="s">
        <v>88</v>
      </c>
      <c r="H677">
        <v>80</v>
      </c>
      <c r="I677" t="s">
        <v>52</v>
      </c>
      <c r="J677" t="s">
        <v>89</v>
      </c>
      <c r="K677" t="s">
        <v>54</v>
      </c>
      <c r="L677" t="s">
        <v>90</v>
      </c>
      <c r="M677" t="s">
        <v>91</v>
      </c>
      <c r="N677" t="s">
        <v>12</v>
      </c>
      <c r="O677" t="s">
        <v>92</v>
      </c>
      <c r="P677" t="s">
        <v>93</v>
      </c>
      <c r="Q677">
        <v>36361.4</v>
      </c>
      <c r="R677">
        <v>-80</v>
      </c>
      <c r="S677" t="s">
        <v>2895</v>
      </c>
      <c r="T677" t="s">
        <v>2896</v>
      </c>
      <c r="U677" t="s">
        <v>2897</v>
      </c>
    </row>
    <row r="678" spans="1:21">
      <c r="A678" t="s">
        <v>1457</v>
      </c>
      <c r="B678" s="7">
        <v>46175</v>
      </c>
      <c r="C678" s="8">
        <v>0.78017361111111116</v>
      </c>
      <c r="D678" t="s">
        <v>17</v>
      </c>
      <c r="E678" t="s">
        <v>2</v>
      </c>
      <c r="F678" t="s">
        <v>50</v>
      </c>
      <c r="G678" t="s">
        <v>51</v>
      </c>
      <c r="H678">
        <v>12.43</v>
      </c>
      <c r="I678" t="s">
        <v>52</v>
      </c>
      <c r="J678" t="s">
        <v>121</v>
      </c>
      <c r="K678" t="s">
        <v>54</v>
      </c>
      <c r="L678" t="s">
        <v>55</v>
      </c>
      <c r="O678" t="s">
        <v>122</v>
      </c>
      <c r="P678" t="s">
        <v>123</v>
      </c>
      <c r="Q678">
        <v>36605.78</v>
      </c>
      <c r="R678">
        <v>-12.43</v>
      </c>
      <c r="S678" t="s">
        <v>2895</v>
      </c>
      <c r="T678" t="s">
        <v>2896</v>
      </c>
      <c r="U678" t="s">
        <v>2897</v>
      </c>
    </row>
    <row r="679" spans="1:21">
      <c r="A679" t="s">
        <v>1459</v>
      </c>
      <c r="B679" s="7">
        <v>46175</v>
      </c>
      <c r="C679" s="8">
        <v>0.82831018518518518</v>
      </c>
      <c r="D679" t="s">
        <v>17</v>
      </c>
      <c r="E679" t="s">
        <v>2</v>
      </c>
      <c r="F679" t="s">
        <v>50</v>
      </c>
      <c r="G679" t="s">
        <v>100</v>
      </c>
      <c r="H679">
        <v>15</v>
      </c>
      <c r="I679" t="s">
        <v>52</v>
      </c>
      <c r="J679" t="s">
        <v>101</v>
      </c>
      <c r="K679" t="s">
        <v>54</v>
      </c>
      <c r="L679" t="s">
        <v>102</v>
      </c>
      <c r="O679" t="s">
        <v>103</v>
      </c>
      <c r="P679" t="s">
        <v>104</v>
      </c>
      <c r="Q679">
        <v>36618.21</v>
      </c>
      <c r="R679">
        <v>-15</v>
      </c>
      <c r="S679" t="s">
        <v>2895</v>
      </c>
      <c r="T679" t="s">
        <v>2896</v>
      </c>
      <c r="U679" t="s">
        <v>2897</v>
      </c>
    </row>
    <row r="680" spans="1:21">
      <c r="A680" t="s">
        <v>1461</v>
      </c>
      <c r="B680" s="7">
        <v>46175</v>
      </c>
      <c r="C680" s="8">
        <v>0.89370370370370367</v>
      </c>
      <c r="D680" t="s">
        <v>17</v>
      </c>
      <c r="E680" t="s">
        <v>2</v>
      </c>
      <c r="F680" t="s">
        <v>50</v>
      </c>
      <c r="G680" t="s">
        <v>51</v>
      </c>
      <c r="H680">
        <v>127.22</v>
      </c>
      <c r="I680" t="s">
        <v>52</v>
      </c>
      <c r="J680" t="s">
        <v>196</v>
      </c>
      <c r="K680" t="s">
        <v>54</v>
      </c>
      <c r="L680" t="s">
        <v>55</v>
      </c>
      <c r="O680" t="s">
        <v>197</v>
      </c>
      <c r="P680" t="s">
        <v>198</v>
      </c>
      <c r="Q680">
        <v>36441.4</v>
      </c>
      <c r="R680">
        <v>-127.22</v>
      </c>
      <c r="S680" t="s">
        <v>2895</v>
      </c>
      <c r="T680" t="s">
        <v>2896</v>
      </c>
      <c r="U680" t="s">
        <v>2897</v>
      </c>
    </row>
    <row r="681" spans="1:21">
      <c r="A681" t="s">
        <v>1463</v>
      </c>
      <c r="B681" s="7">
        <v>46175</v>
      </c>
      <c r="C681" s="8">
        <v>0.91836805555555556</v>
      </c>
      <c r="D681" t="s">
        <v>17</v>
      </c>
      <c r="E681" t="s">
        <v>2</v>
      </c>
      <c r="F681" t="s">
        <v>50</v>
      </c>
      <c r="G681" t="s">
        <v>100</v>
      </c>
      <c r="H681">
        <v>1850</v>
      </c>
      <c r="I681" t="s">
        <v>52</v>
      </c>
      <c r="J681" t="s">
        <v>107</v>
      </c>
      <c r="K681" t="s">
        <v>54</v>
      </c>
      <c r="L681" t="s">
        <v>102</v>
      </c>
      <c r="O681" t="s">
        <v>108</v>
      </c>
      <c r="P681" t="s">
        <v>109</v>
      </c>
      <c r="Q681">
        <v>42701.75</v>
      </c>
      <c r="R681">
        <v>-1850</v>
      </c>
      <c r="S681" t="s">
        <v>2895</v>
      </c>
      <c r="T681" t="s">
        <v>2896</v>
      </c>
      <c r="U681" t="s">
        <v>2897</v>
      </c>
    </row>
    <row r="682" spans="1:21">
      <c r="A682" t="s">
        <v>1465</v>
      </c>
      <c r="B682" s="7">
        <v>46176</v>
      </c>
      <c r="C682" s="8">
        <v>0.26724537037037038</v>
      </c>
      <c r="D682" t="s">
        <v>17</v>
      </c>
      <c r="E682" t="s">
        <v>2</v>
      </c>
      <c r="F682" t="s">
        <v>50</v>
      </c>
      <c r="G682" t="s">
        <v>100</v>
      </c>
      <c r="H682">
        <v>13.74</v>
      </c>
      <c r="I682" t="s">
        <v>52</v>
      </c>
      <c r="J682" t="s">
        <v>114</v>
      </c>
      <c r="K682" t="s">
        <v>54</v>
      </c>
      <c r="L682" t="s">
        <v>102</v>
      </c>
      <c r="O682" t="s">
        <v>103</v>
      </c>
      <c r="P682" t="s">
        <v>104</v>
      </c>
      <c r="Q682">
        <v>36347.660000000003</v>
      </c>
      <c r="R682">
        <v>-13.74</v>
      </c>
      <c r="S682" t="s">
        <v>2895</v>
      </c>
      <c r="T682" t="s">
        <v>2896</v>
      </c>
      <c r="U682" t="s">
        <v>2897</v>
      </c>
    </row>
    <row r="683" spans="1:21">
      <c r="A683" t="s">
        <v>1467</v>
      </c>
      <c r="B683" s="7">
        <v>46176</v>
      </c>
      <c r="C683" s="8">
        <v>0.29017361111111112</v>
      </c>
      <c r="D683" t="s">
        <v>17</v>
      </c>
      <c r="E683" t="s">
        <v>2</v>
      </c>
      <c r="F683" t="s">
        <v>50</v>
      </c>
      <c r="G683" t="s">
        <v>51</v>
      </c>
      <c r="H683">
        <v>39.049999999999997</v>
      </c>
      <c r="I683" t="s">
        <v>52</v>
      </c>
      <c r="J683" t="s">
        <v>81</v>
      </c>
      <c r="K683" t="s">
        <v>54</v>
      </c>
      <c r="L683" t="s">
        <v>55</v>
      </c>
      <c r="O683" t="s">
        <v>82</v>
      </c>
      <c r="P683" t="s">
        <v>83</v>
      </c>
      <c r="Q683">
        <v>36260.85</v>
      </c>
      <c r="R683">
        <v>-39.049999999999997</v>
      </c>
      <c r="S683" t="s">
        <v>2895</v>
      </c>
      <c r="T683" t="s">
        <v>2896</v>
      </c>
      <c r="U683" t="s">
        <v>2897</v>
      </c>
    </row>
    <row r="684" spans="1:21">
      <c r="A684" t="s">
        <v>1468</v>
      </c>
      <c r="B684" s="7">
        <v>46176</v>
      </c>
      <c r="C684" s="8">
        <v>0.32516203703703705</v>
      </c>
      <c r="D684" t="s">
        <v>17</v>
      </c>
      <c r="E684" t="s">
        <v>2</v>
      </c>
      <c r="F684" t="s">
        <v>149</v>
      </c>
      <c r="G684" t="s">
        <v>72</v>
      </c>
      <c r="H684">
        <v>166.76</v>
      </c>
      <c r="I684" t="s">
        <v>52</v>
      </c>
      <c r="J684" t="s">
        <v>606</v>
      </c>
      <c r="K684" t="s">
        <v>54</v>
      </c>
      <c r="L684" t="s">
        <v>74</v>
      </c>
      <c r="O684" t="s">
        <v>75</v>
      </c>
      <c r="P684" t="s">
        <v>76</v>
      </c>
      <c r="Q684">
        <v>36237.42</v>
      </c>
      <c r="R684">
        <v>166.76</v>
      </c>
      <c r="S684" t="s">
        <v>2895</v>
      </c>
      <c r="T684" t="s">
        <v>2896</v>
      </c>
      <c r="U684" t="s">
        <v>2897</v>
      </c>
    </row>
    <row r="685" spans="1:21">
      <c r="A685" t="s">
        <v>1470</v>
      </c>
      <c r="B685" s="7">
        <v>46176</v>
      </c>
      <c r="C685" s="8">
        <v>0.38590277777777776</v>
      </c>
      <c r="D685" t="s">
        <v>17</v>
      </c>
      <c r="E685" t="s">
        <v>2</v>
      </c>
      <c r="F685" t="s">
        <v>50</v>
      </c>
      <c r="G685" t="s">
        <v>51</v>
      </c>
      <c r="H685">
        <v>185.37</v>
      </c>
      <c r="I685" t="s">
        <v>52</v>
      </c>
      <c r="J685" t="s">
        <v>196</v>
      </c>
      <c r="K685" t="s">
        <v>54</v>
      </c>
      <c r="L685" t="s">
        <v>55</v>
      </c>
      <c r="O685" t="s">
        <v>197</v>
      </c>
      <c r="P685" t="s">
        <v>198</v>
      </c>
      <c r="Q685">
        <v>36070.660000000003</v>
      </c>
      <c r="R685">
        <v>-185.37</v>
      </c>
      <c r="S685" t="s">
        <v>2895</v>
      </c>
      <c r="T685" t="s">
        <v>2896</v>
      </c>
      <c r="U685" t="s">
        <v>2897</v>
      </c>
    </row>
    <row r="686" spans="1:21">
      <c r="A686" t="s">
        <v>1472</v>
      </c>
      <c r="B686" s="7">
        <v>46176</v>
      </c>
      <c r="C686" s="8">
        <v>0.59098379629629627</v>
      </c>
      <c r="D686" t="s">
        <v>17</v>
      </c>
      <c r="E686" t="s">
        <v>2</v>
      </c>
      <c r="F686" t="s">
        <v>50</v>
      </c>
      <c r="G686" t="s">
        <v>100</v>
      </c>
      <c r="H686">
        <v>14.82</v>
      </c>
      <c r="I686" t="s">
        <v>52</v>
      </c>
      <c r="J686" t="s">
        <v>114</v>
      </c>
      <c r="K686" t="s">
        <v>54</v>
      </c>
      <c r="L686" t="s">
        <v>102</v>
      </c>
      <c r="O686" t="s">
        <v>103</v>
      </c>
      <c r="P686" t="s">
        <v>104</v>
      </c>
      <c r="Q686">
        <v>36299.9</v>
      </c>
      <c r="R686">
        <v>-14.82</v>
      </c>
      <c r="S686" t="s">
        <v>2895</v>
      </c>
      <c r="T686" t="s">
        <v>2896</v>
      </c>
      <c r="U686" t="s">
        <v>2897</v>
      </c>
    </row>
    <row r="687" spans="1:21">
      <c r="A687" t="s">
        <v>1474</v>
      </c>
      <c r="B687" s="7">
        <v>46176</v>
      </c>
      <c r="C687" s="8">
        <v>0.89094907407407409</v>
      </c>
      <c r="D687" t="s">
        <v>17</v>
      </c>
      <c r="E687" t="s">
        <v>2</v>
      </c>
      <c r="F687" t="s">
        <v>50</v>
      </c>
      <c r="G687" t="s">
        <v>51</v>
      </c>
      <c r="H687">
        <v>32.94</v>
      </c>
      <c r="I687" t="s">
        <v>52</v>
      </c>
      <c r="J687" t="s">
        <v>81</v>
      </c>
      <c r="K687" t="s">
        <v>54</v>
      </c>
      <c r="L687" t="s">
        <v>55</v>
      </c>
      <c r="O687" t="s">
        <v>82</v>
      </c>
      <c r="P687" t="s">
        <v>83</v>
      </c>
      <c r="Q687">
        <v>36314.720000000001</v>
      </c>
      <c r="R687">
        <v>-32.94</v>
      </c>
      <c r="S687" t="s">
        <v>2895</v>
      </c>
      <c r="T687" t="s">
        <v>2896</v>
      </c>
      <c r="U687" t="s">
        <v>2897</v>
      </c>
    </row>
    <row r="688" spans="1:21">
      <c r="A688" t="s">
        <v>1476</v>
      </c>
      <c r="B688" s="7">
        <v>46176</v>
      </c>
      <c r="C688" s="8">
        <v>0.89817129629629633</v>
      </c>
      <c r="D688" t="s">
        <v>17</v>
      </c>
      <c r="E688" t="s">
        <v>2</v>
      </c>
      <c r="F688" t="s">
        <v>50</v>
      </c>
      <c r="G688" t="s">
        <v>51</v>
      </c>
      <c r="H688">
        <v>4.82</v>
      </c>
      <c r="I688" t="s">
        <v>52</v>
      </c>
      <c r="J688" t="s">
        <v>53</v>
      </c>
      <c r="K688" t="s">
        <v>54</v>
      </c>
      <c r="L688" t="s">
        <v>55</v>
      </c>
      <c r="O688" t="s">
        <v>56</v>
      </c>
      <c r="P688" t="s">
        <v>57</v>
      </c>
      <c r="Q688">
        <v>36256.03</v>
      </c>
      <c r="R688">
        <v>-4.82</v>
      </c>
      <c r="S688" t="s">
        <v>2895</v>
      </c>
      <c r="T688" t="s">
        <v>2896</v>
      </c>
      <c r="U688" t="s">
        <v>2897</v>
      </c>
    </row>
    <row r="689" spans="1:21">
      <c r="A689" t="s">
        <v>1478</v>
      </c>
      <c r="B689" s="7">
        <v>46177</v>
      </c>
      <c r="C689" s="8">
        <v>0.46614583333333331</v>
      </c>
      <c r="D689" t="s">
        <v>17</v>
      </c>
      <c r="E689" t="s">
        <v>2</v>
      </c>
      <c r="F689" t="s">
        <v>50</v>
      </c>
      <c r="G689" t="s">
        <v>51</v>
      </c>
      <c r="H689">
        <v>56.63</v>
      </c>
      <c r="I689" t="s">
        <v>52</v>
      </c>
      <c r="J689" t="s">
        <v>81</v>
      </c>
      <c r="K689" t="s">
        <v>54</v>
      </c>
      <c r="L689" t="s">
        <v>55</v>
      </c>
      <c r="O689" t="s">
        <v>82</v>
      </c>
      <c r="P689" t="s">
        <v>83</v>
      </c>
      <c r="Q689">
        <v>36180.79</v>
      </c>
      <c r="R689">
        <v>-56.63</v>
      </c>
      <c r="S689" t="s">
        <v>2895</v>
      </c>
      <c r="T689" t="s">
        <v>2896</v>
      </c>
      <c r="U689" t="s">
        <v>2897</v>
      </c>
    </row>
    <row r="690" spans="1:21">
      <c r="A690" t="s">
        <v>1480</v>
      </c>
      <c r="B690" s="7">
        <v>46177</v>
      </c>
      <c r="C690" s="8">
        <v>0.47988425925925926</v>
      </c>
      <c r="D690" t="s">
        <v>17</v>
      </c>
      <c r="E690" t="s">
        <v>2</v>
      </c>
      <c r="F690" t="s">
        <v>50</v>
      </c>
      <c r="G690" t="s">
        <v>100</v>
      </c>
      <c r="H690">
        <v>15</v>
      </c>
      <c r="I690" t="s">
        <v>52</v>
      </c>
      <c r="J690" t="s">
        <v>101</v>
      </c>
      <c r="K690" t="s">
        <v>54</v>
      </c>
      <c r="L690" t="s">
        <v>102</v>
      </c>
      <c r="O690" t="s">
        <v>103</v>
      </c>
      <c r="P690" t="s">
        <v>104</v>
      </c>
      <c r="Q690">
        <v>35978.01</v>
      </c>
      <c r="R690">
        <v>-15</v>
      </c>
      <c r="S690" t="s">
        <v>2895</v>
      </c>
      <c r="T690" t="s">
        <v>2896</v>
      </c>
      <c r="U690" t="s">
        <v>2897</v>
      </c>
    </row>
    <row r="691" spans="1:21">
      <c r="A691" t="s">
        <v>1482</v>
      </c>
      <c r="B691" s="7">
        <v>46177</v>
      </c>
      <c r="C691" s="8">
        <v>0.5355092592592593</v>
      </c>
      <c r="D691" t="s">
        <v>17</v>
      </c>
      <c r="E691" t="s">
        <v>2</v>
      </c>
      <c r="F691" t="s">
        <v>50</v>
      </c>
      <c r="G691" t="s">
        <v>100</v>
      </c>
      <c r="H691">
        <v>15</v>
      </c>
      <c r="I691" t="s">
        <v>52</v>
      </c>
      <c r="J691" t="s">
        <v>101</v>
      </c>
      <c r="K691" t="s">
        <v>54</v>
      </c>
      <c r="L691" t="s">
        <v>102</v>
      </c>
      <c r="O691" t="s">
        <v>103</v>
      </c>
      <c r="P691" t="s">
        <v>104</v>
      </c>
      <c r="Q691">
        <v>35938.199999999997</v>
      </c>
      <c r="R691">
        <v>-15</v>
      </c>
      <c r="S691" t="s">
        <v>2895</v>
      </c>
      <c r="T691" t="s">
        <v>2896</v>
      </c>
      <c r="U691" t="s">
        <v>2897</v>
      </c>
    </row>
    <row r="692" spans="1:21">
      <c r="A692" t="s">
        <v>1484</v>
      </c>
      <c r="B692" s="7">
        <v>46177</v>
      </c>
      <c r="C692" s="8">
        <v>0.53739583333333329</v>
      </c>
      <c r="D692" t="s">
        <v>17</v>
      </c>
      <c r="E692" t="s">
        <v>2</v>
      </c>
      <c r="F692" t="s">
        <v>50</v>
      </c>
      <c r="G692" t="s">
        <v>51</v>
      </c>
      <c r="H692">
        <v>30.52</v>
      </c>
      <c r="I692" t="s">
        <v>52</v>
      </c>
      <c r="J692" t="s">
        <v>126</v>
      </c>
      <c r="K692" t="s">
        <v>54</v>
      </c>
      <c r="L692" t="s">
        <v>55</v>
      </c>
      <c r="O692" t="s">
        <v>56</v>
      </c>
      <c r="P692" t="s">
        <v>57</v>
      </c>
      <c r="Q692">
        <v>35993.01</v>
      </c>
      <c r="R692">
        <v>-30.52</v>
      </c>
      <c r="S692" t="s">
        <v>2895</v>
      </c>
      <c r="T692" t="s">
        <v>2896</v>
      </c>
      <c r="U692" t="s">
        <v>2897</v>
      </c>
    </row>
    <row r="693" spans="1:21">
      <c r="A693" t="s">
        <v>1486</v>
      </c>
      <c r="B693" s="7">
        <v>46177</v>
      </c>
      <c r="C693" s="8">
        <v>0.54274305555555558</v>
      </c>
      <c r="D693" t="s">
        <v>17</v>
      </c>
      <c r="E693" t="s">
        <v>2</v>
      </c>
      <c r="F693" t="s">
        <v>50</v>
      </c>
      <c r="G693" t="s">
        <v>51</v>
      </c>
      <c r="H693">
        <v>24.81</v>
      </c>
      <c r="I693" t="s">
        <v>52</v>
      </c>
      <c r="J693" t="s">
        <v>60</v>
      </c>
      <c r="K693" t="s">
        <v>54</v>
      </c>
      <c r="L693" t="s">
        <v>55</v>
      </c>
      <c r="O693" t="s">
        <v>61</v>
      </c>
      <c r="P693" t="s">
        <v>62</v>
      </c>
      <c r="Q693">
        <v>35953.199999999997</v>
      </c>
      <c r="R693">
        <v>-24.81</v>
      </c>
      <c r="S693" t="s">
        <v>2895</v>
      </c>
      <c r="T693" t="s">
        <v>2896</v>
      </c>
      <c r="U693" t="s">
        <v>2897</v>
      </c>
    </row>
    <row r="694" spans="1:21">
      <c r="A694" t="s">
        <v>1488</v>
      </c>
      <c r="B694" s="7">
        <v>46177</v>
      </c>
      <c r="C694" s="8">
        <v>0.66876157407407411</v>
      </c>
      <c r="D694" t="s">
        <v>17</v>
      </c>
      <c r="E694" t="s">
        <v>2</v>
      </c>
      <c r="F694" t="s">
        <v>50</v>
      </c>
      <c r="G694" t="s">
        <v>51</v>
      </c>
      <c r="H694">
        <v>45.28</v>
      </c>
      <c r="I694" t="s">
        <v>52</v>
      </c>
      <c r="J694" t="s">
        <v>81</v>
      </c>
      <c r="K694" t="s">
        <v>54</v>
      </c>
      <c r="L694" t="s">
        <v>55</v>
      </c>
      <c r="O694" t="s">
        <v>82</v>
      </c>
      <c r="P694" t="s">
        <v>83</v>
      </c>
      <c r="Q694">
        <v>35892.92</v>
      </c>
      <c r="R694">
        <v>-45.28</v>
      </c>
      <c r="S694" t="s">
        <v>2895</v>
      </c>
      <c r="T694" t="s">
        <v>2896</v>
      </c>
      <c r="U694" t="s">
        <v>2897</v>
      </c>
    </row>
    <row r="695" spans="1:21">
      <c r="A695" t="s">
        <v>1490</v>
      </c>
      <c r="B695" s="7">
        <v>46177</v>
      </c>
      <c r="C695" s="8">
        <v>0.73375000000000001</v>
      </c>
      <c r="D695" t="s">
        <v>17</v>
      </c>
      <c r="E695" t="s">
        <v>2</v>
      </c>
      <c r="F695" t="s">
        <v>50</v>
      </c>
      <c r="G695" t="s">
        <v>51</v>
      </c>
      <c r="H695">
        <v>107.34</v>
      </c>
      <c r="I695" t="s">
        <v>52</v>
      </c>
      <c r="J695" t="s">
        <v>65</v>
      </c>
      <c r="K695" t="s">
        <v>54</v>
      </c>
      <c r="L695" t="s">
        <v>55</v>
      </c>
      <c r="O695" t="s">
        <v>66</v>
      </c>
      <c r="P695" t="s">
        <v>67</v>
      </c>
      <c r="Q695">
        <v>36023.53</v>
      </c>
      <c r="R695">
        <v>-107.34</v>
      </c>
      <c r="S695" t="s">
        <v>2895</v>
      </c>
      <c r="T695" t="s">
        <v>2896</v>
      </c>
      <c r="U695" t="s">
        <v>2897</v>
      </c>
    </row>
    <row r="696" spans="1:21">
      <c r="A696" t="s">
        <v>1492</v>
      </c>
      <c r="B696" s="7">
        <v>46177</v>
      </c>
      <c r="C696" s="8">
        <v>0.74903935185185189</v>
      </c>
      <c r="D696" t="s">
        <v>17</v>
      </c>
      <c r="E696" t="s">
        <v>2</v>
      </c>
      <c r="F696" t="s">
        <v>50</v>
      </c>
      <c r="G696" t="s">
        <v>51</v>
      </c>
      <c r="H696">
        <v>49.92</v>
      </c>
      <c r="I696" t="s">
        <v>52</v>
      </c>
      <c r="J696" t="s">
        <v>81</v>
      </c>
      <c r="K696" t="s">
        <v>54</v>
      </c>
      <c r="L696" t="s">
        <v>55</v>
      </c>
      <c r="O696" t="s">
        <v>82</v>
      </c>
      <c r="P696" t="s">
        <v>83</v>
      </c>
      <c r="Q696">
        <v>36130.870000000003</v>
      </c>
      <c r="R696">
        <v>-49.92</v>
      </c>
      <c r="S696" t="s">
        <v>2895</v>
      </c>
      <c r="T696" t="s">
        <v>2896</v>
      </c>
      <c r="U696" t="s">
        <v>2897</v>
      </c>
    </row>
    <row r="697" spans="1:21">
      <c r="A697" t="s">
        <v>1494</v>
      </c>
      <c r="B697" s="7">
        <v>46177</v>
      </c>
      <c r="C697" s="8">
        <v>0.95512731481481483</v>
      </c>
      <c r="D697" t="s">
        <v>17</v>
      </c>
      <c r="E697" t="s">
        <v>2</v>
      </c>
      <c r="F697" t="s">
        <v>149</v>
      </c>
      <c r="G697" t="s">
        <v>72</v>
      </c>
      <c r="H697">
        <v>143.9</v>
      </c>
      <c r="I697" t="s">
        <v>52</v>
      </c>
      <c r="J697" t="s">
        <v>611</v>
      </c>
      <c r="K697" t="s">
        <v>54</v>
      </c>
      <c r="L697" t="s">
        <v>74</v>
      </c>
      <c r="O697" t="s">
        <v>75</v>
      </c>
      <c r="P697" t="s">
        <v>76</v>
      </c>
      <c r="Q697">
        <v>36036.82</v>
      </c>
      <c r="R697">
        <v>143.9</v>
      </c>
      <c r="S697" t="s">
        <v>2895</v>
      </c>
      <c r="T697" t="s">
        <v>2896</v>
      </c>
      <c r="U697" t="s">
        <v>2897</v>
      </c>
    </row>
    <row r="698" spans="1:21">
      <c r="A698" t="s">
        <v>1496</v>
      </c>
      <c r="B698" s="7">
        <v>46178</v>
      </c>
      <c r="C698" s="8">
        <v>0.28097222222222223</v>
      </c>
      <c r="D698" t="s">
        <v>17</v>
      </c>
      <c r="E698" t="s">
        <v>2</v>
      </c>
      <c r="F698" t="s">
        <v>50</v>
      </c>
      <c r="G698" t="s">
        <v>51</v>
      </c>
      <c r="H698">
        <v>5.78</v>
      </c>
      <c r="I698" t="s">
        <v>52</v>
      </c>
      <c r="J698" t="s">
        <v>53</v>
      </c>
      <c r="K698" t="s">
        <v>54</v>
      </c>
      <c r="L698" t="s">
        <v>55</v>
      </c>
      <c r="O698" t="s">
        <v>56</v>
      </c>
      <c r="P698" t="s">
        <v>57</v>
      </c>
      <c r="Q698">
        <v>35935.269999999997</v>
      </c>
      <c r="R698">
        <v>-5.78</v>
      </c>
      <c r="S698" t="s">
        <v>2895</v>
      </c>
      <c r="T698" t="s">
        <v>2896</v>
      </c>
      <c r="U698" t="s">
        <v>2897</v>
      </c>
    </row>
    <row r="699" spans="1:21">
      <c r="A699" t="s">
        <v>1498</v>
      </c>
      <c r="B699" s="7">
        <v>46178</v>
      </c>
      <c r="C699" s="8">
        <v>0.29974537037037036</v>
      </c>
      <c r="D699" t="s">
        <v>17</v>
      </c>
      <c r="E699" t="s">
        <v>2</v>
      </c>
      <c r="F699" t="s">
        <v>50</v>
      </c>
      <c r="G699" t="s">
        <v>51</v>
      </c>
      <c r="H699">
        <v>19.16</v>
      </c>
      <c r="I699" t="s">
        <v>52</v>
      </c>
      <c r="J699" t="s">
        <v>121</v>
      </c>
      <c r="K699" t="s">
        <v>54</v>
      </c>
      <c r="L699" t="s">
        <v>55</v>
      </c>
      <c r="O699" t="s">
        <v>122</v>
      </c>
      <c r="P699" t="s">
        <v>123</v>
      </c>
      <c r="Q699">
        <v>35916.11</v>
      </c>
      <c r="R699">
        <v>-19.16</v>
      </c>
      <c r="S699" t="s">
        <v>2895</v>
      </c>
      <c r="T699" t="s">
        <v>2896</v>
      </c>
      <c r="U699" t="s">
        <v>2897</v>
      </c>
    </row>
    <row r="700" spans="1:21">
      <c r="A700" t="s">
        <v>1500</v>
      </c>
      <c r="B700" s="7">
        <v>46178</v>
      </c>
      <c r="C700" s="8">
        <v>0.47521990740740738</v>
      </c>
      <c r="D700" t="s">
        <v>17</v>
      </c>
      <c r="E700" t="s">
        <v>2</v>
      </c>
      <c r="F700" t="s">
        <v>50</v>
      </c>
      <c r="G700" t="s">
        <v>51</v>
      </c>
      <c r="H700">
        <v>19.61</v>
      </c>
      <c r="I700" t="s">
        <v>52</v>
      </c>
      <c r="J700" t="s">
        <v>81</v>
      </c>
      <c r="K700" t="s">
        <v>54</v>
      </c>
      <c r="L700" t="s">
        <v>55</v>
      </c>
      <c r="O700" t="s">
        <v>82</v>
      </c>
      <c r="P700" t="s">
        <v>83</v>
      </c>
      <c r="Q700">
        <v>35941.050000000003</v>
      </c>
      <c r="R700">
        <v>-19.61</v>
      </c>
      <c r="S700" t="s">
        <v>2895</v>
      </c>
      <c r="T700" t="s">
        <v>2896</v>
      </c>
      <c r="U700" t="s">
        <v>2897</v>
      </c>
    </row>
    <row r="701" spans="1:21">
      <c r="A701" t="s">
        <v>1502</v>
      </c>
      <c r="B701" s="7">
        <v>46178</v>
      </c>
      <c r="C701" s="8">
        <v>0.48998842592592595</v>
      </c>
      <c r="D701" t="s">
        <v>17</v>
      </c>
      <c r="E701" t="s">
        <v>2</v>
      </c>
      <c r="F701" t="s">
        <v>50</v>
      </c>
      <c r="G701" t="s">
        <v>100</v>
      </c>
      <c r="H701">
        <v>15</v>
      </c>
      <c r="I701" t="s">
        <v>52</v>
      </c>
      <c r="J701" t="s">
        <v>101</v>
      </c>
      <c r="K701" t="s">
        <v>54</v>
      </c>
      <c r="L701" t="s">
        <v>102</v>
      </c>
      <c r="O701" t="s">
        <v>103</v>
      </c>
      <c r="P701" t="s">
        <v>104</v>
      </c>
      <c r="Q701">
        <v>35960.660000000003</v>
      </c>
      <c r="R701">
        <v>-15</v>
      </c>
      <c r="S701" t="s">
        <v>2895</v>
      </c>
      <c r="T701" t="s">
        <v>2896</v>
      </c>
      <c r="U701" t="s">
        <v>2897</v>
      </c>
    </row>
    <row r="702" spans="1:21">
      <c r="A702" t="s">
        <v>1504</v>
      </c>
      <c r="B702" s="7">
        <v>46178</v>
      </c>
      <c r="C702" s="8">
        <v>0.55717592592592591</v>
      </c>
      <c r="D702" t="s">
        <v>17</v>
      </c>
      <c r="E702" t="s">
        <v>2</v>
      </c>
      <c r="F702" t="s">
        <v>50</v>
      </c>
      <c r="G702" t="s">
        <v>72</v>
      </c>
      <c r="H702">
        <v>139.25</v>
      </c>
      <c r="I702" t="s">
        <v>52</v>
      </c>
      <c r="J702" t="s">
        <v>73</v>
      </c>
      <c r="K702" t="s">
        <v>54</v>
      </c>
      <c r="L702" t="s">
        <v>74</v>
      </c>
      <c r="O702" t="s">
        <v>75</v>
      </c>
      <c r="P702" t="s">
        <v>76</v>
      </c>
      <c r="Q702">
        <v>35720.97</v>
      </c>
      <c r="R702">
        <v>-139.25</v>
      </c>
      <c r="S702" t="s">
        <v>2895</v>
      </c>
      <c r="T702" t="s">
        <v>2896</v>
      </c>
      <c r="U702" t="s">
        <v>2897</v>
      </c>
    </row>
    <row r="703" spans="1:21">
      <c r="A703" t="s">
        <v>1506</v>
      </c>
      <c r="B703" s="7">
        <v>46178</v>
      </c>
      <c r="C703" s="8">
        <v>0.56986111111111115</v>
      </c>
      <c r="D703" t="s">
        <v>17</v>
      </c>
      <c r="E703" t="s">
        <v>2</v>
      </c>
      <c r="F703" t="s">
        <v>50</v>
      </c>
      <c r="G703" t="s">
        <v>51</v>
      </c>
      <c r="H703">
        <v>55.89</v>
      </c>
      <c r="I703" t="s">
        <v>52</v>
      </c>
      <c r="J703" t="s">
        <v>81</v>
      </c>
      <c r="K703" t="s">
        <v>54</v>
      </c>
      <c r="L703" t="s">
        <v>55</v>
      </c>
      <c r="O703" t="s">
        <v>82</v>
      </c>
      <c r="P703" t="s">
        <v>83</v>
      </c>
      <c r="Q703">
        <v>35860.22</v>
      </c>
      <c r="R703">
        <v>-55.89</v>
      </c>
      <c r="S703" t="s">
        <v>2895</v>
      </c>
      <c r="T703" t="s">
        <v>2896</v>
      </c>
      <c r="U703" t="s">
        <v>2897</v>
      </c>
    </row>
    <row r="704" spans="1:21">
      <c r="A704" t="s">
        <v>1508</v>
      </c>
      <c r="B704" s="7">
        <v>46178</v>
      </c>
      <c r="C704" s="8">
        <v>0.68009259259259258</v>
      </c>
      <c r="D704" t="s">
        <v>17</v>
      </c>
      <c r="E704" t="s">
        <v>2</v>
      </c>
      <c r="F704" t="s">
        <v>50</v>
      </c>
      <c r="G704" t="s">
        <v>51</v>
      </c>
      <c r="H704">
        <v>14.13</v>
      </c>
      <c r="I704" t="s">
        <v>52</v>
      </c>
      <c r="J704" t="s">
        <v>121</v>
      </c>
      <c r="K704" t="s">
        <v>54</v>
      </c>
      <c r="L704" t="s">
        <v>55</v>
      </c>
      <c r="O704" t="s">
        <v>122</v>
      </c>
      <c r="P704" t="s">
        <v>123</v>
      </c>
      <c r="Q704">
        <v>36022.69</v>
      </c>
      <c r="R704">
        <v>-14.13</v>
      </c>
      <c r="S704" t="s">
        <v>2895</v>
      </c>
      <c r="T704" t="s">
        <v>2896</v>
      </c>
      <c r="U704" t="s">
        <v>2897</v>
      </c>
    </row>
    <row r="705" spans="1:21">
      <c r="A705" t="s">
        <v>1510</v>
      </c>
      <c r="B705" s="7">
        <v>46178</v>
      </c>
      <c r="C705" s="8">
        <v>0.82685185185185184</v>
      </c>
      <c r="D705" t="s">
        <v>17</v>
      </c>
      <c r="E705" t="s">
        <v>2</v>
      </c>
      <c r="F705" t="s">
        <v>50</v>
      </c>
      <c r="G705" t="s">
        <v>51</v>
      </c>
      <c r="H705">
        <v>47.03</v>
      </c>
      <c r="I705" t="s">
        <v>52</v>
      </c>
      <c r="J705" t="s">
        <v>126</v>
      </c>
      <c r="K705" t="s">
        <v>54</v>
      </c>
      <c r="L705" t="s">
        <v>55</v>
      </c>
      <c r="O705" t="s">
        <v>56</v>
      </c>
      <c r="P705" t="s">
        <v>57</v>
      </c>
      <c r="Q705">
        <v>35975.660000000003</v>
      </c>
      <c r="R705">
        <v>-47.03</v>
      </c>
      <c r="S705" t="s">
        <v>2895</v>
      </c>
      <c r="T705" t="s">
        <v>2896</v>
      </c>
      <c r="U705" t="s">
        <v>2897</v>
      </c>
    </row>
    <row r="706" spans="1:21">
      <c r="A706" t="s">
        <v>1512</v>
      </c>
      <c r="B706" s="7">
        <v>46179</v>
      </c>
      <c r="C706" s="8">
        <v>0.40694444444444444</v>
      </c>
      <c r="D706" t="s">
        <v>17</v>
      </c>
      <c r="E706" t="s">
        <v>2</v>
      </c>
      <c r="F706" t="s">
        <v>50</v>
      </c>
      <c r="G706" t="s">
        <v>51</v>
      </c>
      <c r="H706">
        <v>39.520000000000003</v>
      </c>
      <c r="I706" t="s">
        <v>52</v>
      </c>
      <c r="J706" t="s">
        <v>60</v>
      </c>
      <c r="K706" t="s">
        <v>54</v>
      </c>
      <c r="L706" t="s">
        <v>55</v>
      </c>
      <c r="O706" t="s">
        <v>61</v>
      </c>
      <c r="P706" t="s">
        <v>62</v>
      </c>
      <c r="Q706">
        <v>35650.230000000003</v>
      </c>
      <c r="R706">
        <v>-39.520000000000003</v>
      </c>
      <c r="S706" t="s">
        <v>2895</v>
      </c>
      <c r="T706" t="s">
        <v>2896</v>
      </c>
      <c r="U706" t="s">
        <v>2897</v>
      </c>
    </row>
    <row r="707" spans="1:21">
      <c r="A707" t="s">
        <v>1514</v>
      </c>
      <c r="B707" s="7">
        <v>46179</v>
      </c>
      <c r="C707" s="8">
        <v>0.59253472222222225</v>
      </c>
      <c r="D707" t="s">
        <v>17</v>
      </c>
      <c r="E707" t="s">
        <v>2</v>
      </c>
      <c r="F707" t="s">
        <v>50</v>
      </c>
      <c r="G707" t="s">
        <v>51</v>
      </c>
      <c r="H707">
        <v>31.22</v>
      </c>
      <c r="I707" t="s">
        <v>52</v>
      </c>
      <c r="J707" t="s">
        <v>81</v>
      </c>
      <c r="K707" t="s">
        <v>54</v>
      </c>
      <c r="L707" t="s">
        <v>55</v>
      </c>
      <c r="O707" t="s">
        <v>82</v>
      </c>
      <c r="P707" t="s">
        <v>83</v>
      </c>
      <c r="Q707">
        <v>35689.75</v>
      </c>
      <c r="R707">
        <v>-31.22</v>
      </c>
      <c r="S707" t="s">
        <v>2895</v>
      </c>
      <c r="T707" t="s">
        <v>2896</v>
      </c>
      <c r="U707" t="s">
        <v>2897</v>
      </c>
    </row>
    <row r="708" spans="1:21">
      <c r="A708" t="s">
        <v>1516</v>
      </c>
      <c r="B708" s="7">
        <v>46179</v>
      </c>
      <c r="C708" s="8">
        <v>0.76567129629629627</v>
      </c>
      <c r="D708" t="s">
        <v>17</v>
      </c>
      <c r="E708" t="s">
        <v>2</v>
      </c>
      <c r="F708" t="s">
        <v>50</v>
      </c>
      <c r="G708" t="s">
        <v>51</v>
      </c>
      <c r="H708">
        <v>12.37</v>
      </c>
      <c r="I708" t="s">
        <v>52</v>
      </c>
      <c r="J708" t="s">
        <v>121</v>
      </c>
      <c r="K708" t="s">
        <v>54</v>
      </c>
      <c r="L708" t="s">
        <v>55</v>
      </c>
      <c r="O708" t="s">
        <v>122</v>
      </c>
      <c r="P708" t="s">
        <v>123</v>
      </c>
      <c r="Q708">
        <v>35570.85</v>
      </c>
      <c r="R708">
        <v>-12.37</v>
      </c>
      <c r="S708" t="s">
        <v>2895</v>
      </c>
      <c r="T708" t="s">
        <v>2896</v>
      </c>
      <c r="U708" t="s">
        <v>2897</v>
      </c>
    </row>
    <row r="709" spans="1:21">
      <c r="A709" t="s">
        <v>1518</v>
      </c>
      <c r="B709" s="7">
        <v>46179</v>
      </c>
      <c r="C709" s="8">
        <v>0.79925925925925922</v>
      </c>
      <c r="D709" t="s">
        <v>17</v>
      </c>
      <c r="E709" t="s">
        <v>2</v>
      </c>
      <c r="F709" t="s">
        <v>50</v>
      </c>
      <c r="G709" t="s">
        <v>51</v>
      </c>
      <c r="H709">
        <v>67.010000000000005</v>
      </c>
      <c r="I709" t="s">
        <v>52</v>
      </c>
      <c r="J709" t="s">
        <v>65</v>
      </c>
      <c r="K709" t="s">
        <v>54</v>
      </c>
      <c r="L709" t="s">
        <v>55</v>
      </c>
      <c r="O709" t="s">
        <v>66</v>
      </c>
      <c r="P709" t="s">
        <v>67</v>
      </c>
      <c r="Q709">
        <v>35583.22</v>
      </c>
      <c r="R709">
        <v>-67.010000000000005</v>
      </c>
      <c r="S709" t="s">
        <v>2895</v>
      </c>
      <c r="T709" t="s">
        <v>2896</v>
      </c>
      <c r="U709" t="s">
        <v>2897</v>
      </c>
    </row>
    <row r="710" spans="1:21">
      <c r="A710" t="s">
        <v>1520</v>
      </c>
      <c r="B710" s="7">
        <v>46179</v>
      </c>
      <c r="C710" s="8">
        <v>0.91035879629629635</v>
      </c>
      <c r="D710" t="s">
        <v>17</v>
      </c>
      <c r="E710" t="s">
        <v>2</v>
      </c>
      <c r="F710" t="s">
        <v>50</v>
      </c>
      <c r="G710" t="s">
        <v>51</v>
      </c>
      <c r="H710">
        <v>4.93</v>
      </c>
      <c r="I710" t="s">
        <v>52</v>
      </c>
      <c r="J710" t="s">
        <v>121</v>
      </c>
      <c r="K710" t="s">
        <v>54</v>
      </c>
      <c r="L710" t="s">
        <v>55</v>
      </c>
      <c r="O710" t="s">
        <v>122</v>
      </c>
      <c r="P710" t="s">
        <v>123</v>
      </c>
      <c r="Q710">
        <v>35565.919999999998</v>
      </c>
      <c r="R710">
        <v>-4.93</v>
      </c>
      <c r="S710" t="s">
        <v>2895</v>
      </c>
      <c r="T710" t="s">
        <v>2896</v>
      </c>
      <c r="U710" t="s">
        <v>2897</v>
      </c>
    </row>
    <row r="711" spans="1:21">
      <c r="A711" t="s">
        <v>1522</v>
      </c>
      <c r="B711" s="7">
        <v>46180</v>
      </c>
      <c r="C711" s="8">
        <v>0.30417824074074074</v>
      </c>
      <c r="D711" t="s">
        <v>17</v>
      </c>
      <c r="E711" t="s">
        <v>2</v>
      </c>
      <c r="F711" t="s">
        <v>50</v>
      </c>
      <c r="G711" t="s">
        <v>51</v>
      </c>
      <c r="H711">
        <v>26.05</v>
      </c>
      <c r="I711" t="s">
        <v>52</v>
      </c>
      <c r="J711" t="s">
        <v>126</v>
      </c>
      <c r="K711" t="s">
        <v>54</v>
      </c>
      <c r="L711" t="s">
        <v>55</v>
      </c>
      <c r="O711" t="s">
        <v>56</v>
      </c>
      <c r="P711" t="s">
        <v>57</v>
      </c>
      <c r="Q711">
        <v>35539.870000000003</v>
      </c>
      <c r="R711">
        <v>-26.05</v>
      </c>
      <c r="S711" t="s">
        <v>2895</v>
      </c>
      <c r="T711" t="s">
        <v>2896</v>
      </c>
      <c r="U711" t="s">
        <v>2897</v>
      </c>
    </row>
    <row r="712" spans="1:21">
      <c r="A712" t="s">
        <v>1524</v>
      </c>
      <c r="B712" s="7">
        <v>46180</v>
      </c>
      <c r="C712" s="8">
        <v>0.34835648148148146</v>
      </c>
      <c r="D712" t="s">
        <v>17</v>
      </c>
      <c r="E712" t="s">
        <v>2</v>
      </c>
      <c r="F712" t="s">
        <v>50</v>
      </c>
      <c r="G712" t="s">
        <v>100</v>
      </c>
      <c r="H712">
        <v>24.13</v>
      </c>
      <c r="I712" t="s">
        <v>52</v>
      </c>
      <c r="J712" t="s">
        <v>114</v>
      </c>
      <c r="K712" t="s">
        <v>54</v>
      </c>
      <c r="L712" t="s">
        <v>102</v>
      </c>
      <c r="O712" t="s">
        <v>103</v>
      </c>
      <c r="P712" t="s">
        <v>104</v>
      </c>
      <c r="Q712">
        <v>35450.639999999999</v>
      </c>
      <c r="R712">
        <v>-24.13</v>
      </c>
      <c r="S712" t="s">
        <v>2895</v>
      </c>
      <c r="T712" t="s">
        <v>2896</v>
      </c>
      <c r="U712" t="s">
        <v>2897</v>
      </c>
    </row>
    <row r="713" spans="1:21">
      <c r="A713" t="s">
        <v>1525</v>
      </c>
      <c r="B713" s="7">
        <v>46180</v>
      </c>
      <c r="C713" s="8">
        <v>0.37802083333333331</v>
      </c>
      <c r="D713" t="s">
        <v>17</v>
      </c>
      <c r="E713" t="s">
        <v>2</v>
      </c>
      <c r="F713" t="s">
        <v>50</v>
      </c>
      <c r="G713" t="s">
        <v>51</v>
      </c>
      <c r="H713">
        <v>21.58</v>
      </c>
      <c r="I713" t="s">
        <v>52</v>
      </c>
      <c r="J713" t="s">
        <v>81</v>
      </c>
      <c r="K713" t="s">
        <v>54</v>
      </c>
      <c r="L713" t="s">
        <v>55</v>
      </c>
      <c r="O713" t="s">
        <v>82</v>
      </c>
      <c r="P713" t="s">
        <v>83</v>
      </c>
      <c r="Q713">
        <v>35518.29</v>
      </c>
      <c r="R713">
        <v>-21.58</v>
      </c>
      <c r="S713" t="s">
        <v>2895</v>
      </c>
      <c r="T713" t="s">
        <v>2896</v>
      </c>
      <c r="U713" t="s">
        <v>2897</v>
      </c>
    </row>
    <row r="714" spans="1:21">
      <c r="A714" t="s">
        <v>1527</v>
      </c>
      <c r="B714" s="7">
        <v>46180</v>
      </c>
      <c r="C714" s="8">
        <v>0.38973379629629629</v>
      </c>
      <c r="D714" t="s">
        <v>17</v>
      </c>
      <c r="E714" t="s">
        <v>2</v>
      </c>
      <c r="F714" t="s">
        <v>50</v>
      </c>
      <c r="G714" t="s">
        <v>51</v>
      </c>
      <c r="H714">
        <v>5.98</v>
      </c>
      <c r="I714" t="s">
        <v>52</v>
      </c>
      <c r="J714" t="s">
        <v>121</v>
      </c>
      <c r="K714" t="s">
        <v>54</v>
      </c>
      <c r="L714" t="s">
        <v>55</v>
      </c>
      <c r="O714" t="s">
        <v>122</v>
      </c>
      <c r="P714" t="s">
        <v>123</v>
      </c>
      <c r="Q714">
        <v>35429.660000000003</v>
      </c>
      <c r="R714">
        <v>-5.98</v>
      </c>
      <c r="S714" t="s">
        <v>2895</v>
      </c>
      <c r="T714" t="s">
        <v>2896</v>
      </c>
      <c r="U714" t="s">
        <v>2897</v>
      </c>
    </row>
    <row r="715" spans="1:21">
      <c r="A715" t="s">
        <v>1529</v>
      </c>
      <c r="B715" s="7">
        <v>46180</v>
      </c>
      <c r="C715" s="8">
        <v>0.49032407407407408</v>
      </c>
      <c r="D715" t="s">
        <v>17</v>
      </c>
      <c r="E715" t="s">
        <v>2</v>
      </c>
      <c r="F715" t="s">
        <v>50</v>
      </c>
      <c r="G715" t="s">
        <v>51</v>
      </c>
      <c r="H715">
        <v>43.52</v>
      </c>
      <c r="I715" t="s">
        <v>52</v>
      </c>
      <c r="J715" t="s">
        <v>126</v>
      </c>
      <c r="K715" t="s">
        <v>54</v>
      </c>
      <c r="L715" t="s">
        <v>55</v>
      </c>
      <c r="O715" t="s">
        <v>56</v>
      </c>
      <c r="P715" t="s">
        <v>57</v>
      </c>
      <c r="Q715">
        <v>35474.769999999997</v>
      </c>
      <c r="R715">
        <v>-43.52</v>
      </c>
      <c r="S715" t="s">
        <v>2895</v>
      </c>
      <c r="T715" t="s">
        <v>2896</v>
      </c>
      <c r="U715" t="s">
        <v>2897</v>
      </c>
    </row>
    <row r="716" spans="1:21">
      <c r="A716" t="s">
        <v>1531</v>
      </c>
      <c r="B716" s="7">
        <v>46180</v>
      </c>
      <c r="C716" s="8">
        <v>0.82025462962962958</v>
      </c>
      <c r="D716" t="s">
        <v>17</v>
      </c>
      <c r="E716" t="s">
        <v>2</v>
      </c>
      <c r="F716" t="s">
        <v>50</v>
      </c>
      <c r="G716" t="s">
        <v>100</v>
      </c>
      <c r="H716">
        <v>15</v>
      </c>
      <c r="I716" t="s">
        <v>52</v>
      </c>
      <c r="J716" t="s">
        <v>101</v>
      </c>
      <c r="K716" t="s">
        <v>54</v>
      </c>
      <c r="L716" t="s">
        <v>102</v>
      </c>
      <c r="O716" t="s">
        <v>103</v>
      </c>
      <c r="P716" t="s">
        <v>104</v>
      </c>
      <c r="Q716">
        <v>35435.64</v>
      </c>
      <c r="R716">
        <v>-15</v>
      </c>
      <c r="S716" t="s">
        <v>2895</v>
      </c>
      <c r="T716" t="s">
        <v>2896</v>
      </c>
      <c r="U716" t="s">
        <v>2897</v>
      </c>
    </row>
    <row r="717" spans="1:21">
      <c r="A717" t="s">
        <v>1533</v>
      </c>
      <c r="B717" s="7">
        <v>46181</v>
      </c>
      <c r="C717" s="8">
        <v>0.25914351851851852</v>
      </c>
      <c r="D717" t="s">
        <v>17</v>
      </c>
      <c r="E717" t="s">
        <v>2</v>
      </c>
      <c r="F717" t="s">
        <v>50</v>
      </c>
      <c r="G717" t="s">
        <v>100</v>
      </c>
      <c r="H717">
        <v>15</v>
      </c>
      <c r="I717" t="s">
        <v>52</v>
      </c>
      <c r="J717" t="s">
        <v>101</v>
      </c>
      <c r="K717" t="s">
        <v>54</v>
      </c>
      <c r="L717" t="s">
        <v>102</v>
      </c>
      <c r="O717" t="s">
        <v>103</v>
      </c>
      <c r="P717" t="s">
        <v>104</v>
      </c>
      <c r="Q717">
        <v>35311.589999999997</v>
      </c>
      <c r="R717">
        <v>-15</v>
      </c>
      <c r="S717" t="s">
        <v>2895</v>
      </c>
      <c r="T717" t="s">
        <v>2896</v>
      </c>
      <c r="U717" t="s">
        <v>2897</v>
      </c>
    </row>
    <row r="718" spans="1:21">
      <c r="A718" t="s">
        <v>1535</v>
      </c>
      <c r="B718" s="7">
        <v>46181</v>
      </c>
      <c r="C718" s="8">
        <v>0.37737268518518519</v>
      </c>
      <c r="D718" t="s">
        <v>17</v>
      </c>
      <c r="E718" t="s">
        <v>2</v>
      </c>
      <c r="F718" t="s">
        <v>50</v>
      </c>
      <c r="G718" t="s">
        <v>51</v>
      </c>
      <c r="H718">
        <v>8.16</v>
      </c>
      <c r="I718" t="s">
        <v>52</v>
      </c>
      <c r="J718" t="s">
        <v>53</v>
      </c>
      <c r="K718" t="s">
        <v>54</v>
      </c>
      <c r="L718" t="s">
        <v>55</v>
      </c>
      <c r="O718" t="s">
        <v>56</v>
      </c>
      <c r="P718" t="s">
        <v>57</v>
      </c>
      <c r="Q718">
        <v>35421.5</v>
      </c>
      <c r="R718">
        <v>-8.16</v>
      </c>
      <c r="S718" t="s">
        <v>2895</v>
      </c>
      <c r="T718" t="s">
        <v>2896</v>
      </c>
      <c r="U718" t="s">
        <v>2897</v>
      </c>
    </row>
    <row r="719" spans="1:21">
      <c r="A719" t="s">
        <v>1537</v>
      </c>
      <c r="B719" s="7">
        <v>46181</v>
      </c>
      <c r="C719" s="8">
        <v>0.41901620370370368</v>
      </c>
      <c r="D719" t="s">
        <v>17</v>
      </c>
      <c r="E719" t="s">
        <v>2</v>
      </c>
      <c r="F719" t="s">
        <v>50</v>
      </c>
      <c r="G719" t="s">
        <v>100</v>
      </c>
      <c r="H719">
        <v>22.6</v>
      </c>
      <c r="I719" t="s">
        <v>52</v>
      </c>
      <c r="J719" t="s">
        <v>114</v>
      </c>
      <c r="K719" t="s">
        <v>54</v>
      </c>
      <c r="L719" t="s">
        <v>102</v>
      </c>
      <c r="O719" t="s">
        <v>103</v>
      </c>
      <c r="P719" t="s">
        <v>104</v>
      </c>
      <c r="Q719">
        <v>35398.9</v>
      </c>
      <c r="R719">
        <v>-22.6</v>
      </c>
      <c r="S719" t="s">
        <v>2895</v>
      </c>
      <c r="T719" t="s">
        <v>2896</v>
      </c>
      <c r="U719" t="s">
        <v>2897</v>
      </c>
    </row>
    <row r="720" spans="1:21">
      <c r="A720" t="s">
        <v>1539</v>
      </c>
      <c r="B720" s="7">
        <v>46181</v>
      </c>
      <c r="C720" s="8">
        <v>0.66159722222222217</v>
      </c>
      <c r="D720" t="s">
        <v>17</v>
      </c>
      <c r="E720" t="s">
        <v>2</v>
      </c>
      <c r="F720" t="s">
        <v>50</v>
      </c>
      <c r="G720" t="s">
        <v>51</v>
      </c>
      <c r="H720">
        <v>72.31</v>
      </c>
      <c r="I720" t="s">
        <v>52</v>
      </c>
      <c r="J720" t="s">
        <v>65</v>
      </c>
      <c r="K720" t="s">
        <v>54</v>
      </c>
      <c r="L720" t="s">
        <v>55</v>
      </c>
      <c r="O720" t="s">
        <v>66</v>
      </c>
      <c r="P720" t="s">
        <v>67</v>
      </c>
      <c r="Q720">
        <v>35326.589999999997</v>
      </c>
      <c r="R720">
        <v>-72.31</v>
      </c>
      <c r="S720" t="s">
        <v>2895</v>
      </c>
      <c r="T720" t="s">
        <v>2896</v>
      </c>
      <c r="U720" t="s">
        <v>2897</v>
      </c>
    </row>
    <row r="721" spans="1:21">
      <c r="A721" t="s">
        <v>1541</v>
      </c>
      <c r="B721" s="7">
        <v>46181</v>
      </c>
      <c r="C721" s="8">
        <v>0.75790509259259264</v>
      </c>
      <c r="D721" t="s">
        <v>17</v>
      </c>
      <c r="E721" t="s">
        <v>2</v>
      </c>
      <c r="F721" t="s">
        <v>50</v>
      </c>
      <c r="G721" t="s">
        <v>51</v>
      </c>
      <c r="H721">
        <v>5.28</v>
      </c>
      <c r="I721" t="s">
        <v>52</v>
      </c>
      <c r="J721" t="s">
        <v>53</v>
      </c>
      <c r="K721" t="s">
        <v>54</v>
      </c>
      <c r="L721" t="s">
        <v>55</v>
      </c>
      <c r="O721" t="s">
        <v>56</v>
      </c>
      <c r="P721" t="s">
        <v>57</v>
      </c>
      <c r="Q721">
        <v>35273.64</v>
      </c>
      <c r="R721">
        <v>-5.28</v>
      </c>
      <c r="S721" t="s">
        <v>2895</v>
      </c>
      <c r="T721" t="s">
        <v>2896</v>
      </c>
      <c r="U721" t="s">
        <v>2897</v>
      </c>
    </row>
    <row r="722" spans="1:21">
      <c r="A722" t="s">
        <v>1543</v>
      </c>
      <c r="B722" s="7">
        <v>46181</v>
      </c>
      <c r="C722" s="8">
        <v>0.89718750000000003</v>
      </c>
      <c r="D722" t="s">
        <v>17</v>
      </c>
      <c r="E722" t="s">
        <v>2</v>
      </c>
      <c r="F722" t="s">
        <v>50</v>
      </c>
      <c r="G722" t="s">
        <v>51</v>
      </c>
      <c r="H722">
        <v>14.99</v>
      </c>
      <c r="I722" t="s">
        <v>52</v>
      </c>
      <c r="J722" t="s">
        <v>53</v>
      </c>
      <c r="K722" t="s">
        <v>54</v>
      </c>
      <c r="L722" t="s">
        <v>55</v>
      </c>
      <c r="O722" t="s">
        <v>56</v>
      </c>
      <c r="P722" t="s">
        <v>57</v>
      </c>
      <c r="Q722">
        <v>35278.92</v>
      </c>
      <c r="R722">
        <v>-14.99</v>
      </c>
      <c r="S722" t="s">
        <v>2895</v>
      </c>
      <c r="T722" t="s">
        <v>2896</v>
      </c>
      <c r="U722" t="s">
        <v>2897</v>
      </c>
    </row>
    <row r="723" spans="1:21">
      <c r="A723" t="s">
        <v>1545</v>
      </c>
      <c r="B723" s="7">
        <v>46181</v>
      </c>
      <c r="C723" s="8">
        <v>0.91258101851851847</v>
      </c>
      <c r="D723" t="s">
        <v>17</v>
      </c>
      <c r="E723" t="s">
        <v>2</v>
      </c>
      <c r="F723" t="s">
        <v>50</v>
      </c>
      <c r="G723" t="s">
        <v>51</v>
      </c>
      <c r="H723">
        <v>17.68</v>
      </c>
      <c r="I723" t="s">
        <v>52</v>
      </c>
      <c r="J723" t="s">
        <v>53</v>
      </c>
      <c r="K723" t="s">
        <v>54</v>
      </c>
      <c r="L723" t="s">
        <v>55</v>
      </c>
      <c r="O723" t="s">
        <v>56</v>
      </c>
      <c r="P723" t="s">
        <v>57</v>
      </c>
      <c r="Q723">
        <v>35293.910000000003</v>
      </c>
      <c r="R723">
        <v>-17.68</v>
      </c>
      <c r="S723" t="s">
        <v>2895</v>
      </c>
      <c r="T723" t="s">
        <v>2896</v>
      </c>
      <c r="U723" t="s">
        <v>2897</v>
      </c>
    </row>
    <row r="724" spans="1:21">
      <c r="A724" t="s">
        <v>1547</v>
      </c>
      <c r="B724" s="7">
        <v>46182</v>
      </c>
      <c r="C724" s="8">
        <v>0.31430555555555556</v>
      </c>
      <c r="D724" t="s">
        <v>17</v>
      </c>
      <c r="E724" t="s">
        <v>2</v>
      </c>
      <c r="F724" t="s">
        <v>50</v>
      </c>
      <c r="G724" t="s">
        <v>51</v>
      </c>
      <c r="H724">
        <v>41.74</v>
      </c>
      <c r="I724" t="s">
        <v>52</v>
      </c>
      <c r="J724" t="s">
        <v>60</v>
      </c>
      <c r="K724" t="s">
        <v>54</v>
      </c>
      <c r="L724" t="s">
        <v>55</v>
      </c>
      <c r="O724" t="s">
        <v>61</v>
      </c>
      <c r="P724" t="s">
        <v>62</v>
      </c>
      <c r="Q724">
        <v>35087.279999999999</v>
      </c>
      <c r="R724">
        <v>-41.74</v>
      </c>
      <c r="S724" t="s">
        <v>2895</v>
      </c>
      <c r="T724" t="s">
        <v>2896</v>
      </c>
      <c r="U724" t="s">
        <v>2897</v>
      </c>
    </row>
    <row r="725" spans="1:21">
      <c r="A725" t="s">
        <v>1549</v>
      </c>
      <c r="B725" s="7">
        <v>46182</v>
      </c>
      <c r="C725" s="8">
        <v>0.39480324074074075</v>
      </c>
      <c r="D725" t="s">
        <v>17</v>
      </c>
      <c r="E725" t="s">
        <v>2</v>
      </c>
      <c r="F725" t="s">
        <v>50</v>
      </c>
      <c r="G725" t="s">
        <v>100</v>
      </c>
      <c r="H725">
        <v>141.55000000000001</v>
      </c>
      <c r="I725" t="s">
        <v>52</v>
      </c>
      <c r="J725" t="s">
        <v>177</v>
      </c>
      <c r="K725" t="s">
        <v>54</v>
      </c>
      <c r="L725" t="s">
        <v>102</v>
      </c>
      <c r="O725" t="s">
        <v>178</v>
      </c>
      <c r="P725" t="s">
        <v>179</v>
      </c>
      <c r="Q725">
        <v>42560.2</v>
      </c>
      <c r="R725">
        <v>-141.55000000000001</v>
      </c>
      <c r="S725" t="s">
        <v>2895</v>
      </c>
      <c r="T725" t="s">
        <v>2896</v>
      </c>
      <c r="U725" t="s">
        <v>2897</v>
      </c>
    </row>
    <row r="726" spans="1:21">
      <c r="A726" t="s">
        <v>1551</v>
      </c>
      <c r="B726" s="7">
        <v>46182</v>
      </c>
      <c r="C726" s="8">
        <v>0.42208333333333331</v>
      </c>
      <c r="D726" t="s">
        <v>17</v>
      </c>
      <c r="E726" t="s">
        <v>2</v>
      </c>
      <c r="F726" t="s">
        <v>50</v>
      </c>
      <c r="G726" t="s">
        <v>100</v>
      </c>
      <c r="H726">
        <v>22.01</v>
      </c>
      <c r="I726" t="s">
        <v>52</v>
      </c>
      <c r="J726" t="s">
        <v>114</v>
      </c>
      <c r="K726" t="s">
        <v>54</v>
      </c>
      <c r="L726" t="s">
        <v>102</v>
      </c>
      <c r="O726" t="s">
        <v>103</v>
      </c>
      <c r="P726" t="s">
        <v>104</v>
      </c>
      <c r="Q726">
        <v>35065.269999999997</v>
      </c>
      <c r="R726">
        <v>-22.01</v>
      </c>
      <c r="S726" t="s">
        <v>2895</v>
      </c>
      <c r="T726" t="s">
        <v>2896</v>
      </c>
      <c r="U726" t="s">
        <v>2897</v>
      </c>
    </row>
    <row r="727" spans="1:21">
      <c r="A727" t="s">
        <v>1553</v>
      </c>
      <c r="B727" s="7">
        <v>46182</v>
      </c>
      <c r="C727" s="8">
        <v>0.45050925925925928</v>
      </c>
      <c r="D727" t="s">
        <v>17</v>
      </c>
      <c r="E727" t="s">
        <v>2</v>
      </c>
      <c r="F727" t="s">
        <v>50</v>
      </c>
      <c r="G727" t="s">
        <v>51</v>
      </c>
      <c r="H727">
        <v>11.9</v>
      </c>
      <c r="I727" t="s">
        <v>52</v>
      </c>
      <c r="J727" t="s">
        <v>53</v>
      </c>
      <c r="K727" t="s">
        <v>54</v>
      </c>
      <c r="L727" t="s">
        <v>55</v>
      </c>
      <c r="O727" t="s">
        <v>56</v>
      </c>
      <c r="P727" t="s">
        <v>57</v>
      </c>
      <c r="Q727">
        <v>35210.300000000003</v>
      </c>
      <c r="R727">
        <v>-11.9</v>
      </c>
      <c r="S727" t="s">
        <v>2895</v>
      </c>
      <c r="T727" t="s">
        <v>2896</v>
      </c>
      <c r="U727" t="s">
        <v>2897</v>
      </c>
    </row>
    <row r="728" spans="1:21">
      <c r="A728" t="s">
        <v>1555</v>
      </c>
      <c r="B728" s="7">
        <v>46182</v>
      </c>
      <c r="C728" s="8">
        <v>0.5627199074074074</v>
      </c>
      <c r="D728" t="s">
        <v>17</v>
      </c>
      <c r="E728" t="s">
        <v>2</v>
      </c>
      <c r="F728" t="s">
        <v>50</v>
      </c>
      <c r="G728" t="s">
        <v>100</v>
      </c>
      <c r="H728">
        <v>15</v>
      </c>
      <c r="I728" t="s">
        <v>52</v>
      </c>
      <c r="J728" t="s">
        <v>101</v>
      </c>
      <c r="K728" t="s">
        <v>54</v>
      </c>
      <c r="L728" t="s">
        <v>102</v>
      </c>
      <c r="O728" t="s">
        <v>103</v>
      </c>
      <c r="P728" t="s">
        <v>104</v>
      </c>
      <c r="Q728">
        <v>35129.019999999997</v>
      </c>
      <c r="R728">
        <v>-15</v>
      </c>
      <c r="S728" t="s">
        <v>2895</v>
      </c>
      <c r="T728" t="s">
        <v>2896</v>
      </c>
      <c r="U728" t="s">
        <v>2897</v>
      </c>
    </row>
    <row r="729" spans="1:21">
      <c r="A729" t="s">
        <v>1557</v>
      </c>
      <c r="B729" s="7">
        <v>46182</v>
      </c>
      <c r="C729" s="8">
        <v>0.56600694444444444</v>
      </c>
      <c r="D729" t="s">
        <v>17</v>
      </c>
      <c r="E729" t="s">
        <v>2</v>
      </c>
      <c r="F729" t="s">
        <v>50</v>
      </c>
      <c r="G729" t="s">
        <v>51</v>
      </c>
      <c r="H729">
        <v>21.44</v>
      </c>
      <c r="I729" t="s">
        <v>52</v>
      </c>
      <c r="J729" t="s">
        <v>121</v>
      </c>
      <c r="K729" t="s">
        <v>54</v>
      </c>
      <c r="L729" t="s">
        <v>55</v>
      </c>
      <c r="O729" t="s">
        <v>122</v>
      </c>
      <c r="P729" t="s">
        <v>123</v>
      </c>
      <c r="Q729">
        <v>35162.57</v>
      </c>
      <c r="R729">
        <v>-21.44</v>
      </c>
      <c r="S729" t="s">
        <v>2895</v>
      </c>
      <c r="T729" t="s">
        <v>2896</v>
      </c>
      <c r="U729" t="s">
        <v>2897</v>
      </c>
    </row>
    <row r="730" spans="1:21">
      <c r="A730" t="s">
        <v>1559</v>
      </c>
      <c r="B730" s="7">
        <v>46182</v>
      </c>
      <c r="C730" s="8">
        <v>0.74414351851851857</v>
      </c>
      <c r="D730" t="s">
        <v>17</v>
      </c>
      <c r="E730" t="s">
        <v>2</v>
      </c>
      <c r="F730" t="s">
        <v>50</v>
      </c>
      <c r="G730" t="s">
        <v>51</v>
      </c>
      <c r="H730">
        <v>26.29</v>
      </c>
      <c r="I730" t="s">
        <v>52</v>
      </c>
      <c r="J730" t="s">
        <v>60</v>
      </c>
      <c r="K730" t="s">
        <v>54</v>
      </c>
      <c r="L730" t="s">
        <v>55</v>
      </c>
      <c r="O730" t="s">
        <v>61</v>
      </c>
      <c r="P730" t="s">
        <v>62</v>
      </c>
      <c r="Q730">
        <v>35184.01</v>
      </c>
      <c r="R730">
        <v>-26.29</v>
      </c>
      <c r="S730" t="s">
        <v>2895</v>
      </c>
      <c r="T730" t="s">
        <v>2896</v>
      </c>
      <c r="U730" t="s">
        <v>2897</v>
      </c>
    </row>
    <row r="731" spans="1:21">
      <c r="A731" t="s">
        <v>1561</v>
      </c>
      <c r="B731" s="7">
        <v>46182</v>
      </c>
      <c r="C731" s="8">
        <v>0.81577546296296299</v>
      </c>
      <c r="D731" t="s">
        <v>17</v>
      </c>
      <c r="E731" t="s">
        <v>2</v>
      </c>
      <c r="F731" t="s">
        <v>50</v>
      </c>
      <c r="G731" t="s">
        <v>51</v>
      </c>
      <c r="H731">
        <v>18.55</v>
      </c>
      <c r="I731" t="s">
        <v>52</v>
      </c>
      <c r="J731" t="s">
        <v>121</v>
      </c>
      <c r="K731" t="s">
        <v>54</v>
      </c>
      <c r="L731" t="s">
        <v>55</v>
      </c>
      <c r="O731" t="s">
        <v>122</v>
      </c>
      <c r="P731" t="s">
        <v>123</v>
      </c>
      <c r="Q731">
        <v>35144.019999999997</v>
      </c>
      <c r="R731">
        <v>-18.55</v>
      </c>
      <c r="S731" t="s">
        <v>2895</v>
      </c>
      <c r="T731" t="s">
        <v>2896</v>
      </c>
      <c r="U731" t="s">
        <v>2897</v>
      </c>
    </row>
    <row r="732" spans="1:21">
      <c r="A732" t="s">
        <v>1563</v>
      </c>
      <c r="B732" s="7">
        <v>46182</v>
      </c>
      <c r="C732" s="8">
        <v>0.84460648148148143</v>
      </c>
      <c r="D732" t="s">
        <v>17</v>
      </c>
      <c r="E732" t="s">
        <v>2</v>
      </c>
      <c r="F732" t="s">
        <v>50</v>
      </c>
      <c r="G732" t="s">
        <v>51</v>
      </c>
      <c r="H732">
        <v>51.44</v>
      </c>
      <c r="I732" t="s">
        <v>52</v>
      </c>
      <c r="J732" t="s">
        <v>65</v>
      </c>
      <c r="K732" t="s">
        <v>54</v>
      </c>
      <c r="L732" t="s">
        <v>55</v>
      </c>
      <c r="O732" t="s">
        <v>66</v>
      </c>
      <c r="P732" t="s">
        <v>67</v>
      </c>
      <c r="Q732">
        <v>35222.199999999997</v>
      </c>
      <c r="R732">
        <v>-51.44</v>
      </c>
      <c r="S732" t="s">
        <v>2895</v>
      </c>
      <c r="T732" t="s">
        <v>2896</v>
      </c>
      <c r="U732" t="s">
        <v>2897</v>
      </c>
    </row>
    <row r="733" spans="1:21">
      <c r="A733" t="s">
        <v>1565</v>
      </c>
      <c r="B733" s="7">
        <v>46183</v>
      </c>
      <c r="C733" s="8">
        <v>0.28523148148148147</v>
      </c>
      <c r="D733" t="s">
        <v>17</v>
      </c>
      <c r="E733" t="s">
        <v>2</v>
      </c>
      <c r="F733" t="s">
        <v>50</v>
      </c>
      <c r="G733" t="s">
        <v>51</v>
      </c>
      <c r="H733">
        <v>11.28</v>
      </c>
      <c r="I733" t="s">
        <v>52</v>
      </c>
      <c r="J733" t="s">
        <v>53</v>
      </c>
      <c r="K733" t="s">
        <v>54</v>
      </c>
      <c r="L733" t="s">
        <v>55</v>
      </c>
      <c r="O733" t="s">
        <v>56</v>
      </c>
      <c r="P733" t="s">
        <v>57</v>
      </c>
      <c r="Q733">
        <v>34758.959999999999</v>
      </c>
      <c r="R733">
        <v>-11.28</v>
      </c>
      <c r="S733" t="s">
        <v>2895</v>
      </c>
      <c r="T733" t="s">
        <v>2896</v>
      </c>
      <c r="U733" t="s">
        <v>2897</v>
      </c>
    </row>
    <row r="734" spans="1:21">
      <c r="A734" t="s">
        <v>1567</v>
      </c>
      <c r="B734" s="7">
        <v>46183</v>
      </c>
      <c r="C734" s="8">
        <v>0.39315972222222223</v>
      </c>
      <c r="D734" t="s">
        <v>17</v>
      </c>
      <c r="E734" t="s">
        <v>2</v>
      </c>
      <c r="F734" t="s">
        <v>50</v>
      </c>
      <c r="G734" t="s">
        <v>100</v>
      </c>
      <c r="H734">
        <v>21.73</v>
      </c>
      <c r="I734" t="s">
        <v>52</v>
      </c>
      <c r="J734" t="s">
        <v>114</v>
      </c>
      <c r="K734" t="s">
        <v>54</v>
      </c>
      <c r="L734" t="s">
        <v>102</v>
      </c>
      <c r="O734" t="s">
        <v>103</v>
      </c>
      <c r="P734" t="s">
        <v>104</v>
      </c>
      <c r="Q734">
        <v>34737.230000000003</v>
      </c>
      <c r="R734">
        <v>-21.73</v>
      </c>
      <c r="S734" t="s">
        <v>2895</v>
      </c>
      <c r="T734" t="s">
        <v>2896</v>
      </c>
      <c r="U734" t="s">
        <v>2897</v>
      </c>
    </row>
    <row r="735" spans="1:21">
      <c r="A735" t="s">
        <v>1569</v>
      </c>
      <c r="B735" s="7">
        <v>46183</v>
      </c>
      <c r="C735" s="8">
        <v>0.41604166666666664</v>
      </c>
      <c r="D735" t="s">
        <v>17</v>
      </c>
      <c r="E735" t="s">
        <v>2</v>
      </c>
      <c r="F735" t="s">
        <v>149</v>
      </c>
      <c r="G735" t="s">
        <v>72</v>
      </c>
      <c r="H735">
        <v>174.37</v>
      </c>
      <c r="I735" t="s">
        <v>52</v>
      </c>
      <c r="J735" t="s">
        <v>606</v>
      </c>
      <c r="K735" t="s">
        <v>54</v>
      </c>
      <c r="L735" t="s">
        <v>74</v>
      </c>
      <c r="O735" t="s">
        <v>75</v>
      </c>
      <c r="P735" t="s">
        <v>76</v>
      </c>
      <c r="Q735">
        <v>34911.599999999999</v>
      </c>
      <c r="R735">
        <v>174.37</v>
      </c>
      <c r="S735" t="s">
        <v>2895</v>
      </c>
      <c r="T735" t="s">
        <v>2896</v>
      </c>
      <c r="U735" t="s">
        <v>2897</v>
      </c>
    </row>
    <row r="736" spans="1:21">
      <c r="A736" t="s">
        <v>1571</v>
      </c>
      <c r="B736" s="7">
        <v>46183</v>
      </c>
      <c r="C736" s="8">
        <v>0.41836805555555556</v>
      </c>
      <c r="D736" t="s">
        <v>17</v>
      </c>
      <c r="E736" t="s">
        <v>2</v>
      </c>
      <c r="F736" t="s">
        <v>50</v>
      </c>
      <c r="G736" t="s">
        <v>51</v>
      </c>
      <c r="H736">
        <v>155.91</v>
      </c>
      <c r="I736" t="s">
        <v>52</v>
      </c>
      <c r="J736" t="s">
        <v>196</v>
      </c>
      <c r="K736" t="s">
        <v>54</v>
      </c>
      <c r="L736" t="s">
        <v>55</v>
      </c>
      <c r="O736" t="s">
        <v>197</v>
      </c>
      <c r="P736" t="s">
        <v>198</v>
      </c>
      <c r="Q736">
        <v>34909.360000000001</v>
      </c>
      <c r="R736">
        <v>-155.91</v>
      </c>
      <c r="S736" t="s">
        <v>2895</v>
      </c>
      <c r="T736" t="s">
        <v>2896</v>
      </c>
      <c r="U736" t="s">
        <v>2897</v>
      </c>
    </row>
    <row r="737" spans="1:21">
      <c r="A737" t="s">
        <v>1573</v>
      </c>
      <c r="B737" s="7">
        <v>46183</v>
      </c>
      <c r="C737" s="8">
        <v>0.59789351851851846</v>
      </c>
      <c r="D737" t="s">
        <v>17</v>
      </c>
      <c r="E737" t="s">
        <v>2</v>
      </c>
      <c r="F737" t="s">
        <v>50</v>
      </c>
      <c r="G737" t="s">
        <v>51</v>
      </c>
      <c r="H737">
        <v>41.36</v>
      </c>
      <c r="I737" t="s">
        <v>52</v>
      </c>
      <c r="J737" t="s">
        <v>126</v>
      </c>
      <c r="K737" t="s">
        <v>54</v>
      </c>
      <c r="L737" t="s">
        <v>55</v>
      </c>
      <c r="O737" t="s">
        <v>56</v>
      </c>
      <c r="P737" t="s">
        <v>57</v>
      </c>
      <c r="Q737">
        <v>34796.589999999997</v>
      </c>
      <c r="R737">
        <v>-41.36</v>
      </c>
      <c r="S737" t="s">
        <v>2895</v>
      </c>
      <c r="T737" t="s">
        <v>2896</v>
      </c>
      <c r="U737" t="s">
        <v>2897</v>
      </c>
    </row>
    <row r="738" spans="1:21">
      <c r="A738" t="s">
        <v>1575</v>
      </c>
      <c r="B738" s="7">
        <v>46183</v>
      </c>
      <c r="C738" s="8">
        <v>0.77453703703703702</v>
      </c>
      <c r="D738" t="s">
        <v>17</v>
      </c>
      <c r="E738" t="s">
        <v>2</v>
      </c>
      <c r="F738" t="s">
        <v>50</v>
      </c>
      <c r="G738" t="s">
        <v>51</v>
      </c>
      <c r="H738">
        <v>26.35</v>
      </c>
      <c r="I738" t="s">
        <v>52</v>
      </c>
      <c r="J738" t="s">
        <v>60</v>
      </c>
      <c r="K738" t="s">
        <v>54</v>
      </c>
      <c r="L738" t="s">
        <v>55</v>
      </c>
      <c r="O738" t="s">
        <v>61</v>
      </c>
      <c r="P738" t="s">
        <v>62</v>
      </c>
      <c r="Q738">
        <v>34770.239999999998</v>
      </c>
      <c r="R738">
        <v>-26.35</v>
      </c>
      <c r="S738" t="s">
        <v>2895</v>
      </c>
      <c r="T738" t="s">
        <v>2896</v>
      </c>
      <c r="U738" t="s">
        <v>2897</v>
      </c>
    </row>
    <row r="739" spans="1:21">
      <c r="A739" t="s">
        <v>1577</v>
      </c>
      <c r="B739" s="7">
        <v>46183</v>
      </c>
      <c r="C739" s="8">
        <v>0.80060185185185184</v>
      </c>
      <c r="D739" t="s">
        <v>17</v>
      </c>
      <c r="E739" t="s">
        <v>2</v>
      </c>
      <c r="F739" t="s">
        <v>50</v>
      </c>
      <c r="G739" t="s">
        <v>51</v>
      </c>
      <c r="H739">
        <v>71.41</v>
      </c>
      <c r="I739" t="s">
        <v>52</v>
      </c>
      <c r="J739" t="s">
        <v>60</v>
      </c>
      <c r="K739" t="s">
        <v>54</v>
      </c>
      <c r="L739" t="s">
        <v>55</v>
      </c>
      <c r="O739" t="s">
        <v>61</v>
      </c>
      <c r="P739" t="s">
        <v>62</v>
      </c>
      <c r="Q739">
        <v>34837.949999999997</v>
      </c>
      <c r="R739">
        <v>-71.41</v>
      </c>
      <c r="S739" t="s">
        <v>2895</v>
      </c>
      <c r="T739" t="s">
        <v>2896</v>
      </c>
      <c r="U739" t="s">
        <v>2897</v>
      </c>
    </row>
    <row r="740" spans="1:21">
      <c r="A740" t="s">
        <v>1579</v>
      </c>
      <c r="B740" s="7">
        <v>46184</v>
      </c>
      <c r="C740" s="8">
        <v>0.28108796296296296</v>
      </c>
      <c r="D740" t="s">
        <v>17</v>
      </c>
      <c r="E740" t="s">
        <v>2</v>
      </c>
      <c r="F740" t="s">
        <v>50</v>
      </c>
      <c r="G740" t="s">
        <v>100</v>
      </c>
      <c r="H740">
        <v>57.91</v>
      </c>
      <c r="I740" t="s">
        <v>52</v>
      </c>
      <c r="J740" t="s">
        <v>244</v>
      </c>
      <c r="K740" t="s">
        <v>54</v>
      </c>
      <c r="L740" t="s">
        <v>102</v>
      </c>
      <c r="O740" t="s">
        <v>178</v>
      </c>
      <c r="P740" t="s">
        <v>245</v>
      </c>
      <c r="Q740">
        <v>42502.29</v>
      </c>
      <c r="R740">
        <v>-57.91</v>
      </c>
      <c r="S740" t="s">
        <v>2895</v>
      </c>
      <c r="T740" t="s">
        <v>2896</v>
      </c>
      <c r="U740" t="s">
        <v>2897</v>
      </c>
    </row>
    <row r="741" spans="1:21">
      <c r="A741" t="s">
        <v>1581</v>
      </c>
      <c r="B741" s="7">
        <v>46184</v>
      </c>
      <c r="C741" s="8">
        <v>0.6007986111111111</v>
      </c>
      <c r="D741" t="s">
        <v>17</v>
      </c>
      <c r="E741" t="s">
        <v>2</v>
      </c>
      <c r="F741" t="s">
        <v>50</v>
      </c>
      <c r="G741" t="s">
        <v>100</v>
      </c>
      <c r="H741">
        <v>15</v>
      </c>
      <c r="I741" t="s">
        <v>52</v>
      </c>
      <c r="J741" t="s">
        <v>101</v>
      </c>
      <c r="K741" t="s">
        <v>54</v>
      </c>
      <c r="L741" t="s">
        <v>102</v>
      </c>
      <c r="O741" t="s">
        <v>103</v>
      </c>
      <c r="P741" t="s">
        <v>104</v>
      </c>
      <c r="Q741">
        <v>34871.1</v>
      </c>
      <c r="R741">
        <v>-15</v>
      </c>
      <c r="S741" t="s">
        <v>2895</v>
      </c>
      <c r="T741" t="s">
        <v>2896</v>
      </c>
      <c r="U741" t="s">
        <v>2897</v>
      </c>
    </row>
    <row r="742" spans="1:21">
      <c r="A742" t="s">
        <v>1583</v>
      </c>
      <c r="B742" s="7">
        <v>46184</v>
      </c>
      <c r="C742" s="8">
        <v>0.62318287037037035</v>
      </c>
      <c r="D742" t="s">
        <v>17</v>
      </c>
      <c r="E742" t="s">
        <v>2</v>
      </c>
      <c r="F742" t="s">
        <v>50</v>
      </c>
      <c r="G742" t="s">
        <v>51</v>
      </c>
      <c r="H742">
        <v>112.71</v>
      </c>
      <c r="I742" t="s">
        <v>52</v>
      </c>
      <c r="J742" t="s">
        <v>65</v>
      </c>
      <c r="K742" t="s">
        <v>54</v>
      </c>
      <c r="L742" t="s">
        <v>55</v>
      </c>
      <c r="O742" t="s">
        <v>66</v>
      </c>
      <c r="P742" t="s">
        <v>67</v>
      </c>
      <c r="Q742">
        <v>34754.65</v>
      </c>
      <c r="R742">
        <v>-112.71</v>
      </c>
      <c r="S742" t="s">
        <v>2895</v>
      </c>
      <c r="T742" t="s">
        <v>2896</v>
      </c>
      <c r="U742" t="s">
        <v>2897</v>
      </c>
    </row>
    <row r="743" spans="1:21">
      <c r="A743" t="s">
        <v>1585</v>
      </c>
      <c r="B743" s="7">
        <v>46184</v>
      </c>
      <c r="C743" s="8">
        <v>0.69739583333333333</v>
      </c>
      <c r="D743" t="s">
        <v>17</v>
      </c>
      <c r="E743" t="s">
        <v>2</v>
      </c>
      <c r="F743" t="s">
        <v>50</v>
      </c>
      <c r="G743" t="s">
        <v>51</v>
      </c>
      <c r="H743">
        <v>3.74</v>
      </c>
      <c r="I743" t="s">
        <v>52</v>
      </c>
      <c r="J743" t="s">
        <v>121</v>
      </c>
      <c r="K743" t="s">
        <v>54</v>
      </c>
      <c r="L743" t="s">
        <v>55</v>
      </c>
      <c r="O743" t="s">
        <v>122</v>
      </c>
      <c r="P743" t="s">
        <v>123</v>
      </c>
      <c r="Q743">
        <v>34867.360000000001</v>
      </c>
      <c r="R743">
        <v>-3.74</v>
      </c>
      <c r="S743" t="s">
        <v>2895</v>
      </c>
      <c r="T743" t="s">
        <v>2896</v>
      </c>
      <c r="U743" t="s">
        <v>2897</v>
      </c>
    </row>
    <row r="744" spans="1:21">
      <c r="A744" t="s">
        <v>1587</v>
      </c>
      <c r="B744" s="7">
        <v>46184</v>
      </c>
      <c r="C744" s="8">
        <v>0.74752314814814813</v>
      </c>
      <c r="D744" t="s">
        <v>17</v>
      </c>
      <c r="E744" t="s">
        <v>2</v>
      </c>
      <c r="F744" t="s">
        <v>50</v>
      </c>
      <c r="G744" t="s">
        <v>51</v>
      </c>
      <c r="H744">
        <v>16.14</v>
      </c>
      <c r="I744" t="s">
        <v>52</v>
      </c>
      <c r="J744" t="s">
        <v>53</v>
      </c>
      <c r="K744" t="s">
        <v>54</v>
      </c>
      <c r="L744" t="s">
        <v>55</v>
      </c>
      <c r="O744" t="s">
        <v>56</v>
      </c>
      <c r="P744" t="s">
        <v>57</v>
      </c>
      <c r="Q744">
        <v>34895.46</v>
      </c>
      <c r="R744">
        <v>-16.14</v>
      </c>
      <c r="S744" t="s">
        <v>2895</v>
      </c>
      <c r="T744" t="s">
        <v>2896</v>
      </c>
      <c r="U744" t="s">
        <v>2897</v>
      </c>
    </row>
    <row r="745" spans="1:21">
      <c r="A745" t="s">
        <v>1589</v>
      </c>
      <c r="B745" s="7">
        <v>46184</v>
      </c>
      <c r="C745" s="8">
        <v>0.90043981481481483</v>
      </c>
      <c r="D745" t="s">
        <v>17</v>
      </c>
      <c r="E745" t="s">
        <v>2</v>
      </c>
      <c r="F745" t="s">
        <v>50</v>
      </c>
      <c r="G745" t="s">
        <v>51</v>
      </c>
      <c r="H745">
        <v>9.36</v>
      </c>
      <c r="I745" t="s">
        <v>52</v>
      </c>
      <c r="J745" t="s">
        <v>53</v>
      </c>
      <c r="K745" t="s">
        <v>54</v>
      </c>
      <c r="L745" t="s">
        <v>55</v>
      </c>
      <c r="O745" t="s">
        <v>56</v>
      </c>
      <c r="P745" t="s">
        <v>57</v>
      </c>
      <c r="Q745">
        <v>34886.1</v>
      </c>
      <c r="R745">
        <v>-9.36</v>
      </c>
      <c r="S745" t="s">
        <v>2895</v>
      </c>
      <c r="T745" t="s">
        <v>2896</v>
      </c>
      <c r="U745" t="s">
        <v>2897</v>
      </c>
    </row>
    <row r="746" spans="1:21">
      <c r="A746" t="s">
        <v>1591</v>
      </c>
      <c r="B746" s="7">
        <v>46184</v>
      </c>
      <c r="C746" s="8">
        <v>0.91300925925925924</v>
      </c>
      <c r="D746" t="s">
        <v>17</v>
      </c>
      <c r="E746" t="s">
        <v>2</v>
      </c>
      <c r="F746" t="s">
        <v>149</v>
      </c>
      <c r="G746" t="s">
        <v>72</v>
      </c>
      <c r="H746">
        <v>69.75</v>
      </c>
      <c r="I746" t="s">
        <v>52</v>
      </c>
      <c r="J746" t="s">
        <v>316</v>
      </c>
      <c r="K746" t="s">
        <v>54</v>
      </c>
      <c r="L746" t="s">
        <v>74</v>
      </c>
      <c r="O746" t="s">
        <v>75</v>
      </c>
      <c r="P746" t="s">
        <v>76</v>
      </c>
      <c r="Q746">
        <v>34824.400000000001</v>
      </c>
      <c r="R746">
        <v>69.75</v>
      </c>
      <c r="S746" t="s">
        <v>2895</v>
      </c>
      <c r="T746" t="s">
        <v>2896</v>
      </c>
      <c r="U746" t="s">
        <v>2897</v>
      </c>
    </row>
    <row r="747" spans="1:21">
      <c r="A747" t="s">
        <v>1593</v>
      </c>
      <c r="B747" s="7">
        <v>46185</v>
      </c>
      <c r="C747" s="8">
        <v>0.3021064814814815</v>
      </c>
      <c r="D747" t="s">
        <v>17</v>
      </c>
      <c r="E747" t="s">
        <v>2</v>
      </c>
      <c r="F747" t="s">
        <v>149</v>
      </c>
      <c r="G747" t="s">
        <v>72</v>
      </c>
      <c r="H747">
        <v>52.12</v>
      </c>
      <c r="I747" t="s">
        <v>52</v>
      </c>
      <c r="J747" t="s">
        <v>638</v>
      </c>
      <c r="K747" t="s">
        <v>54</v>
      </c>
      <c r="L747" t="s">
        <v>74</v>
      </c>
      <c r="O747" t="s">
        <v>75</v>
      </c>
      <c r="P747" t="s">
        <v>76</v>
      </c>
      <c r="Q747">
        <v>34686.519999999997</v>
      </c>
      <c r="R747">
        <v>52.12</v>
      </c>
      <c r="S747" t="s">
        <v>2895</v>
      </c>
      <c r="T747" t="s">
        <v>2896</v>
      </c>
      <c r="U747" t="s">
        <v>2897</v>
      </c>
    </row>
    <row r="748" spans="1:21">
      <c r="A748" t="s">
        <v>1595</v>
      </c>
      <c r="B748" s="7">
        <v>46185</v>
      </c>
      <c r="C748" s="8">
        <v>0.46133101851851854</v>
      </c>
      <c r="D748" t="s">
        <v>17</v>
      </c>
      <c r="E748" t="s">
        <v>2</v>
      </c>
      <c r="F748" t="s">
        <v>50</v>
      </c>
      <c r="G748" t="s">
        <v>51</v>
      </c>
      <c r="H748">
        <v>83.44</v>
      </c>
      <c r="I748" t="s">
        <v>52</v>
      </c>
      <c r="J748" t="s">
        <v>65</v>
      </c>
      <c r="K748" t="s">
        <v>54</v>
      </c>
      <c r="L748" t="s">
        <v>55</v>
      </c>
      <c r="O748" t="s">
        <v>66</v>
      </c>
      <c r="P748" t="s">
        <v>67</v>
      </c>
      <c r="Q748">
        <v>34650.449999999997</v>
      </c>
      <c r="R748">
        <v>-83.44</v>
      </c>
      <c r="S748" t="s">
        <v>2895</v>
      </c>
      <c r="T748" t="s">
        <v>2896</v>
      </c>
      <c r="U748" t="s">
        <v>2897</v>
      </c>
    </row>
    <row r="749" spans="1:21">
      <c r="A749" t="s">
        <v>1597</v>
      </c>
      <c r="B749" s="7">
        <v>46185</v>
      </c>
      <c r="C749" s="8">
        <v>0.54087962962962965</v>
      </c>
      <c r="D749" t="s">
        <v>17</v>
      </c>
      <c r="E749" t="s">
        <v>2</v>
      </c>
      <c r="F749" t="s">
        <v>50</v>
      </c>
      <c r="G749" t="s">
        <v>51</v>
      </c>
      <c r="H749">
        <v>31.4</v>
      </c>
      <c r="I749" t="s">
        <v>52</v>
      </c>
      <c r="J749" t="s">
        <v>60</v>
      </c>
      <c r="K749" t="s">
        <v>54</v>
      </c>
      <c r="L749" t="s">
        <v>55</v>
      </c>
      <c r="O749" t="s">
        <v>61</v>
      </c>
      <c r="P749" t="s">
        <v>62</v>
      </c>
      <c r="Q749">
        <v>34750.97</v>
      </c>
      <c r="R749">
        <v>-31.4</v>
      </c>
      <c r="S749" t="s">
        <v>2895</v>
      </c>
      <c r="T749" t="s">
        <v>2896</v>
      </c>
      <c r="U749" t="s">
        <v>2897</v>
      </c>
    </row>
    <row r="750" spans="1:21">
      <c r="A750" t="s">
        <v>1599</v>
      </c>
      <c r="B750" s="7">
        <v>46185</v>
      </c>
      <c r="C750" s="8">
        <v>0.81853009259259257</v>
      </c>
      <c r="D750" t="s">
        <v>17</v>
      </c>
      <c r="E750" t="s">
        <v>2</v>
      </c>
      <c r="F750" t="s">
        <v>50</v>
      </c>
      <c r="G750" t="s">
        <v>51</v>
      </c>
      <c r="H750">
        <v>22.01</v>
      </c>
      <c r="I750" t="s">
        <v>52</v>
      </c>
      <c r="J750" t="s">
        <v>81</v>
      </c>
      <c r="K750" t="s">
        <v>54</v>
      </c>
      <c r="L750" t="s">
        <v>55</v>
      </c>
      <c r="O750" t="s">
        <v>82</v>
      </c>
      <c r="P750" t="s">
        <v>83</v>
      </c>
      <c r="Q750">
        <v>34782.370000000003</v>
      </c>
      <c r="R750">
        <v>-22.01</v>
      </c>
      <c r="S750" t="s">
        <v>2895</v>
      </c>
      <c r="T750" t="s">
        <v>2896</v>
      </c>
      <c r="U750" t="s">
        <v>2897</v>
      </c>
    </row>
    <row r="751" spans="1:21">
      <c r="A751" t="s">
        <v>1601</v>
      </c>
      <c r="B751" s="7">
        <v>46185</v>
      </c>
      <c r="C751" s="8">
        <v>0.86796296296296294</v>
      </c>
      <c r="D751" t="s">
        <v>17</v>
      </c>
      <c r="E751" t="s">
        <v>2</v>
      </c>
      <c r="F751" t="s">
        <v>50</v>
      </c>
      <c r="G751" t="s">
        <v>51</v>
      </c>
      <c r="H751">
        <v>20.02</v>
      </c>
      <c r="I751" t="s">
        <v>52</v>
      </c>
      <c r="J751" t="s">
        <v>126</v>
      </c>
      <c r="K751" t="s">
        <v>54</v>
      </c>
      <c r="L751" t="s">
        <v>55</v>
      </c>
      <c r="O751" t="s">
        <v>56</v>
      </c>
      <c r="P751" t="s">
        <v>57</v>
      </c>
      <c r="Q751">
        <v>34804.379999999997</v>
      </c>
      <c r="R751">
        <v>-20.02</v>
      </c>
      <c r="S751" t="s">
        <v>2895</v>
      </c>
      <c r="T751" t="s">
        <v>2896</v>
      </c>
      <c r="U751" t="s">
        <v>2897</v>
      </c>
    </row>
    <row r="752" spans="1:21">
      <c r="A752" t="s">
        <v>1603</v>
      </c>
      <c r="B752" s="7">
        <v>46185</v>
      </c>
      <c r="C752" s="8">
        <v>0.95512731481481483</v>
      </c>
      <c r="D752" t="s">
        <v>17</v>
      </c>
      <c r="E752" t="s">
        <v>2</v>
      </c>
      <c r="F752" t="s">
        <v>50</v>
      </c>
      <c r="G752" t="s">
        <v>51</v>
      </c>
      <c r="H752">
        <v>17.079999999999998</v>
      </c>
      <c r="I752" t="s">
        <v>52</v>
      </c>
      <c r="J752" t="s">
        <v>121</v>
      </c>
      <c r="K752" t="s">
        <v>54</v>
      </c>
      <c r="L752" t="s">
        <v>55</v>
      </c>
      <c r="O752" t="s">
        <v>122</v>
      </c>
      <c r="P752" t="s">
        <v>123</v>
      </c>
      <c r="Q752">
        <v>34733.89</v>
      </c>
      <c r="R752">
        <v>-17.079999999999998</v>
      </c>
      <c r="S752" t="s">
        <v>2895</v>
      </c>
      <c r="T752" t="s">
        <v>2896</v>
      </c>
      <c r="U752" t="s">
        <v>2897</v>
      </c>
    </row>
    <row r="753" spans="1:21">
      <c r="A753" t="s">
        <v>1604</v>
      </c>
      <c r="B753" s="7">
        <v>46185</v>
      </c>
      <c r="C753" s="8">
        <v>0.95597222222222222</v>
      </c>
      <c r="D753" t="s">
        <v>17</v>
      </c>
      <c r="E753" t="s">
        <v>2</v>
      </c>
      <c r="F753" t="s">
        <v>50</v>
      </c>
      <c r="G753" t="s">
        <v>100</v>
      </c>
      <c r="H753">
        <v>16.05</v>
      </c>
      <c r="I753" t="s">
        <v>52</v>
      </c>
      <c r="J753" t="s">
        <v>114</v>
      </c>
      <c r="K753" t="s">
        <v>54</v>
      </c>
      <c r="L753" t="s">
        <v>102</v>
      </c>
      <c r="O753" t="s">
        <v>103</v>
      </c>
      <c r="P753" t="s">
        <v>104</v>
      </c>
      <c r="Q753">
        <v>34634.400000000001</v>
      </c>
      <c r="R753">
        <v>-16.05</v>
      </c>
      <c r="S753" t="s">
        <v>2895</v>
      </c>
      <c r="T753" t="s">
        <v>2896</v>
      </c>
      <c r="U753" t="s">
        <v>2897</v>
      </c>
    </row>
    <row r="754" spans="1:21">
      <c r="A754" t="s">
        <v>1606</v>
      </c>
      <c r="B754" s="7">
        <v>46186</v>
      </c>
      <c r="C754" s="8">
        <v>0.55799768518518522</v>
      </c>
      <c r="D754" t="s">
        <v>17</v>
      </c>
      <c r="E754" t="s">
        <v>2</v>
      </c>
      <c r="F754" t="s">
        <v>50</v>
      </c>
      <c r="G754" t="s">
        <v>51</v>
      </c>
      <c r="H754">
        <v>56.06</v>
      </c>
      <c r="I754" t="s">
        <v>52</v>
      </c>
      <c r="J754" t="s">
        <v>60</v>
      </c>
      <c r="K754" t="s">
        <v>54</v>
      </c>
      <c r="L754" t="s">
        <v>55</v>
      </c>
      <c r="O754" t="s">
        <v>61</v>
      </c>
      <c r="P754" t="s">
        <v>62</v>
      </c>
      <c r="Q754">
        <v>34569.69</v>
      </c>
      <c r="R754">
        <v>-56.06</v>
      </c>
      <c r="S754" t="s">
        <v>2895</v>
      </c>
      <c r="T754" t="s">
        <v>2896</v>
      </c>
      <c r="U754" t="s">
        <v>2897</v>
      </c>
    </row>
    <row r="755" spans="1:21">
      <c r="A755" t="s">
        <v>1608</v>
      </c>
      <c r="B755" s="7">
        <v>46186</v>
      </c>
      <c r="C755" s="8">
        <v>0.5716782407407407</v>
      </c>
      <c r="D755" t="s">
        <v>17</v>
      </c>
      <c r="E755" t="s">
        <v>2</v>
      </c>
      <c r="F755" t="s">
        <v>50</v>
      </c>
      <c r="G755" t="s">
        <v>51</v>
      </c>
      <c r="H755">
        <v>164.57</v>
      </c>
      <c r="I755" t="s">
        <v>52</v>
      </c>
      <c r="J755" t="s">
        <v>196</v>
      </c>
      <c r="K755" t="s">
        <v>54</v>
      </c>
      <c r="L755" t="s">
        <v>55</v>
      </c>
      <c r="O755" t="s">
        <v>197</v>
      </c>
      <c r="P755" t="s">
        <v>198</v>
      </c>
      <c r="Q755">
        <v>34327.97</v>
      </c>
      <c r="R755">
        <v>-164.57</v>
      </c>
      <c r="S755" t="s">
        <v>2895</v>
      </c>
      <c r="T755" t="s">
        <v>2896</v>
      </c>
      <c r="U755" t="s">
        <v>2897</v>
      </c>
    </row>
    <row r="756" spans="1:21">
      <c r="A756" t="s">
        <v>1610</v>
      </c>
      <c r="B756" s="7">
        <v>46186</v>
      </c>
      <c r="C756" s="8">
        <v>0.6165856481481482</v>
      </c>
      <c r="D756" t="s">
        <v>17</v>
      </c>
      <c r="E756" t="s">
        <v>2</v>
      </c>
      <c r="F756" t="s">
        <v>50</v>
      </c>
      <c r="G756" t="s">
        <v>51</v>
      </c>
      <c r="H756">
        <v>25.9</v>
      </c>
      <c r="I756" t="s">
        <v>52</v>
      </c>
      <c r="J756" t="s">
        <v>81</v>
      </c>
      <c r="K756" t="s">
        <v>54</v>
      </c>
      <c r="L756" t="s">
        <v>55</v>
      </c>
      <c r="O756" t="s">
        <v>82</v>
      </c>
      <c r="P756" t="s">
        <v>83</v>
      </c>
      <c r="Q756">
        <v>34528.79</v>
      </c>
      <c r="R756">
        <v>-25.9</v>
      </c>
      <c r="S756" t="s">
        <v>2895</v>
      </c>
      <c r="T756" t="s">
        <v>2896</v>
      </c>
      <c r="U756" t="s">
        <v>2897</v>
      </c>
    </row>
    <row r="757" spans="1:21">
      <c r="A757" t="s">
        <v>1612</v>
      </c>
      <c r="B757" s="7">
        <v>46186</v>
      </c>
      <c r="C757" s="8">
        <v>0.75219907407407405</v>
      </c>
      <c r="D757" t="s">
        <v>17</v>
      </c>
      <c r="E757" t="s">
        <v>2</v>
      </c>
      <c r="F757" t="s">
        <v>50</v>
      </c>
      <c r="G757" t="s">
        <v>51</v>
      </c>
      <c r="H757">
        <v>36.25</v>
      </c>
      <c r="I757" t="s">
        <v>52</v>
      </c>
      <c r="J757" t="s">
        <v>60</v>
      </c>
      <c r="K757" t="s">
        <v>54</v>
      </c>
      <c r="L757" t="s">
        <v>55</v>
      </c>
      <c r="O757" t="s">
        <v>61</v>
      </c>
      <c r="P757" t="s">
        <v>62</v>
      </c>
      <c r="Q757">
        <v>34492.54</v>
      </c>
      <c r="R757">
        <v>-36.25</v>
      </c>
      <c r="S757" t="s">
        <v>2895</v>
      </c>
      <c r="T757" t="s">
        <v>2896</v>
      </c>
      <c r="U757" t="s">
        <v>2897</v>
      </c>
    </row>
    <row r="758" spans="1:21">
      <c r="A758" t="s">
        <v>1614</v>
      </c>
      <c r="B758" s="7">
        <v>46186</v>
      </c>
      <c r="C758" s="8">
        <v>0.85584490740740737</v>
      </c>
      <c r="D758" t="s">
        <v>17</v>
      </c>
      <c r="E758" t="s">
        <v>2</v>
      </c>
      <c r="F758" t="s">
        <v>50</v>
      </c>
      <c r="G758" t="s">
        <v>51</v>
      </c>
      <c r="H758">
        <v>60.77</v>
      </c>
      <c r="I758" t="s">
        <v>52</v>
      </c>
      <c r="J758" t="s">
        <v>196</v>
      </c>
      <c r="K758" t="s">
        <v>54</v>
      </c>
      <c r="L758" t="s">
        <v>55</v>
      </c>
      <c r="O758" t="s">
        <v>197</v>
      </c>
      <c r="P758" t="s">
        <v>198</v>
      </c>
      <c r="Q758">
        <v>34625.75</v>
      </c>
      <c r="R758">
        <v>-60.77</v>
      </c>
      <c r="S758" t="s">
        <v>2895</v>
      </c>
      <c r="T758" t="s">
        <v>2896</v>
      </c>
      <c r="U758" t="s">
        <v>2897</v>
      </c>
    </row>
    <row r="759" spans="1:21">
      <c r="A759" t="s">
        <v>1616</v>
      </c>
      <c r="B759" s="7">
        <v>46186</v>
      </c>
      <c r="C759" s="8">
        <v>0.90109953703703705</v>
      </c>
      <c r="D759" t="s">
        <v>17</v>
      </c>
      <c r="E759" t="s">
        <v>2</v>
      </c>
      <c r="F759" t="s">
        <v>50</v>
      </c>
      <c r="G759" t="s">
        <v>100</v>
      </c>
      <c r="H759">
        <v>15</v>
      </c>
      <c r="I759" t="s">
        <v>52</v>
      </c>
      <c r="J759" t="s">
        <v>101</v>
      </c>
      <c r="K759" t="s">
        <v>54</v>
      </c>
      <c r="L759" t="s">
        <v>102</v>
      </c>
      <c r="O759" t="s">
        <v>103</v>
      </c>
      <c r="P759" t="s">
        <v>104</v>
      </c>
      <c r="Q759">
        <v>34554.69</v>
      </c>
      <c r="R759">
        <v>-15</v>
      </c>
      <c r="S759" t="s">
        <v>2895</v>
      </c>
      <c r="T759" t="s">
        <v>2896</v>
      </c>
      <c r="U759" t="s">
        <v>2897</v>
      </c>
    </row>
    <row r="760" spans="1:21">
      <c r="A760" t="s">
        <v>1618</v>
      </c>
      <c r="B760" s="7">
        <v>46186</v>
      </c>
      <c r="C760" s="8">
        <v>0.91799768518518521</v>
      </c>
      <c r="D760" t="s">
        <v>17</v>
      </c>
      <c r="E760" t="s">
        <v>2</v>
      </c>
      <c r="F760" t="s">
        <v>50</v>
      </c>
      <c r="G760" t="s">
        <v>51</v>
      </c>
      <c r="H760">
        <v>13.12</v>
      </c>
      <c r="I760" t="s">
        <v>52</v>
      </c>
      <c r="J760" t="s">
        <v>53</v>
      </c>
      <c r="K760" t="s">
        <v>54</v>
      </c>
      <c r="L760" t="s">
        <v>55</v>
      </c>
      <c r="O760" t="s">
        <v>56</v>
      </c>
      <c r="P760" t="s">
        <v>57</v>
      </c>
      <c r="Q760">
        <v>34314.85</v>
      </c>
      <c r="R760">
        <v>-13.12</v>
      </c>
      <c r="S760" t="s">
        <v>2895</v>
      </c>
      <c r="T760" t="s">
        <v>2896</v>
      </c>
      <c r="U760" t="s">
        <v>2897</v>
      </c>
    </row>
    <row r="761" spans="1:21">
      <c r="A761" t="s">
        <v>1620</v>
      </c>
      <c r="B761" s="7">
        <v>46187</v>
      </c>
      <c r="C761" s="8">
        <v>0.48531249999999998</v>
      </c>
      <c r="D761" t="s">
        <v>17</v>
      </c>
      <c r="E761" t="s">
        <v>2</v>
      </c>
      <c r="F761" t="s">
        <v>50</v>
      </c>
      <c r="G761" t="s">
        <v>100</v>
      </c>
      <c r="H761">
        <v>15</v>
      </c>
      <c r="I761" t="s">
        <v>52</v>
      </c>
      <c r="J761" t="s">
        <v>101</v>
      </c>
      <c r="K761" t="s">
        <v>54</v>
      </c>
      <c r="L761" t="s">
        <v>102</v>
      </c>
      <c r="O761" t="s">
        <v>103</v>
      </c>
      <c r="P761" t="s">
        <v>104</v>
      </c>
      <c r="Q761">
        <v>34299.85</v>
      </c>
      <c r="R761">
        <v>-15</v>
      </c>
      <c r="S761" t="s">
        <v>2895</v>
      </c>
      <c r="T761" t="s">
        <v>2896</v>
      </c>
      <c r="U761" t="s">
        <v>2897</v>
      </c>
    </row>
    <row r="762" spans="1:21">
      <c r="A762" t="s">
        <v>1622</v>
      </c>
      <c r="B762" s="7">
        <v>46187</v>
      </c>
      <c r="C762" s="8">
        <v>0.63869212962962962</v>
      </c>
      <c r="D762" t="s">
        <v>17</v>
      </c>
      <c r="E762" t="s">
        <v>2</v>
      </c>
      <c r="F762" t="s">
        <v>149</v>
      </c>
      <c r="G762" t="s">
        <v>72</v>
      </c>
      <c r="H762">
        <v>154.30000000000001</v>
      </c>
      <c r="I762" t="s">
        <v>52</v>
      </c>
      <c r="J762" t="s">
        <v>611</v>
      </c>
      <c r="K762" t="s">
        <v>54</v>
      </c>
      <c r="L762" t="s">
        <v>74</v>
      </c>
      <c r="O762" t="s">
        <v>75</v>
      </c>
      <c r="P762" t="s">
        <v>76</v>
      </c>
      <c r="Q762">
        <v>34360.44</v>
      </c>
      <c r="R762">
        <v>154.30000000000001</v>
      </c>
      <c r="S762" t="s">
        <v>2895</v>
      </c>
      <c r="T762" t="s">
        <v>2896</v>
      </c>
      <c r="U762" t="s">
        <v>2897</v>
      </c>
    </row>
    <row r="763" spans="1:21">
      <c r="A763" t="s">
        <v>1624</v>
      </c>
      <c r="B763" s="7">
        <v>46187</v>
      </c>
      <c r="C763" s="8">
        <v>0.6567708333333333</v>
      </c>
      <c r="D763" t="s">
        <v>17</v>
      </c>
      <c r="E763" t="s">
        <v>2</v>
      </c>
      <c r="F763" t="s">
        <v>50</v>
      </c>
      <c r="G763" t="s">
        <v>51</v>
      </c>
      <c r="H763">
        <v>46.42</v>
      </c>
      <c r="I763" t="s">
        <v>52</v>
      </c>
      <c r="J763" t="s">
        <v>65</v>
      </c>
      <c r="K763" t="s">
        <v>54</v>
      </c>
      <c r="L763" t="s">
        <v>55</v>
      </c>
      <c r="O763" t="s">
        <v>66</v>
      </c>
      <c r="P763" t="s">
        <v>67</v>
      </c>
      <c r="Q763">
        <v>34253.43</v>
      </c>
      <c r="R763">
        <v>-46.42</v>
      </c>
      <c r="S763" t="s">
        <v>2895</v>
      </c>
      <c r="T763" t="s">
        <v>2896</v>
      </c>
      <c r="U763" t="s">
        <v>2897</v>
      </c>
    </row>
    <row r="764" spans="1:21">
      <c r="A764" t="s">
        <v>1626</v>
      </c>
      <c r="B764" s="7">
        <v>46187</v>
      </c>
      <c r="C764" s="8">
        <v>0.77576388888888892</v>
      </c>
      <c r="D764" t="s">
        <v>17</v>
      </c>
      <c r="E764" t="s">
        <v>2</v>
      </c>
      <c r="F764" t="s">
        <v>50</v>
      </c>
      <c r="G764" t="s">
        <v>100</v>
      </c>
      <c r="H764">
        <v>22.36</v>
      </c>
      <c r="I764" t="s">
        <v>52</v>
      </c>
      <c r="J764" t="s">
        <v>114</v>
      </c>
      <c r="K764" t="s">
        <v>54</v>
      </c>
      <c r="L764" t="s">
        <v>102</v>
      </c>
      <c r="O764" t="s">
        <v>103</v>
      </c>
      <c r="P764" t="s">
        <v>104</v>
      </c>
      <c r="Q764">
        <v>34206.14</v>
      </c>
      <c r="R764">
        <v>-22.36</v>
      </c>
      <c r="S764" t="s">
        <v>2895</v>
      </c>
      <c r="T764" t="s">
        <v>2896</v>
      </c>
      <c r="U764" t="s">
        <v>2897</v>
      </c>
    </row>
    <row r="765" spans="1:21">
      <c r="A765" t="s">
        <v>1628</v>
      </c>
      <c r="B765" s="7">
        <v>46187</v>
      </c>
      <c r="C765" s="8">
        <v>0.78775462962962961</v>
      </c>
      <c r="D765" t="s">
        <v>17</v>
      </c>
      <c r="E765" t="s">
        <v>2</v>
      </c>
      <c r="F765" t="s">
        <v>50</v>
      </c>
      <c r="G765" t="s">
        <v>51</v>
      </c>
      <c r="H765">
        <v>9.93</v>
      </c>
      <c r="I765" t="s">
        <v>52</v>
      </c>
      <c r="J765" t="s">
        <v>53</v>
      </c>
      <c r="K765" t="s">
        <v>54</v>
      </c>
      <c r="L765" t="s">
        <v>55</v>
      </c>
      <c r="O765" t="s">
        <v>56</v>
      </c>
      <c r="P765" t="s">
        <v>57</v>
      </c>
      <c r="Q765">
        <v>34243.5</v>
      </c>
      <c r="R765">
        <v>-9.93</v>
      </c>
      <c r="S765" t="s">
        <v>2895</v>
      </c>
      <c r="T765" t="s">
        <v>2896</v>
      </c>
      <c r="U765" t="s">
        <v>2897</v>
      </c>
    </row>
    <row r="766" spans="1:21">
      <c r="A766" t="s">
        <v>1630</v>
      </c>
      <c r="B766" s="7">
        <v>46187</v>
      </c>
      <c r="C766" s="8">
        <v>0.84702546296296299</v>
      </c>
      <c r="D766" t="s">
        <v>17</v>
      </c>
      <c r="E766" t="s">
        <v>2</v>
      </c>
      <c r="F766" t="s">
        <v>50</v>
      </c>
      <c r="G766" t="s">
        <v>100</v>
      </c>
      <c r="H766">
        <v>15</v>
      </c>
      <c r="I766" t="s">
        <v>52</v>
      </c>
      <c r="J766" t="s">
        <v>101</v>
      </c>
      <c r="K766" t="s">
        <v>54</v>
      </c>
      <c r="L766" t="s">
        <v>102</v>
      </c>
      <c r="O766" t="s">
        <v>103</v>
      </c>
      <c r="P766" t="s">
        <v>104</v>
      </c>
      <c r="Q766">
        <v>34228.5</v>
      </c>
      <c r="R766">
        <v>-15</v>
      </c>
      <c r="S766" t="s">
        <v>2895</v>
      </c>
      <c r="T766" t="s">
        <v>2896</v>
      </c>
      <c r="U766" t="s">
        <v>2897</v>
      </c>
    </row>
    <row r="767" spans="1:21">
      <c r="A767" t="s">
        <v>1632</v>
      </c>
      <c r="B767" s="7">
        <v>46188</v>
      </c>
      <c r="C767" s="8">
        <v>0.32770833333333332</v>
      </c>
      <c r="D767" t="s">
        <v>17</v>
      </c>
      <c r="E767" t="s">
        <v>2</v>
      </c>
      <c r="F767" t="s">
        <v>50</v>
      </c>
      <c r="G767" t="s">
        <v>100</v>
      </c>
      <c r="H767">
        <v>21.48</v>
      </c>
      <c r="I767" t="s">
        <v>52</v>
      </c>
      <c r="J767" t="s">
        <v>114</v>
      </c>
      <c r="K767" t="s">
        <v>54</v>
      </c>
      <c r="L767" t="s">
        <v>102</v>
      </c>
      <c r="O767" t="s">
        <v>103</v>
      </c>
      <c r="P767" t="s">
        <v>104</v>
      </c>
      <c r="Q767">
        <v>34266.379999999997</v>
      </c>
      <c r="R767">
        <v>-21.48</v>
      </c>
      <c r="S767" t="s">
        <v>2895</v>
      </c>
      <c r="T767" t="s">
        <v>2896</v>
      </c>
      <c r="U767" t="s">
        <v>2897</v>
      </c>
    </row>
    <row r="768" spans="1:21">
      <c r="A768" t="s">
        <v>1634</v>
      </c>
      <c r="B768" s="7">
        <v>46188</v>
      </c>
      <c r="C768" s="8">
        <v>0.38596064814814812</v>
      </c>
      <c r="D768" t="s">
        <v>17</v>
      </c>
      <c r="E768" t="s">
        <v>2</v>
      </c>
      <c r="F768" t="s">
        <v>149</v>
      </c>
      <c r="G768" t="s">
        <v>321</v>
      </c>
      <c r="H768">
        <v>3115.23</v>
      </c>
      <c r="I768" t="s">
        <v>52</v>
      </c>
      <c r="J768" t="s">
        <v>9</v>
      </c>
      <c r="K768" t="s">
        <v>54</v>
      </c>
      <c r="L768" t="s">
        <v>102</v>
      </c>
      <c r="O768" t="s">
        <v>322</v>
      </c>
      <c r="P768" t="s">
        <v>323</v>
      </c>
      <c r="Q768">
        <v>35401.43</v>
      </c>
      <c r="R768">
        <v>3115.23</v>
      </c>
      <c r="S768" t="s">
        <v>2895</v>
      </c>
      <c r="T768" t="s">
        <v>2896</v>
      </c>
      <c r="U768" t="s">
        <v>2897</v>
      </c>
    </row>
    <row r="769" spans="1:21">
      <c r="A769" t="s">
        <v>1636</v>
      </c>
      <c r="B769" s="7">
        <v>46188</v>
      </c>
      <c r="C769" s="8">
        <v>0.44862268518518517</v>
      </c>
      <c r="D769" t="s">
        <v>17</v>
      </c>
      <c r="E769" t="s">
        <v>2</v>
      </c>
      <c r="F769" t="s">
        <v>50</v>
      </c>
      <c r="G769" t="s">
        <v>51</v>
      </c>
      <c r="H769">
        <v>15.55</v>
      </c>
      <c r="I769" t="s">
        <v>52</v>
      </c>
      <c r="J769" t="s">
        <v>121</v>
      </c>
      <c r="K769" t="s">
        <v>54</v>
      </c>
      <c r="L769" t="s">
        <v>55</v>
      </c>
      <c r="O769" t="s">
        <v>122</v>
      </c>
      <c r="P769" t="s">
        <v>123</v>
      </c>
      <c r="Q769">
        <v>34250.83</v>
      </c>
      <c r="R769">
        <v>-15.55</v>
      </c>
      <c r="S769" t="s">
        <v>2895</v>
      </c>
      <c r="T769" t="s">
        <v>2896</v>
      </c>
      <c r="U769" t="s">
        <v>2897</v>
      </c>
    </row>
    <row r="770" spans="1:21">
      <c r="A770" t="s">
        <v>1638</v>
      </c>
      <c r="B770" s="7">
        <v>46188</v>
      </c>
      <c r="C770" s="8">
        <v>0.51511574074074074</v>
      </c>
      <c r="D770" t="s">
        <v>17</v>
      </c>
      <c r="E770" t="s">
        <v>2</v>
      </c>
      <c r="F770" t="s">
        <v>50</v>
      </c>
      <c r="G770" t="s">
        <v>72</v>
      </c>
      <c r="H770">
        <v>133.29</v>
      </c>
      <c r="I770" t="s">
        <v>52</v>
      </c>
      <c r="J770" t="s">
        <v>611</v>
      </c>
      <c r="K770" t="s">
        <v>54</v>
      </c>
      <c r="L770" t="s">
        <v>74</v>
      </c>
      <c r="O770" t="s">
        <v>75</v>
      </c>
      <c r="P770" t="s">
        <v>76</v>
      </c>
      <c r="Q770">
        <v>34102.54</v>
      </c>
      <c r="R770">
        <v>-133.29</v>
      </c>
      <c r="S770" t="s">
        <v>2895</v>
      </c>
      <c r="T770" t="s">
        <v>2896</v>
      </c>
      <c r="U770" t="s">
        <v>2897</v>
      </c>
    </row>
    <row r="771" spans="1:21">
      <c r="A771" t="s">
        <v>1640</v>
      </c>
      <c r="B771" s="7">
        <v>46188</v>
      </c>
      <c r="C771" s="8">
        <v>0.62391203703703701</v>
      </c>
      <c r="D771" t="s">
        <v>17</v>
      </c>
      <c r="E771" t="s">
        <v>2</v>
      </c>
      <c r="F771" t="s">
        <v>50</v>
      </c>
      <c r="G771" t="s">
        <v>100</v>
      </c>
      <c r="H771">
        <v>15</v>
      </c>
      <c r="I771" t="s">
        <v>52</v>
      </c>
      <c r="J771" t="s">
        <v>101</v>
      </c>
      <c r="K771" t="s">
        <v>54</v>
      </c>
      <c r="L771" t="s">
        <v>102</v>
      </c>
      <c r="O771" t="s">
        <v>103</v>
      </c>
      <c r="P771" t="s">
        <v>104</v>
      </c>
      <c r="Q771">
        <v>34235.83</v>
      </c>
      <c r="R771">
        <v>-15</v>
      </c>
      <c r="S771" t="s">
        <v>2895</v>
      </c>
      <c r="T771" t="s">
        <v>2896</v>
      </c>
      <c r="U771" t="s">
        <v>2897</v>
      </c>
    </row>
    <row r="772" spans="1:21">
      <c r="A772" t="s">
        <v>1642</v>
      </c>
      <c r="B772" s="7">
        <v>46188</v>
      </c>
      <c r="C772" s="8">
        <v>0.63343749999999999</v>
      </c>
      <c r="D772" t="s">
        <v>17</v>
      </c>
      <c r="E772" t="s">
        <v>2</v>
      </c>
      <c r="F772" t="s">
        <v>50</v>
      </c>
      <c r="G772" t="s">
        <v>51</v>
      </c>
      <c r="H772">
        <v>13.19</v>
      </c>
      <c r="I772" t="s">
        <v>52</v>
      </c>
      <c r="J772" t="s">
        <v>53</v>
      </c>
      <c r="K772" t="s">
        <v>54</v>
      </c>
      <c r="L772" t="s">
        <v>55</v>
      </c>
      <c r="O772" t="s">
        <v>56</v>
      </c>
      <c r="P772" t="s">
        <v>57</v>
      </c>
      <c r="Q772">
        <v>34287.86</v>
      </c>
      <c r="R772">
        <v>-13.19</v>
      </c>
      <c r="S772" t="s">
        <v>2895</v>
      </c>
      <c r="T772" t="s">
        <v>2896</v>
      </c>
      <c r="U772" t="s">
        <v>2897</v>
      </c>
    </row>
    <row r="773" spans="1:21">
      <c r="A773" t="s">
        <v>1644</v>
      </c>
      <c r="B773" s="7">
        <v>46188</v>
      </c>
      <c r="C773" s="8">
        <v>0.70505787037037038</v>
      </c>
      <c r="D773" t="s">
        <v>17</v>
      </c>
      <c r="E773" t="s">
        <v>2</v>
      </c>
      <c r="F773" t="s">
        <v>50</v>
      </c>
      <c r="G773" t="s">
        <v>51</v>
      </c>
      <c r="H773">
        <v>59.39</v>
      </c>
      <c r="I773" t="s">
        <v>52</v>
      </c>
      <c r="J773" t="s">
        <v>81</v>
      </c>
      <c r="K773" t="s">
        <v>54</v>
      </c>
      <c r="L773" t="s">
        <v>55</v>
      </c>
      <c r="O773" t="s">
        <v>82</v>
      </c>
      <c r="P773" t="s">
        <v>83</v>
      </c>
      <c r="Q773">
        <v>34301.050000000003</v>
      </c>
      <c r="R773">
        <v>-59.39</v>
      </c>
      <c r="S773" t="s">
        <v>2895</v>
      </c>
      <c r="T773" t="s">
        <v>2896</v>
      </c>
      <c r="U773" t="s">
        <v>2897</v>
      </c>
    </row>
    <row r="774" spans="1:21">
      <c r="A774" t="s">
        <v>1646</v>
      </c>
      <c r="B774" s="7">
        <v>46189</v>
      </c>
      <c r="C774" s="8">
        <v>0.39586805555555554</v>
      </c>
      <c r="D774" t="s">
        <v>17</v>
      </c>
      <c r="E774" t="s">
        <v>2</v>
      </c>
      <c r="F774" t="s">
        <v>50</v>
      </c>
      <c r="G774" t="s">
        <v>51</v>
      </c>
      <c r="H774">
        <v>10.49</v>
      </c>
      <c r="I774" t="s">
        <v>52</v>
      </c>
      <c r="J774" t="s">
        <v>53</v>
      </c>
      <c r="K774" t="s">
        <v>54</v>
      </c>
      <c r="L774" t="s">
        <v>55</v>
      </c>
      <c r="O774" t="s">
        <v>56</v>
      </c>
      <c r="P774" t="s">
        <v>57</v>
      </c>
      <c r="Q774">
        <v>33978.879999999997</v>
      </c>
      <c r="R774">
        <v>-10.49</v>
      </c>
      <c r="S774" t="s">
        <v>2895</v>
      </c>
      <c r="T774" t="s">
        <v>2896</v>
      </c>
      <c r="U774" t="s">
        <v>2897</v>
      </c>
    </row>
    <row r="775" spans="1:21">
      <c r="A775" t="s">
        <v>1648</v>
      </c>
      <c r="B775" s="7">
        <v>46189</v>
      </c>
      <c r="C775" s="8">
        <v>0.3959259259259259</v>
      </c>
      <c r="D775" t="s">
        <v>17</v>
      </c>
      <c r="E775" t="s">
        <v>2</v>
      </c>
      <c r="F775" t="s">
        <v>50</v>
      </c>
      <c r="G775" t="s">
        <v>100</v>
      </c>
      <c r="H775">
        <v>12.72</v>
      </c>
      <c r="I775" t="s">
        <v>52</v>
      </c>
      <c r="J775" t="s">
        <v>114</v>
      </c>
      <c r="K775" t="s">
        <v>54</v>
      </c>
      <c r="L775" t="s">
        <v>102</v>
      </c>
      <c r="O775" t="s">
        <v>103</v>
      </c>
      <c r="P775" t="s">
        <v>104</v>
      </c>
      <c r="Q775">
        <v>34055.440000000002</v>
      </c>
      <c r="R775">
        <v>-12.72</v>
      </c>
      <c r="S775" t="s">
        <v>2895</v>
      </c>
      <c r="T775" t="s">
        <v>2896</v>
      </c>
      <c r="U775" t="s">
        <v>2897</v>
      </c>
    </row>
    <row r="776" spans="1:21">
      <c r="A776" t="s">
        <v>1650</v>
      </c>
      <c r="B776" s="7">
        <v>46189</v>
      </c>
      <c r="C776" s="8">
        <v>0.48885416666666665</v>
      </c>
      <c r="D776" t="s">
        <v>17</v>
      </c>
      <c r="E776" t="s">
        <v>2</v>
      </c>
      <c r="F776" t="s">
        <v>50</v>
      </c>
      <c r="G776" t="s">
        <v>51</v>
      </c>
      <c r="H776">
        <v>14.15</v>
      </c>
      <c r="I776" t="s">
        <v>52</v>
      </c>
      <c r="J776" t="s">
        <v>53</v>
      </c>
      <c r="K776" t="s">
        <v>54</v>
      </c>
      <c r="L776" t="s">
        <v>55</v>
      </c>
      <c r="O776" t="s">
        <v>56</v>
      </c>
      <c r="P776" t="s">
        <v>57</v>
      </c>
      <c r="Q776">
        <v>34041.29</v>
      </c>
      <c r="R776">
        <v>-14.15</v>
      </c>
      <c r="S776" t="s">
        <v>2895</v>
      </c>
      <c r="T776" t="s">
        <v>2896</v>
      </c>
      <c r="U776" t="s">
        <v>2897</v>
      </c>
    </row>
    <row r="777" spans="1:21">
      <c r="A777" t="s">
        <v>1652</v>
      </c>
      <c r="B777" s="7">
        <v>46189</v>
      </c>
      <c r="C777" s="8">
        <v>0.49562499999999998</v>
      </c>
      <c r="D777" t="s">
        <v>17</v>
      </c>
      <c r="E777" t="s">
        <v>2</v>
      </c>
      <c r="F777" t="s">
        <v>50</v>
      </c>
      <c r="G777" t="s">
        <v>51</v>
      </c>
      <c r="H777">
        <v>34.380000000000003</v>
      </c>
      <c r="I777" t="s">
        <v>52</v>
      </c>
      <c r="J777" t="s">
        <v>81</v>
      </c>
      <c r="K777" t="s">
        <v>54</v>
      </c>
      <c r="L777" t="s">
        <v>55</v>
      </c>
      <c r="O777" t="s">
        <v>82</v>
      </c>
      <c r="P777" t="s">
        <v>83</v>
      </c>
      <c r="Q777">
        <v>34068.160000000003</v>
      </c>
      <c r="R777">
        <v>-34.380000000000003</v>
      </c>
      <c r="S777" t="s">
        <v>2895</v>
      </c>
      <c r="T777" t="s">
        <v>2896</v>
      </c>
      <c r="U777" t="s">
        <v>2897</v>
      </c>
    </row>
    <row r="778" spans="1:21">
      <c r="A778" t="s">
        <v>1654</v>
      </c>
      <c r="B778" s="7">
        <v>46189</v>
      </c>
      <c r="C778" s="8">
        <v>0.52230324074074075</v>
      </c>
      <c r="D778" t="s">
        <v>17</v>
      </c>
      <c r="E778" t="s">
        <v>2</v>
      </c>
      <c r="F778" t="s">
        <v>50</v>
      </c>
      <c r="G778" t="s">
        <v>51</v>
      </c>
      <c r="H778">
        <v>45.61</v>
      </c>
      <c r="I778" t="s">
        <v>52</v>
      </c>
      <c r="J778" t="s">
        <v>60</v>
      </c>
      <c r="K778" t="s">
        <v>54</v>
      </c>
      <c r="L778" t="s">
        <v>55</v>
      </c>
      <c r="O778" t="s">
        <v>61</v>
      </c>
      <c r="P778" t="s">
        <v>62</v>
      </c>
      <c r="Q778">
        <v>33933.269999999997</v>
      </c>
      <c r="R778">
        <v>-45.61</v>
      </c>
      <c r="S778" t="s">
        <v>2895</v>
      </c>
      <c r="T778" t="s">
        <v>2896</v>
      </c>
      <c r="U778" t="s">
        <v>2897</v>
      </c>
    </row>
    <row r="779" spans="1:21">
      <c r="A779" t="s">
        <v>1656</v>
      </c>
      <c r="B779" s="7">
        <v>46189</v>
      </c>
      <c r="C779" s="8">
        <v>0.55710648148148145</v>
      </c>
      <c r="D779" t="s">
        <v>17</v>
      </c>
      <c r="E779" t="s">
        <v>2</v>
      </c>
      <c r="F779" t="s">
        <v>50</v>
      </c>
      <c r="G779" t="s">
        <v>51</v>
      </c>
      <c r="H779">
        <v>42.03</v>
      </c>
      <c r="I779" t="s">
        <v>52</v>
      </c>
      <c r="J779" t="s">
        <v>81</v>
      </c>
      <c r="K779" t="s">
        <v>54</v>
      </c>
      <c r="L779" t="s">
        <v>55</v>
      </c>
      <c r="O779" t="s">
        <v>82</v>
      </c>
      <c r="P779" t="s">
        <v>83</v>
      </c>
      <c r="Q779">
        <v>33999.26</v>
      </c>
      <c r="R779">
        <v>-42.03</v>
      </c>
      <c r="S779" t="s">
        <v>2895</v>
      </c>
      <c r="T779" t="s">
        <v>2896</v>
      </c>
      <c r="U779" t="s">
        <v>2897</v>
      </c>
    </row>
    <row r="780" spans="1:21">
      <c r="A780" t="s">
        <v>1658</v>
      </c>
      <c r="B780" s="7">
        <v>46189</v>
      </c>
      <c r="C780" s="8">
        <v>0.68282407407407408</v>
      </c>
      <c r="D780" t="s">
        <v>17</v>
      </c>
      <c r="E780" t="s">
        <v>2</v>
      </c>
      <c r="F780" t="s">
        <v>50</v>
      </c>
      <c r="G780" t="s">
        <v>51</v>
      </c>
      <c r="H780">
        <v>9.89</v>
      </c>
      <c r="I780" t="s">
        <v>52</v>
      </c>
      <c r="J780" t="s">
        <v>53</v>
      </c>
      <c r="K780" t="s">
        <v>54</v>
      </c>
      <c r="L780" t="s">
        <v>55</v>
      </c>
      <c r="O780" t="s">
        <v>56</v>
      </c>
      <c r="P780" t="s">
        <v>57</v>
      </c>
      <c r="Q780">
        <v>33989.370000000003</v>
      </c>
      <c r="R780">
        <v>-9.89</v>
      </c>
      <c r="S780" t="s">
        <v>2895</v>
      </c>
      <c r="T780" t="s">
        <v>2896</v>
      </c>
      <c r="U780" t="s">
        <v>2897</v>
      </c>
    </row>
    <row r="781" spans="1:21">
      <c r="A781" t="s">
        <v>1660</v>
      </c>
      <c r="B781" s="7">
        <v>46189</v>
      </c>
      <c r="C781" s="8">
        <v>0.79438657407407409</v>
      </c>
      <c r="D781" t="s">
        <v>17</v>
      </c>
      <c r="E781" t="s">
        <v>2</v>
      </c>
      <c r="F781" t="s">
        <v>50</v>
      </c>
      <c r="G781" t="s">
        <v>51</v>
      </c>
      <c r="H781">
        <v>13.07</v>
      </c>
      <c r="I781" t="s">
        <v>52</v>
      </c>
      <c r="J781" t="s">
        <v>121</v>
      </c>
      <c r="K781" t="s">
        <v>54</v>
      </c>
      <c r="L781" t="s">
        <v>55</v>
      </c>
      <c r="O781" t="s">
        <v>122</v>
      </c>
      <c r="P781" t="s">
        <v>123</v>
      </c>
      <c r="Q781">
        <v>33920.199999999997</v>
      </c>
      <c r="R781">
        <v>-13.07</v>
      </c>
      <c r="S781" t="s">
        <v>2895</v>
      </c>
      <c r="T781" t="s">
        <v>2896</v>
      </c>
      <c r="U781" t="s">
        <v>2897</v>
      </c>
    </row>
    <row r="782" spans="1:21">
      <c r="A782" t="s">
        <v>1662</v>
      </c>
      <c r="B782" s="7">
        <v>46190</v>
      </c>
      <c r="C782" s="8">
        <v>0.2898148148148148</v>
      </c>
      <c r="D782" t="s">
        <v>17</v>
      </c>
      <c r="E782" t="s">
        <v>2</v>
      </c>
      <c r="F782" t="s">
        <v>50</v>
      </c>
      <c r="G782" t="s">
        <v>72</v>
      </c>
      <c r="H782">
        <v>136.91</v>
      </c>
      <c r="I782" t="s">
        <v>52</v>
      </c>
      <c r="J782" t="s">
        <v>150</v>
      </c>
      <c r="K782" t="s">
        <v>54</v>
      </c>
      <c r="L782" t="s">
        <v>74</v>
      </c>
      <c r="O782" t="s">
        <v>75</v>
      </c>
      <c r="P782" t="s">
        <v>76</v>
      </c>
      <c r="Q782">
        <v>33644.76</v>
      </c>
      <c r="R782">
        <v>-136.91</v>
      </c>
      <c r="S782" t="s">
        <v>2895</v>
      </c>
      <c r="T782" t="s">
        <v>2896</v>
      </c>
      <c r="U782" t="s">
        <v>2897</v>
      </c>
    </row>
    <row r="783" spans="1:21">
      <c r="A783" t="s">
        <v>1664</v>
      </c>
      <c r="B783" s="7">
        <v>46190</v>
      </c>
      <c r="C783" s="8">
        <v>0.29199074074074072</v>
      </c>
      <c r="D783" t="s">
        <v>17</v>
      </c>
      <c r="E783" t="s">
        <v>2</v>
      </c>
      <c r="F783" t="s">
        <v>50</v>
      </c>
      <c r="G783" t="s">
        <v>51</v>
      </c>
      <c r="H783">
        <v>20.54</v>
      </c>
      <c r="I783" t="s">
        <v>52</v>
      </c>
      <c r="J783" t="s">
        <v>126</v>
      </c>
      <c r="K783" t="s">
        <v>54</v>
      </c>
      <c r="L783" t="s">
        <v>55</v>
      </c>
      <c r="O783" t="s">
        <v>56</v>
      </c>
      <c r="P783" t="s">
        <v>57</v>
      </c>
      <c r="Q783">
        <v>33831.22</v>
      </c>
      <c r="R783">
        <v>-20.54</v>
      </c>
      <c r="S783" t="s">
        <v>2895</v>
      </c>
      <c r="T783" t="s">
        <v>2896</v>
      </c>
      <c r="U783" t="s">
        <v>2897</v>
      </c>
    </row>
    <row r="784" spans="1:21">
      <c r="A784" t="s">
        <v>1666</v>
      </c>
      <c r="B784" s="7">
        <v>46190</v>
      </c>
      <c r="C784" s="8">
        <v>0.33934027777777775</v>
      </c>
      <c r="D784" t="s">
        <v>17</v>
      </c>
      <c r="E784" t="s">
        <v>2</v>
      </c>
      <c r="F784" t="s">
        <v>50</v>
      </c>
      <c r="G784" t="s">
        <v>51</v>
      </c>
      <c r="H784">
        <v>27.58</v>
      </c>
      <c r="I784" t="s">
        <v>52</v>
      </c>
      <c r="J784" t="s">
        <v>126</v>
      </c>
      <c r="K784" t="s">
        <v>54</v>
      </c>
      <c r="L784" t="s">
        <v>55</v>
      </c>
      <c r="O784" t="s">
        <v>56</v>
      </c>
      <c r="P784" t="s">
        <v>57</v>
      </c>
      <c r="Q784">
        <v>33796.71</v>
      </c>
      <c r="R784">
        <v>-27.58</v>
      </c>
      <c r="S784" t="s">
        <v>2895</v>
      </c>
      <c r="T784" t="s">
        <v>2896</v>
      </c>
      <c r="U784" t="s">
        <v>2897</v>
      </c>
    </row>
    <row r="785" spans="1:21">
      <c r="A785" t="s">
        <v>1668</v>
      </c>
      <c r="B785" s="7">
        <v>46190</v>
      </c>
      <c r="C785" s="8">
        <v>0.48388888888888887</v>
      </c>
      <c r="D785" t="s">
        <v>17</v>
      </c>
      <c r="E785" t="s">
        <v>2</v>
      </c>
      <c r="F785" t="s">
        <v>50</v>
      </c>
      <c r="G785" t="s">
        <v>51</v>
      </c>
      <c r="H785">
        <v>6.93</v>
      </c>
      <c r="I785" t="s">
        <v>52</v>
      </c>
      <c r="J785" t="s">
        <v>53</v>
      </c>
      <c r="K785" t="s">
        <v>54</v>
      </c>
      <c r="L785" t="s">
        <v>55</v>
      </c>
      <c r="O785" t="s">
        <v>56</v>
      </c>
      <c r="P785" t="s">
        <v>57</v>
      </c>
      <c r="Q785">
        <v>33824.29</v>
      </c>
      <c r="R785">
        <v>-6.93</v>
      </c>
      <c r="S785" t="s">
        <v>2895</v>
      </c>
      <c r="T785" t="s">
        <v>2896</v>
      </c>
      <c r="U785" t="s">
        <v>2897</v>
      </c>
    </row>
    <row r="786" spans="1:21">
      <c r="A786" t="s">
        <v>1670</v>
      </c>
      <c r="B786" s="7">
        <v>46190</v>
      </c>
      <c r="C786" s="8">
        <v>0.76909722222222221</v>
      </c>
      <c r="D786" t="s">
        <v>17</v>
      </c>
      <c r="E786" t="s">
        <v>2</v>
      </c>
      <c r="F786" t="s">
        <v>50</v>
      </c>
      <c r="G786" t="s">
        <v>51</v>
      </c>
      <c r="H786">
        <v>15.04</v>
      </c>
      <c r="I786" t="s">
        <v>52</v>
      </c>
      <c r="J786" t="s">
        <v>121</v>
      </c>
      <c r="K786" t="s">
        <v>54</v>
      </c>
      <c r="L786" t="s">
        <v>55</v>
      </c>
      <c r="O786" t="s">
        <v>122</v>
      </c>
      <c r="P786" t="s">
        <v>123</v>
      </c>
      <c r="Q786">
        <v>33781.67</v>
      </c>
      <c r="R786">
        <v>-15.04</v>
      </c>
      <c r="S786" t="s">
        <v>2895</v>
      </c>
      <c r="T786" t="s">
        <v>2896</v>
      </c>
      <c r="U786" t="s">
        <v>2897</v>
      </c>
    </row>
    <row r="787" spans="1:21">
      <c r="A787" t="s">
        <v>1672</v>
      </c>
      <c r="B787" s="7">
        <v>46190</v>
      </c>
      <c r="C787" s="8">
        <v>0.83981481481481479</v>
      </c>
      <c r="D787" t="s">
        <v>17</v>
      </c>
      <c r="E787" t="s">
        <v>2</v>
      </c>
      <c r="F787" t="s">
        <v>50</v>
      </c>
      <c r="G787" t="s">
        <v>51</v>
      </c>
      <c r="H787">
        <v>29.28</v>
      </c>
      <c r="I787" t="s">
        <v>52</v>
      </c>
      <c r="J787" t="s">
        <v>81</v>
      </c>
      <c r="K787" t="s">
        <v>54</v>
      </c>
      <c r="L787" t="s">
        <v>55</v>
      </c>
      <c r="O787" t="s">
        <v>82</v>
      </c>
      <c r="P787" t="s">
        <v>83</v>
      </c>
      <c r="Q787">
        <v>33890.92</v>
      </c>
      <c r="R787">
        <v>-29.28</v>
      </c>
      <c r="S787" t="s">
        <v>2895</v>
      </c>
      <c r="T787" t="s">
        <v>2896</v>
      </c>
      <c r="U787" t="s">
        <v>2897</v>
      </c>
    </row>
    <row r="788" spans="1:21">
      <c r="A788" t="s">
        <v>1674</v>
      </c>
      <c r="B788" s="7">
        <v>46190</v>
      </c>
      <c r="C788" s="8">
        <v>0.89004629629629628</v>
      </c>
      <c r="D788" t="s">
        <v>17</v>
      </c>
      <c r="E788" t="s">
        <v>2</v>
      </c>
      <c r="F788" t="s">
        <v>50</v>
      </c>
      <c r="G788" t="s">
        <v>51</v>
      </c>
      <c r="H788">
        <v>39.159999999999997</v>
      </c>
      <c r="I788" t="s">
        <v>52</v>
      </c>
      <c r="J788" t="s">
        <v>126</v>
      </c>
      <c r="K788" t="s">
        <v>54</v>
      </c>
      <c r="L788" t="s">
        <v>55</v>
      </c>
      <c r="O788" t="s">
        <v>56</v>
      </c>
      <c r="P788" t="s">
        <v>57</v>
      </c>
      <c r="Q788">
        <v>33851.760000000002</v>
      </c>
      <c r="R788">
        <v>-39.159999999999997</v>
      </c>
      <c r="S788" t="s">
        <v>2895</v>
      </c>
      <c r="T788" t="s">
        <v>2896</v>
      </c>
      <c r="U788" t="s">
        <v>2897</v>
      </c>
    </row>
    <row r="789" spans="1:21">
      <c r="A789" t="s">
        <v>1676</v>
      </c>
      <c r="B789" s="7">
        <v>46191</v>
      </c>
      <c r="C789" s="8">
        <v>0.30506944444444445</v>
      </c>
      <c r="D789" t="s">
        <v>17</v>
      </c>
      <c r="E789" t="s">
        <v>2</v>
      </c>
      <c r="F789" t="s">
        <v>50</v>
      </c>
      <c r="G789" t="s">
        <v>51</v>
      </c>
      <c r="H789">
        <v>6.34</v>
      </c>
      <c r="I789" t="s">
        <v>52</v>
      </c>
      <c r="J789" t="s">
        <v>53</v>
      </c>
      <c r="K789" t="s">
        <v>54</v>
      </c>
      <c r="L789" t="s">
        <v>55</v>
      </c>
      <c r="O789" t="s">
        <v>56</v>
      </c>
      <c r="P789" t="s">
        <v>57</v>
      </c>
      <c r="Q789">
        <v>33510.239999999998</v>
      </c>
      <c r="R789">
        <v>-6.34</v>
      </c>
      <c r="S789" t="s">
        <v>2895</v>
      </c>
      <c r="T789" t="s">
        <v>2896</v>
      </c>
      <c r="U789" t="s">
        <v>2897</v>
      </c>
    </row>
    <row r="790" spans="1:21">
      <c r="A790" t="s">
        <v>1678</v>
      </c>
      <c r="B790" s="7">
        <v>46191</v>
      </c>
      <c r="C790" s="8">
        <v>0.39203703703703702</v>
      </c>
      <c r="D790" t="s">
        <v>17</v>
      </c>
      <c r="E790" t="s">
        <v>2</v>
      </c>
      <c r="F790" t="s">
        <v>50</v>
      </c>
      <c r="G790" t="s">
        <v>51</v>
      </c>
      <c r="H790">
        <v>24.23</v>
      </c>
      <c r="I790" t="s">
        <v>52</v>
      </c>
      <c r="J790" t="s">
        <v>81</v>
      </c>
      <c r="K790" t="s">
        <v>54</v>
      </c>
      <c r="L790" t="s">
        <v>55</v>
      </c>
      <c r="O790" t="s">
        <v>82</v>
      </c>
      <c r="P790" t="s">
        <v>83</v>
      </c>
      <c r="Q790">
        <v>33516.58</v>
      </c>
      <c r="R790">
        <v>-24.23</v>
      </c>
      <c r="S790" t="s">
        <v>2895</v>
      </c>
      <c r="T790" t="s">
        <v>2896</v>
      </c>
      <c r="U790" t="s">
        <v>2897</v>
      </c>
    </row>
    <row r="791" spans="1:21">
      <c r="A791" t="s">
        <v>1680</v>
      </c>
      <c r="B791" s="7">
        <v>46191</v>
      </c>
      <c r="C791" s="8">
        <v>0.55189814814814819</v>
      </c>
      <c r="D791" t="s">
        <v>17</v>
      </c>
      <c r="E791" t="s">
        <v>2</v>
      </c>
      <c r="F791" t="s">
        <v>50</v>
      </c>
      <c r="G791" t="s">
        <v>51</v>
      </c>
      <c r="H791">
        <v>103.95</v>
      </c>
      <c r="I791" t="s">
        <v>52</v>
      </c>
      <c r="J791" t="s">
        <v>65</v>
      </c>
      <c r="K791" t="s">
        <v>54</v>
      </c>
      <c r="L791" t="s">
        <v>55</v>
      </c>
      <c r="O791" t="s">
        <v>66</v>
      </c>
      <c r="P791" t="s">
        <v>67</v>
      </c>
      <c r="Q791">
        <v>33540.81</v>
      </c>
      <c r="R791">
        <v>-103.95</v>
      </c>
      <c r="S791" t="s">
        <v>2895</v>
      </c>
      <c r="T791" t="s">
        <v>2896</v>
      </c>
      <c r="U791" t="s">
        <v>2897</v>
      </c>
    </row>
    <row r="792" spans="1:21">
      <c r="A792" t="s">
        <v>1682</v>
      </c>
      <c r="B792" s="7">
        <v>46191</v>
      </c>
      <c r="C792" s="8">
        <v>0.75085648148148143</v>
      </c>
      <c r="D792" t="s">
        <v>17</v>
      </c>
      <c r="E792" t="s">
        <v>2</v>
      </c>
      <c r="F792" t="s">
        <v>50</v>
      </c>
      <c r="G792" t="s">
        <v>51</v>
      </c>
      <c r="H792">
        <v>41.35</v>
      </c>
      <c r="I792" t="s">
        <v>52</v>
      </c>
      <c r="J792" t="s">
        <v>196</v>
      </c>
      <c r="K792" t="s">
        <v>54</v>
      </c>
      <c r="L792" t="s">
        <v>55</v>
      </c>
      <c r="O792" t="s">
        <v>197</v>
      </c>
      <c r="P792" t="s">
        <v>198</v>
      </c>
      <c r="Q792">
        <v>33432.18</v>
      </c>
      <c r="R792">
        <v>-41.35</v>
      </c>
      <c r="S792" t="s">
        <v>2895</v>
      </c>
      <c r="T792" t="s">
        <v>2896</v>
      </c>
      <c r="U792" t="s">
        <v>2897</v>
      </c>
    </row>
    <row r="793" spans="1:21">
      <c r="A793" t="s">
        <v>1684</v>
      </c>
      <c r="B793" s="7">
        <v>46191</v>
      </c>
      <c r="C793" s="8">
        <v>0.89083333333333337</v>
      </c>
      <c r="D793" t="s">
        <v>17</v>
      </c>
      <c r="E793" t="s">
        <v>2</v>
      </c>
      <c r="F793" t="s">
        <v>50</v>
      </c>
      <c r="G793" t="s">
        <v>51</v>
      </c>
      <c r="H793">
        <v>21.71</v>
      </c>
      <c r="I793" t="s">
        <v>52</v>
      </c>
      <c r="J793" t="s">
        <v>126</v>
      </c>
      <c r="K793" t="s">
        <v>54</v>
      </c>
      <c r="L793" t="s">
        <v>55</v>
      </c>
      <c r="O793" t="s">
        <v>56</v>
      </c>
      <c r="P793" t="s">
        <v>57</v>
      </c>
      <c r="Q793">
        <v>33473.53</v>
      </c>
      <c r="R793">
        <v>-21.71</v>
      </c>
      <c r="S793" t="s">
        <v>2895</v>
      </c>
      <c r="T793" t="s">
        <v>2896</v>
      </c>
      <c r="U793" t="s">
        <v>2897</v>
      </c>
    </row>
    <row r="794" spans="1:21">
      <c r="A794" t="s">
        <v>1686</v>
      </c>
      <c r="B794" s="7">
        <v>46191</v>
      </c>
      <c r="C794" s="8">
        <v>0.92369212962962965</v>
      </c>
      <c r="D794" t="s">
        <v>17</v>
      </c>
      <c r="E794" t="s">
        <v>2</v>
      </c>
      <c r="F794" t="s">
        <v>50</v>
      </c>
      <c r="G794" t="s">
        <v>72</v>
      </c>
      <c r="H794">
        <v>23.51</v>
      </c>
      <c r="I794" t="s">
        <v>52</v>
      </c>
      <c r="J794" t="s">
        <v>638</v>
      </c>
      <c r="K794" t="s">
        <v>54</v>
      </c>
      <c r="L794" t="s">
        <v>74</v>
      </c>
      <c r="O794" t="s">
        <v>75</v>
      </c>
      <c r="P794" t="s">
        <v>76</v>
      </c>
      <c r="Q794">
        <v>33408.67</v>
      </c>
      <c r="R794">
        <v>-23.51</v>
      </c>
      <c r="S794" t="s">
        <v>2895</v>
      </c>
      <c r="T794" t="s">
        <v>2896</v>
      </c>
      <c r="U794" t="s">
        <v>2897</v>
      </c>
    </row>
    <row r="795" spans="1:21">
      <c r="A795" t="s">
        <v>1688</v>
      </c>
      <c r="B795" s="7">
        <v>46191</v>
      </c>
      <c r="C795" s="8">
        <v>0.93156249999999996</v>
      </c>
      <c r="D795" t="s">
        <v>17</v>
      </c>
      <c r="E795" t="s">
        <v>2</v>
      </c>
      <c r="F795" t="s">
        <v>50</v>
      </c>
      <c r="G795" t="s">
        <v>100</v>
      </c>
      <c r="H795">
        <v>15</v>
      </c>
      <c r="I795" t="s">
        <v>52</v>
      </c>
      <c r="J795" t="s">
        <v>101</v>
      </c>
      <c r="K795" t="s">
        <v>54</v>
      </c>
      <c r="L795" t="s">
        <v>102</v>
      </c>
      <c r="O795" t="s">
        <v>103</v>
      </c>
      <c r="P795" t="s">
        <v>104</v>
      </c>
      <c r="Q795">
        <v>33495.24</v>
      </c>
      <c r="R795">
        <v>-15</v>
      </c>
      <c r="S795" t="s">
        <v>2895</v>
      </c>
      <c r="T795" t="s">
        <v>2896</v>
      </c>
      <c r="U795" t="s">
        <v>2897</v>
      </c>
    </row>
    <row r="796" spans="1:21">
      <c r="A796" t="s">
        <v>1690</v>
      </c>
      <c r="B796" s="7">
        <v>46192</v>
      </c>
      <c r="C796" s="8">
        <v>0.26349537037037035</v>
      </c>
      <c r="D796" t="s">
        <v>17</v>
      </c>
      <c r="E796" t="s">
        <v>2</v>
      </c>
      <c r="F796" t="s">
        <v>50</v>
      </c>
      <c r="G796" t="s">
        <v>51</v>
      </c>
      <c r="H796">
        <v>16.22</v>
      </c>
      <c r="I796" t="s">
        <v>52</v>
      </c>
      <c r="J796" t="s">
        <v>126</v>
      </c>
      <c r="K796" t="s">
        <v>54</v>
      </c>
      <c r="L796" t="s">
        <v>55</v>
      </c>
      <c r="O796" t="s">
        <v>56</v>
      </c>
      <c r="P796" t="s">
        <v>57</v>
      </c>
      <c r="Q796">
        <v>33249.89</v>
      </c>
      <c r="R796">
        <v>-16.22</v>
      </c>
      <c r="S796" t="s">
        <v>2895</v>
      </c>
      <c r="T796" t="s">
        <v>2896</v>
      </c>
      <c r="U796" t="s">
        <v>2897</v>
      </c>
    </row>
    <row r="797" spans="1:21">
      <c r="A797" t="s">
        <v>1692</v>
      </c>
      <c r="B797" s="7">
        <v>46192</v>
      </c>
      <c r="C797" s="8">
        <v>0.32090277777777776</v>
      </c>
      <c r="D797" t="s">
        <v>17</v>
      </c>
      <c r="E797" t="s">
        <v>2</v>
      </c>
      <c r="F797" t="s">
        <v>50</v>
      </c>
      <c r="G797" t="s">
        <v>51</v>
      </c>
      <c r="H797">
        <v>93.43</v>
      </c>
      <c r="I797" t="s">
        <v>52</v>
      </c>
      <c r="J797" t="s">
        <v>65</v>
      </c>
      <c r="K797" t="s">
        <v>54</v>
      </c>
      <c r="L797" t="s">
        <v>55</v>
      </c>
      <c r="O797" t="s">
        <v>66</v>
      </c>
      <c r="P797" t="s">
        <v>67</v>
      </c>
      <c r="Q797">
        <v>33295.589999999997</v>
      </c>
      <c r="R797">
        <v>-93.43</v>
      </c>
      <c r="S797" t="s">
        <v>2895</v>
      </c>
      <c r="T797" t="s">
        <v>2896</v>
      </c>
      <c r="U797" t="s">
        <v>2897</v>
      </c>
    </row>
    <row r="798" spans="1:21">
      <c r="A798" t="s">
        <v>1694</v>
      </c>
      <c r="B798" s="7">
        <v>46192</v>
      </c>
      <c r="C798" s="8">
        <v>0.39337962962962963</v>
      </c>
      <c r="D798" t="s">
        <v>17</v>
      </c>
      <c r="E798" t="s">
        <v>2</v>
      </c>
      <c r="F798" t="s">
        <v>50</v>
      </c>
      <c r="G798" t="s">
        <v>51</v>
      </c>
      <c r="H798">
        <v>24.13</v>
      </c>
      <c r="I798" t="s">
        <v>52</v>
      </c>
      <c r="J798" t="s">
        <v>65</v>
      </c>
      <c r="K798" t="s">
        <v>54</v>
      </c>
      <c r="L798" t="s">
        <v>55</v>
      </c>
      <c r="O798" t="s">
        <v>66</v>
      </c>
      <c r="P798" t="s">
        <v>67</v>
      </c>
      <c r="Q798">
        <v>33271.46</v>
      </c>
      <c r="R798">
        <v>-24.13</v>
      </c>
      <c r="S798" t="s">
        <v>2895</v>
      </c>
      <c r="T798" t="s">
        <v>2896</v>
      </c>
      <c r="U798" t="s">
        <v>2897</v>
      </c>
    </row>
    <row r="799" spans="1:21">
      <c r="A799" t="s">
        <v>1696</v>
      </c>
      <c r="B799" s="7">
        <v>46192</v>
      </c>
      <c r="C799" s="8">
        <v>0.60467592592592589</v>
      </c>
      <c r="D799" t="s">
        <v>17</v>
      </c>
      <c r="E799" t="s">
        <v>2</v>
      </c>
      <c r="F799" t="s">
        <v>50</v>
      </c>
      <c r="G799" t="s">
        <v>51</v>
      </c>
      <c r="H799">
        <v>5.35</v>
      </c>
      <c r="I799" t="s">
        <v>52</v>
      </c>
      <c r="J799" t="s">
        <v>121</v>
      </c>
      <c r="K799" t="s">
        <v>54</v>
      </c>
      <c r="L799" t="s">
        <v>55</v>
      </c>
      <c r="O799" t="s">
        <v>122</v>
      </c>
      <c r="P799" t="s">
        <v>123</v>
      </c>
      <c r="Q799">
        <v>33266.11</v>
      </c>
      <c r="R799">
        <v>-5.35</v>
      </c>
      <c r="S799" t="s">
        <v>2895</v>
      </c>
      <c r="T799" t="s">
        <v>2896</v>
      </c>
      <c r="U799" t="s">
        <v>2897</v>
      </c>
    </row>
    <row r="800" spans="1:21">
      <c r="A800" t="s">
        <v>1698</v>
      </c>
      <c r="B800" s="7">
        <v>46192</v>
      </c>
      <c r="C800" s="8">
        <v>0.61775462962962968</v>
      </c>
      <c r="D800" t="s">
        <v>17</v>
      </c>
      <c r="E800" t="s">
        <v>2</v>
      </c>
      <c r="F800" t="s">
        <v>50</v>
      </c>
      <c r="G800" t="s">
        <v>51</v>
      </c>
      <c r="H800">
        <v>19.649999999999999</v>
      </c>
      <c r="I800" t="s">
        <v>52</v>
      </c>
      <c r="J800" t="s">
        <v>121</v>
      </c>
      <c r="K800" t="s">
        <v>54</v>
      </c>
      <c r="L800" t="s">
        <v>55</v>
      </c>
      <c r="O800" t="s">
        <v>122</v>
      </c>
      <c r="P800" t="s">
        <v>123</v>
      </c>
      <c r="Q800">
        <v>33389.019999999997</v>
      </c>
      <c r="R800">
        <v>-19.649999999999999</v>
      </c>
      <c r="S800" t="s">
        <v>2895</v>
      </c>
      <c r="T800" t="s">
        <v>2896</v>
      </c>
      <c r="U800" t="s">
        <v>2897</v>
      </c>
    </row>
    <row r="801" spans="1:21">
      <c r="A801" t="s">
        <v>1700</v>
      </c>
      <c r="B801" s="7">
        <v>46193</v>
      </c>
      <c r="C801" s="8">
        <v>0.31633101851851853</v>
      </c>
      <c r="D801" t="s">
        <v>17</v>
      </c>
      <c r="E801" t="s">
        <v>2</v>
      </c>
      <c r="F801" t="s">
        <v>50</v>
      </c>
      <c r="G801" t="s">
        <v>51</v>
      </c>
      <c r="H801">
        <v>8.61</v>
      </c>
      <c r="I801" t="s">
        <v>52</v>
      </c>
      <c r="J801" t="s">
        <v>121</v>
      </c>
      <c r="K801" t="s">
        <v>54</v>
      </c>
      <c r="L801" t="s">
        <v>55</v>
      </c>
      <c r="O801" t="s">
        <v>122</v>
      </c>
      <c r="P801" t="s">
        <v>123</v>
      </c>
      <c r="Q801">
        <v>33029.910000000003</v>
      </c>
      <c r="R801">
        <v>-8.61</v>
      </c>
      <c r="S801" t="s">
        <v>2895</v>
      </c>
      <c r="T801" t="s">
        <v>2896</v>
      </c>
      <c r="U801" t="s">
        <v>2897</v>
      </c>
    </row>
    <row r="802" spans="1:21">
      <c r="A802" t="s">
        <v>1702</v>
      </c>
      <c r="B802" s="7">
        <v>46193</v>
      </c>
      <c r="C802" s="8">
        <v>0.36773148148148149</v>
      </c>
      <c r="D802" t="s">
        <v>17</v>
      </c>
      <c r="E802" t="s">
        <v>2</v>
      </c>
      <c r="F802" t="s">
        <v>50</v>
      </c>
      <c r="G802" t="s">
        <v>100</v>
      </c>
      <c r="H802">
        <v>15</v>
      </c>
      <c r="I802" t="s">
        <v>52</v>
      </c>
      <c r="J802" t="s">
        <v>101</v>
      </c>
      <c r="K802" t="s">
        <v>54</v>
      </c>
      <c r="L802" t="s">
        <v>102</v>
      </c>
      <c r="O802" t="s">
        <v>103</v>
      </c>
      <c r="P802" t="s">
        <v>104</v>
      </c>
      <c r="Q802">
        <v>32860.79</v>
      </c>
      <c r="R802">
        <v>-15</v>
      </c>
      <c r="S802" t="s">
        <v>2895</v>
      </c>
      <c r="T802" t="s">
        <v>2896</v>
      </c>
      <c r="U802" t="s">
        <v>2897</v>
      </c>
    </row>
    <row r="803" spans="1:21">
      <c r="A803" t="s">
        <v>1704</v>
      </c>
      <c r="B803" s="7">
        <v>46193</v>
      </c>
      <c r="C803" s="8">
        <v>0.37369212962962961</v>
      </c>
      <c r="D803" t="s">
        <v>17</v>
      </c>
      <c r="E803" t="s">
        <v>2</v>
      </c>
      <c r="F803" t="s">
        <v>50</v>
      </c>
      <c r="G803" t="s">
        <v>51</v>
      </c>
      <c r="H803">
        <v>19.62</v>
      </c>
      <c r="I803" t="s">
        <v>52</v>
      </c>
      <c r="J803" t="s">
        <v>65</v>
      </c>
      <c r="K803" t="s">
        <v>54</v>
      </c>
      <c r="L803" t="s">
        <v>55</v>
      </c>
      <c r="O803" t="s">
        <v>66</v>
      </c>
      <c r="P803" t="s">
        <v>67</v>
      </c>
      <c r="Q803">
        <v>32875.79</v>
      </c>
      <c r="R803">
        <v>-19.62</v>
      </c>
      <c r="S803" t="s">
        <v>2895</v>
      </c>
      <c r="T803" t="s">
        <v>2896</v>
      </c>
      <c r="U803" t="s">
        <v>2897</v>
      </c>
    </row>
    <row r="804" spans="1:21">
      <c r="A804" t="s">
        <v>1706</v>
      </c>
      <c r="B804" s="7">
        <v>46193</v>
      </c>
      <c r="C804" s="8">
        <v>0.39666666666666667</v>
      </c>
      <c r="D804" t="s">
        <v>17</v>
      </c>
      <c r="E804" t="s">
        <v>2</v>
      </c>
      <c r="F804" t="s">
        <v>50</v>
      </c>
      <c r="G804" t="s">
        <v>51</v>
      </c>
      <c r="H804">
        <v>36.14</v>
      </c>
      <c r="I804" t="s">
        <v>52</v>
      </c>
      <c r="J804" t="s">
        <v>60</v>
      </c>
      <c r="K804" t="s">
        <v>54</v>
      </c>
      <c r="L804" t="s">
        <v>55</v>
      </c>
      <c r="O804" t="s">
        <v>61</v>
      </c>
      <c r="P804" t="s">
        <v>62</v>
      </c>
      <c r="Q804">
        <v>33189</v>
      </c>
      <c r="R804">
        <v>-36.14</v>
      </c>
      <c r="S804" t="s">
        <v>2895</v>
      </c>
      <c r="T804" t="s">
        <v>2896</v>
      </c>
      <c r="U804" t="s">
        <v>2897</v>
      </c>
    </row>
    <row r="805" spans="1:21">
      <c r="A805" t="s">
        <v>1708</v>
      </c>
      <c r="B805" s="7">
        <v>46193</v>
      </c>
      <c r="C805" s="8">
        <v>0.39775462962962965</v>
      </c>
      <c r="D805" t="s">
        <v>17</v>
      </c>
      <c r="E805" t="s">
        <v>2</v>
      </c>
      <c r="F805" t="s">
        <v>50</v>
      </c>
      <c r="G805" t="s">
        <v>51</v>
      </c>
      <c r="H805">
        <v>24.75</v>
      </c>
      <c r="I805" t="s">
        <v>52</v>
      </c>
      <c r="J805" t="s">
        <v>126</v>
      </c>
      <c r="K805" t="s">
        <v>54</v>
      </c>
      <c r="L805" t="s">
        <v>55</v>
      </c>
      <c r="O805" t="s">
        <v>56</v>
      </c>
      <c r="P805" t="s">
        <v>57</v>
      </c>
      <c r="Q805">
        <v>33225.14</v>
      </c>
      <c r="R805">
        <v>-24.75</v>
      </c>
      <c r="S805" t="s">
        <v>2895</v>
      </c>
      <c r="T805" t="s">
        <v>2896</v>
      </c>
      <c r="U805" t="s">
        <v>2897</v>
      </c>
    </row>
    <row r="806" spans="1:21">
      <c r="A806" t="s">
        <v>1710</v>
      </c>
      <c r="B806" s="7">
        <v>46193</v>
      </c>
      <c r="C806" s="8">
        <v>0.56201388888888892</v>
      </c>
      <c r="D806" t="s">
        <v>17</v>
      </c>
      <c r="E806" t="s">
        <v>2</v>
      </c>
      <c r="F806" t="s">
        <v>50</v>
      </c>
      <c r="G806" t="s">
        <v>72</v>
      </c>
      <c r="H806">
        <v>60.94</v>
      </c>
      <c r="I806" t="s">
        <v>52</v>
      </c>
      <c r="J806" t="s">
        <v>611</v>
      </c>
      <c r="K806" t="s">
        <v>54</v>
      </c>
      <c r="L806" t="s">
        <v>74</v>
      </c>
      <c r="O806" t="s">
        <v>75</v>
      </c>
      <c r="P806" t="s">
        <v>76</v>
      </c>
      <c r="Q806">
        <v>32799.85</v>
      </c>
      <c r="R806">
        <v>-60.94</v>
      </c>
      <c r="S806" t="s">
        <v>2895</v>
      </c>
      <c r="T806" t="s">
        <v>2896</v>
      </c>
      <c r="U806" t="s">
        <v>2897</v>
      </c>
    </row>
    <row r="807" spans="1:21">
      <c r="A807" t="s">
        <v>1712</v>
      </c>
      <c r="B807" s="7">
        <v>46193</v>
      </c>
      <c r="C807" s="8">
        <v>0.88975694444444442</v>
      </c>
      <c r="D807" t="s">
        <v>17</v>
      </c>
      <c r="E807" t="s">
        <v>2</v>
      </c>
      <c r="F807" t="s">
        <v>50</v>
      </c>
      <c r="G807" t="s">
        <v>51</v>
      </c>
      <c r="H807">
        <v>134.5</v>
      </c>
      <c r="I807" t="s">
        <v>52</v>
      </c>
      <c r="J807" t="s">
        <v>196</v>
      </c>
      <c r="K807" t="s">
        <v>54</v>
      </c>
      <c r="L807" t="s">
        <v>55</v>
      </c>
      <c r="O807" t="s">
        <v>197</v>
      </c>
      <c r="P807" t="s">
        <v>198</v>
      </c>
      <c r="Q807">
        <v>32895.410000000003</v>
      </c>
      <c r="R807">
        <v>-134.5</v>
      </c>
      <c r="S807" t="s">
        <v>2895</v>
      </c>
      <c r="T807" t="s">
        <v>2896</v>
      </c>
      <c r="U807" t="s">
        <v>2897</v>
      </c>
    </row>
    <row r="808" spans="1:21">
      <c r="A808" t="s">
        <v>1714</v>
      </c>
      <c r="B808" s="7">
        <v>46193</v>
      </c>
      <c r="C808" s="8">
        <v>0.92525462962962968</v>
      </c>
      <c r="D808" t="s">
        <v>17</v>
      </c>
      <c r="E808" t="s">
        <v>2</v>
      </c>
      <c r="F808" t="s">
        <v>50</v>
      </c>
      <c r="G808" t="s">
        <v>51</v>
      </c>
      <c r="H808">
        <v>150.47999999999999</v>
      </c>
      <c r="I808" t="s">
        <v>52</v>
      </c>
      <c r="J808" t="s">
        <v>196</v>
      </c>
      <c r="K808" t="s">
        <v>54</v>
      </c>
      <c r="L808" t="s">
        <v>55</v>
      </c>
      <c r="O808" t="s">
        <v>197</v>
      </c>
      <c r="P808" t="s">
        <v>198</v>
      </c>
      <c r="Q808">
        <v>33038.519999999997</v>
      </c>
      <c r="R808">
        <v>-150.47999999999999</v>
      </c>
      <c r="S808" t="s">
        <v>2895</v>
      </c>
      <c r="T808" t="s">
        <v>2896</v>
      </c>
      <c r="U808" t="s">
        <v>2897</v>
      </c>
    </row>
    <row r="809" spans="1:21">
      <c r="A809" t="s">
        <v>1716</v>
      </c>
      <c r="B809" s="7">
        <v>46194</v>
      </c>
      <c r="C809" s="8">
        <v>0.29229166666666667</v>
      </c>
      <c r="D809" t="s">
        <v>17</v>
      </c>
      <c r="E809" t="s">
        <v>2</v>
      </c>
      <c r="F809" t="s">
        <v>50</v>
      </c>
      <c r="G809" t="s">
        <v>51</v>
      </c>
      <c r="H809">
        <v>26.75</v>
      </c>
      <c r="I809" t="s">
        <v>52</v>
      </c>
      <c r="J809" t="s">
        <v>60</v>
      </c>
      <c r="K809" t="s">
        <v>54</v>
      </c>
      <c r="L809" t="s">
        <v>55</v>
      </c>
      <c r="O809" t="s">
        <v>61</v>
      </c>
      <c r="P809" t="s">
        <v>62</v>
      </c>
      <c r="Q809">
        <v>32660.76</v>
      </c>
      <c r="R809">
        <v>-26.75</v>
      </c>
      <c r="S809" t="s">
        <v>2895</v>
      </c>
      <c r="T809" t="s">
        <v>2896</v>
      </c>
      <c r="U809" t="s">
        <v>2897</v>
      </c>
    </row>
    <row r="810" spans="1:21">
      <c r="A810" t="s">
        <v>1718</v>
      </c>
      <c r="B810" s="7">
        <v>46194</v>
      </c>
      <c r="C810" s="8">
        <v>0.32937499999999997</v>
      </c>
      <c r="D810" t="s">
        <v>17</v>
      </c>
      <c r="E810" t="s">
        <v>2</v>
      </c>
      <c r="F810" t="s">
        <v>50</v>
      </c>
      <c r="G810" t="s">
        <v>51</v>
      </c>
      <c r="H810">
        <v>62.66</v>
      </c>
      <c r="I810" t="s">
        <v>52</v>
      </c>
      <c r="J810" t="s">
        <v>60</v>
      </c>
      <c r="K810" t="s">
        <v>54</v>
      </c>
      <c r="L810" t="s">
        <v>55</v>
      </c>
      <c r="O810" t="s">
        <v>61</v>
      </c>
      <c r="P810" t="s">
        <v>62</v>
      </c>
      <c r="Q810">
        <v>32737.19</v>
      </c>
      <c r="R810">
        <v>-62.66</v>
      </c>
      <c r="S810" t="s">
        <v>2895</v>
      </c>
      <c r="T810" t="s">
        <v>2896</v>
      </c>
      <c r="U810" t="s">
        <v>2897</v>
      </c>
    </row>
    <row r="811" spans="1:21">
      <c r="A811" t="s">
        <v>1720</v>
      </c>
      <c r="B811" s="7">
        <v>46194</v>
      </c>
      <c r="C811" s="8">
        <v>0.42378472222222224</v>
      </c>
      <c r="D811" t="s">
        <v>17</v>
      </c>
      <c r="E811" t="s">
        <v>2</v>
      </c>
      <c r="F811" t="s">
        <v>149</v>
      </c>
      <c r="G811" t="s">
        <v>1722</v>
      </c>
      <c r="H811">
        <v>5000</v>
      </c>
      <c r="I811" t="s">
        <v>52</v>
      </c>
      <c r="J811" t="s">
        <v>1723</v>
      </c>
      <c r="K811" t="s">
        <v>54</v>
      </c>
      <c r="L811" t="s">
        <v>102</v>
      </c>
      <c r="O811" t="s">
        <v>1724</v>
      </c>
      <c r="P811" t="s">
        <v>1725</v>
      </c>
      <c r="Q811">
        <v>77813.61</v>
      </c>
      <c r="R811">
        <v>5000</v>
      </c>
      <c r="S811" t="s">
        <v>2895</v>
      </c>
      <c r="T811" t="s">
        <v>2896</v>
      </c>
      <c r="U811" t="s">
        <v>2897</v>
      </c>
    </row>
    <row r="812" spans="1:21">
      <c r="A812" t="s">
        <v>1726</v>
      </c>
      <c r="B812" s="7">
        <v>46194</v>
      </c>
      <c r="C812" s="8">
        <v>0.47317129629629628</v>
      </c>
      <c r="D812" t="s">
        <v>17</v>
      </c>
      <c r="E812" t="s">
        <v>2</v>
      </c>
      <c r="F812" t="s">
        <v>50</v>
      </c>
      <c r="G812" t="s">
        <v>51</v>
      </c>
      <c r="H812">
        <v>34.53</v>
      </c>
      <c r="I812" t="s">
        <v>52</v>
      </c>
      <c r="J812" t="s">
        <v>126</v>
      </c>
      <c r="K812" t="s">
        <v>54</v>
      </c>
      <c r="L812" t="s">
        <v>55</v>
      </c>
      <c r="O812" t="s">
        <v>56</v>
      </c>
      <c r="P812" t="s">
        <v>57</v>
      </c>
      <c r="Q812">
        <v>32626.23</v>
      </c>
      <c r="R812">
        <v>-34.53</v>
      </c>
      <c r="S812" t="s">
        <v>2895</v>
      </c>
      <c r="T812" t="s">
        <v>2896</v>
      </c>
      <c r="U812" t="s">
        <v>2897</v>
      </c>
    </row>
    <row r="813" spans="1:21">
      <c r="A813" t="s">
        <v>1728</v>
      </c>
      <c r="B813" s="7">
        <v>46194</v>
      </c>
      <c r="C813" s="8">
        <v>0.50581018518518517</v>
      </c>
      <c r="D813" t="s">
        <v>17</v>
      </c>
      <c r="E813" t="s">
        <v>2</v>
      </c>
      <c r="F813" t="s">
        <v>50</v>
      </c>
      <c r="G813" t="s">
        <v>100</v>
      </c>
      <c r="H813">
        <v>89.99</v>
      </c>
      <c r="I813" t="s">
        <v>52</v>
      </c>
      <c r="J813" t="s">
        <v>384</v>
      </c>
      <c r="K813" t="s">
        <v>54</v>
      </c>
      <c r="L813" t="s">
        <v>102</v>
      </c>
      <c r="O813" t="s">
        <v>178</v>
      </c>
      <c r="P813" t="s">
        <v>385</v>
      </c>
      <c r="Q813">
        <v>42412.3</v>
      </c>
      <c r="R813">
        <v>-89.99</v>
      </c>
      <c r="S813" t="s">
        <v>2895</v>
      </c>
      <c r="T813" t="s">
        <v>2896</v>
      </c>
      <c r="U813" t="s">
        <v>2897</v>
      </c>
    </row>
    <row r="814" spans="1:21">
      <c r="A814" t="s">
        <v>1730</v>
      </c>
      <c r="B814" s="7">
        <v>46194</v>
      </c>
      <c r="C814" s="8">
        <v>0.62275462962962957</v>
      </c>
      <c r="D814" t="s">
        <v>17</v>
      </c>
      <c r="E814" t="s">
        <v>2</v>
      </c>
      <c r="F814" t="s">
        <v>50</v>
      </c>
      <c r="G814" t="s">
        <v>100</v>
      </c>
      <c r="H814">
        <v>15</v>
      </c>
      <c r="I814" t="s">
        <v>52</v>
      </c>
      <c r="J814" t="s">
        <v>101</v>
      </c>
      <c r="K814" t="s">
        <v>54</v>
      </c>
      <c r="L814" t="s">
        <v>102</v>
      </c>
      <c r="O814" t="s">
        <v>103</v>
      </c>
      <c r="P814" t="s">
        <v>104</v>
      </c>
      <c r="Q814">
        <v>32611.23</v>
      </c>
      <c r="R814">
        <v>-15</v>
      </c>
      <c r="S814" t="s">
        <v>2895</v>
      </c>
      <c r="T814" t="s">
        <v>2896</v>
      </c>
      <c r="U814" t="s">
        <v>2897</v>
      </c>
    </row>
    <row r="815" spans="1:21">
      <c r="A815" t="s">
        <v>1732</v>
      </c>
      <c r="B815" s="7">
        <v>46194</v>
      </c>
      <c r="C815" s="8">
        <v>0.68596064814814817</v>
      </c>
      <c r="D815" t="s">
        <v>17</v>
      </c>
      <c r="E815" t="s">
        <v>2</v>
      </c>
      <c r="F815" t="s">
        <v>50</v>
      </c>
      <c r="G815" t="s">
        <v>51</v>
      </c>
      <c r="H815">
        <v>49.68</v>
      </c>
      <c r="I815" t="s">
        <v>52</v>
      </c>
      <c r="J815" t="s">
        <v>81</v>
      </c>
      <c r="K815" t="s">
        <v>54</v>
      </c>
      <c r="L815" t="s">
        <v>55</v>
      </c>
      <c r="O815" t="s">
        <v>82</v>
      </c>
      <c r="P815" t="s">
        <v>83</v>
      </c>
      <c r="Q815">
        <v>32687.51</v>
      </c>
      <c r="R815">
        <v>-49.68</v>
      </c>
      <c r="S815" t="s">
        <v>2895</v>
      </c>
      <c r="T815" t="s">
        <v>2896</v>
      </c>
      <c r="U815" t="s">
        <v>2897</v>
      </c>
    </row>
    <row r="816" spans="1:21">
      <c r="A816" t="s">
        <v>1734</v>
      </c>
      <c r="B816" s="7">
        <v>46194</v>
      </c>
      <c r="C816" s="8">
        <v>0.77033564814814814</v>
      </c>
      <c r="D816" t="s">
        <v>17</v>
      </c>
      <c r="E816" t="s">
        <v>2</v>
      </c>
      <c r="F816" t="s">
        <v>50</v>
      </c>
      <c r="G816" t="s">
        <v>72</v>
      </c>
      <c r="H816">
        <v>38.21</v>
      </c>
      <c r="I816" t="s">
        <v>52</v>
      </c>
      <c r="J816" t="s">
        <v>316</v>
      </c>
      <c r="K816" t="s">
        <v>54</v>
      </c>
      <c r="L816" t="s">
        <v>74</v>
      </c>
      <c r="O816" t="s">
        <v>75</v>
      </c>
      <c r="P816" t="s">
        <v>76</v>
      </c>
      <c r="Q816">
        <v>32573.02</v>
      </c>
      <c r="R816">
        <v>-38.21</v>
      </c>
      <c r="S816" t="s">
        <v>2895</v>
      </c>
      <c r="T816" t="s">
        <v>2896</v>
      </c>
      <c r="U816" t="s">
        <v>2897</v>
      </c>
    </row>
    <row r="817" spans="1:21">
      <c r="A817" t="s">
        <v>1736</v>
      </c>
      <c r="B817" s="7">
        <v>46195</v>
      </c>
      <c r="C817" s="8">
        <v>0.28869212962962965</v>
      </c>
      <c r="D817" t="s">
        <v>17</v>
      </c>
      <c r="E817" t="s">
        <v>2</v>
      </c>
      <c r="F817" t="s">
        <v>50</v>
      </c>
      <c r="G817" t="s">
        <v>51</v>
      </c>
      <c r="H817">
        <v>17.8</v>
      </c>
      <c r="I817" t="s">
        <v>52</v>
      </c>
      <c r="J817" t="s">
        <v>121</v>
      </c>
      <c r="K817" t="s">
        <v>54</v>
      </c>
      <c r="L817" t="s">
        <v>55</v>
      </c>
      <c r="O817" t="s">
        <v>122</v>
      </c>
      <c r="P817" t="s">
        <v>123</v>
      </c>
      <c r="Q817">
        <v>32382.23</v>
      </c>
      <c r="R817">
        <v>-17.8</v>
      </c>
      <c r="S817" t="s">
        <v>2895</v>
      </c>
      <c r="T817" t="s">
        <v>2896</v>
      </c>
      <c r="U817" t="s">
        <v>2897</v>
      </c>
    </row>
    <row r="818" spans="1:21">
      <c r="A818" t="s">
        <v>1738</v>
      </c>
      <c r="B818" s="7">
        <v>46195</v>
      </c>
      <c r="C818" s="8">
        <v>0.34491898148148148</v>
      </c>
      <c r="D818" t="s">
        <v>17</v>
      </c>
      <c r="E818" t="s">
        <v>2</v>
      </c>
      <c r="F818" t="s">
        <v>50</v>
      </c>
      <c r="G818" t="s">
        <v>51</v>
      </c>
      <c r="H818">
        <v>11.37</v>
      </c>
      <c r="I818" t="s">
        <v>52</v>
      </c>
      <c r="J818" t="s">
        <v>121</v>
      </c>
      <c r="K818" t="s">
        <v>54</v>
      </c>
      <c r="L818" t="s">
        <v>55</v>
      </c>
      <c r="O818" t="s">
        <v>122</v>
      </c>
      <c r="P818" t="s">
        <v>123</v>
      </c>
      <c r="Q818">
        <v>32343.54</v>
      </c>
      <c r="R818">
        <v>-11.37</v>
      </c>
      <c r="S818" t="s">
        <v>2895</v>
      </c>
      <c r="T818" t="s">
        <v>2896</v>
      </c>
      <c r="U818" t="s">
        <v>2897</v>
      </c>
    </row>
    <row r="819" spans="1:21">
      <c r="A819" t="s">
        <v>1740</v>
      </c>
      <c r="B819" s="7">
        <v>46195</v>
      </c>
      <c r="C819" s="8">
        <v>0.46280092592592592</v>
      </c>
      <c r="D819" t="s">
        <v>17</v>
      </c>
      <c r="E819" t="s">
        <v>2</v>
      </c>
      <c r="F819" t="s">
        <v>50</v>
      </c>
      <c r="G819" t="s">
        <v>51</v>
      </c>
      <c r="H819">
        <v>142.66</v>
      </c>
      <c r="I819" t="s">
        <v>52</v>
      </c>
      <c r="J819" t="s">
        <v>65</v>
      </c>
      <c r="K819" t="s">
        <v>54</v>
      </c>
      <c r="L819" t="s">
        <v>55</v>
      </c>
      <c r="O819" t="s">
        <v>66</v>
      </c>
      <c r="P819" t="s">
        <v>67</v>
      </c>
      <c r="Q819">
        <v>32415.03</v>
      </c>
      <c r="R819">
        <v>-142.66</v>
      </c>
      <c r="S819" t="s">
        <v>2895</v>
      </c>
      <c r="T819" t="s">
        <v>2896</v>
      </c>
      <c r="U819" t="s">
        <v>2897</v>
      </c>
    </row>
    <row r="820" spans="1:21">
      <c r="A820" t="s">
        <v>1742</v>
      </c>
      <c r="B820" s="7">
        <v>46195</v>
      </c>
      <c r="C820" s="8">
        <v>0.46328703703703705</v>
      </c>
      <c r="D820" t="s">
        <v>17</v>
      </c>
      <c r="E820" t="s">
        <v>2</v>
      </c>
      <c r="F820" t="s">
        <v>50</v>
      </c>
      <c r="G820" t="s">
        <v>51</v>
      </c>
      <c r="H820">
        <v>15.33</v>
      </c>
      <c r="I820" t="s">
        <v>52</v>
      </c>
      <c r="J820" t="s">
        <v>121</v>
      </c>
      <c r="K820" t="s">
        <v>54</v>
      </c>
      <c r="L820" t="s">
        <v>55</v>
      </c>
      <c r="O820" t="s">
        <v>122</v>
      </c>
      <c r="P820" t="s">
        <v>123</v>
      </c>
      <c r="Q820">
        <v>32557.69</v>
      </c>
      <c r="R820">
        <v>-15.33</v>
      </c>
      <c r="S820" t="s">
        <v>2895</v>
      </c>
      <c r="T820" t="s">
        <v>2896</v>
      </c>
      <c r="U820" t="s">
        <v>2897</v>
      </c>
    </row>
    <row r="821" spans="1:21">
      <c r="A821" t="s">
        <v>1744</v>
      </c>
      <c r="B821" s="7">
        <v>46195</v>
      </c>
      <c r="C821" s="8">
        <v>0.68996527777777783</v>
      </c>
      <c r="D821" t="s">
        <v>17</v>
      </c>
      <c r="E821" t="s">
        <v>2</v>
      </c>
      <c r="F821" t="s">
        <v>50</v>
      </c>
      <c r="G821" t="s">
        <v>51</v>
      </c>
      <c r="H821">
        <v>186.07</v>
      </c>
      <c r="I821" t="s">
        <v>52</v>
      </c>
      <c r="J821" t="s">
        <v>196</v>
      </c>
      <c r="K821" t="s">
        <v>54</v>
      </c>
      <c r="L821" t="s">
        <v>55</v>
      </c>
      <c r="O821" t="s">
        <v>197</v>
      </c>
      <c r="P821" t="s">
        <v>198</v>
      </c>
      <c r="Q821">
        <v>32148.83</v>
      </c>
      <c r="R821">
        <v>-186.07</v>
      </c>
      <c r="S821" t="s">
        <v>2895</v>
      </c>
      <c r="T821" t="s">
        <v>2896</v>
      </c>
      <c r="U821" t="s">
        <v>2897</v>
      </c>
    </row>
    <row r="822" spans="1:21">
      <c r="A822" t="s">
        <v>1746</v>
      </c>
      <c r="B822" s="7">
        <v>46195</v>
      </c>
      <c r="C822" s="8">
        <v>0.84142361111111108</v>
      </c>
      <c r="D822" t="s">
        <v>17</v>
      </c>
      <c r="E822" t="s">
        <v>2</v>
      </c>
      <c r="F822" t="s">
        <v>50</v>
      </c>
      <c r="G822" t="s">
        <v>100</v>
      </c>
      <c r="H822">
        <v>15</v>
      </c>
      <c r="I822" t="s">
        <v>52</v>
      </c>
      <c r="J822" t="s">
        <v>101</v>
      </c>
      <c r="K822" t="s">
        <v>54</v>
      </c>
      <c r="L822" t="s">
        <v>102</v>
      </c>
      <c r="O822" t="s">
        <v>103</v>
      </c>
      <c r="P822" t="s">
        <v>104</v>
      </c>
      <c r="Q822">
        <v>32400.03</v>
      </c>
      <c r="R822">
        <v>-15</v>
      </c>
      <c r="S822" t="s">
        <v>2895</v>
      </c>
      <c r="T822" t="s">
        <v>2896</v>
      </c>
      <c r="U822" t="s">
        <v>2897</v>
      </c>
    </row>
    <row r="823" spans="1:21">
      <c r="A823" t="s">
        <v>1748</v>
      </c>
      <c r="B823" s="7">
        <v>46195</v>
      </c>
      <c r="C823" s="8">
        <v>0.88050925925925927</v>
      </c>
      <c r="D823" t="s">
        <v>17</v>
      </c>
      <c r="E823" t="s">
        <v>2</v>
      </c>
      <c r="F823" t="s">
        <v>50</v>
      </c>
      <c r="G823" t="s">
        <v>51</v>
      </c>
      <c r="H823">
        <v>27.32</v>
      </c>
      <c r="I823" t="s">
        <v>52</v>
      </c>
      <c r="J823" t="s">
        <v>126</v>
      </c>
      <c r="K823" t="s">
        <v>54</v>
      </c>
      <c r="L823" t="s">
        <v>55</v>
      </c>
      <c r="O823" t="s">
        <v>56</v>
      </c>
      <c r="P823" t="s">
        <v>57</v>
      </c>
      <c r="Q823">
        <v>32354.91</v>
      </c>
      <c r="R823">
        <v>-27.32</v>
      </c>
      <c r="S823" t="s">
        <v>2895</v>
      </c>
      <c r="T823" t="s">
        <v>2896</v>
      </c>
      <c r="U823" t="s">
        <v>2897</v>
      </c>
    </row>
    <row r="824" spans="1:21">
      <c r="A824" t="s">
        <v>1750</v>
      </c>
      <c r="B824" s="7">
        <v>46195</v>
      </c>
      <c r="C824" s="8">
        <v>0.95123842592592589</v>
      </c>
      <c r="D824" t="s">
        <v>17</v>
      </c>
      <c r="E824" t="s">
        <v>2</v>
      </c>
      <c r="F824" t="s">
        <v>50</v>
      </c>
      <c r="G824" t="s">
        <v>51</v>
      </c>
      <c r="H824">
        <v>8.64</v>
      </c>
      <c r="I824" t="s">
        <v>52</v>
      </c>
      <c r="J824" t="s">
        <v>81</v>
      </c>
      <c r="K824" t="s">
        <v>54</v>
      </c>
      <c r="L824" t="s">
        <v>55</v>
      </c>
      <c r="O824" t="s">
        <v>82</v>
      </c>
      <c r="P824" t="s">
        <v>83</v>
      </c>
      <c r="Q824">
        <v>32334.9</v>
      </c>
      <c r="R824">
        <v>-8.64</v>
      </c>
      <c r="S824" t="s">
        <v>2895</v>
      </c>
      <c r="T824" t="s">
        <v>2896</v>
      </c>
      <c r="U824" t="s">
        <v>2897</v>
      </c>
    </row>
    <row r="825" spans="1:21">
      <c r="A825" t="s">
        <v>1752</v>
      </c>
      <c r="B825" s="7">
        <v>46196</v>
      </c>
      <c r="C825" s="8">
        <v>0.29214120370370372</v>
      </c>
      <c r="D825" t="s">
        <v>17</v>
      </c>
      <c r="E825" t="s">
        <v>2</v>
      </c>
      <c r="F825" t="s">
        <v>50</v>
      </c>
      <c r="G825" t="s">
        <v>100</v>
      </c>
      <c r="H825">
        <v>23.38</v>
      </c>
      <c r="I825" t="s">
        <v>52</v>
      </c>
      <c r="J825" t="s">
        <v>114</v>
      </c>
      <c r="K825" t="s">
        <v>54</v>
      </c>
      <c r="L825" t="s">
        <v>102</v>
      </c>
      <c r="O825" t="s">
        <v>103</v>
      </c>
      <c r="P825" t="s">
        <v>104</v>
      </c>
      <c r="Q825">
        <v>32027.67</v>
      </c>
      <c r="R825">
        <v>-23.38</v>
      </c>
      <c r="S825" t="s">
        <v>2895</v>
      </c>
      <c r="T825" t="s">
        <v>2896</v>
      </c>
      <c r="U825" t="s">
        <v>2897</v>
      </c>
    </row>
    <row r="826" spans="1:21">
      <c r="A826" t="s">
        <v>1754</v>
      </c>
      <c r="B826" s="7">
        <v>46196</v>
      </c>
      <c r="C826" s="8">
        <v>0.31405092592592593</v>
      </c>
      <c r="D826" t="s">
        <v>17</v>
      </c>
      <c r="E826" t="s">
        <v>2</v>
      </c>
      <c r="F826" t="s">
        <v>50</v>
      </c>
      <c r="G826" t="s">
        <v>51</v>
      </c>
      <c r="H826">
        <v>58.45</v>
      </c>
      <c r="I826" t="s">
        <v>52</v>
      </c>
      <c r="J826" t="s">
        <v>81</v>
      </c>
      <c r="K826" t="s">
        <v>54</v>
      </c>
      <c r="L826" t="s">
        <v>55</v>
      </c>
      <c r="O826" t="s">
        <v>82</v>
      </c>
      <c r="P826" t="s">
        <v>83</v>
      </c>
      <c r="Q826">
        <v>31930.01</v>
      </c>
      <c r="R826">
        <v>-58.45</v>
      </c>
      <c r="S826" t="s">
        <v>2895</v>
      </c>
      <c r="T826" t="s">
        <v>2896</v>
      </c>
      <c r="U826" t="s">
        <v>2897</v>
      </c>
    </row>
    <row r="827" spans="1:21">
      <c r="A827" t="s">
        <v>1756</v>
      </c>
      <c r="B827" s="7">
        <v>46196</v>
      </c>
      <c r="C827" s="8">
        <v>0.37662037037037038</v>
      </c>
      <c r="D827" t="s">
        <v>17</v>
      </c>
      <c r="E827" t="s">
        <v>2</v>
      </c>
      <c r="F827" t="s">
        <v>149</v>
      </c>
      <c r="G827" t="s">
        <v>1722</v>
      </c>
      <c r="H827">
        <v>7500</v>
      </c>
      <c r="I827" t="s">
        <v>52</v>
      </c>
      <c r="J827" t="s">
        <v>1758</v>
      </c>
      <c r="K827" t="s">
        <v>54</v>
      </c>
      <c r="L827" t="s">
        <v>102</v>
      </c>
      <c r="O827" t="s">
        <v>1724</v>
      </c>
      <c r="P827" t="s">
        <v>1725</v>
      </c>
      <c r="Q827">
        <v>85313.61</v>
      </c>
      <c r="R827">
        <v>7500</v>
      </c>
      <c r="S827" t="s">
        <v>2895</v>
      </c>
      <c r="T827" t="s">
        <v>2896</v>
      </c>
      <c r="U827" t="s">
        <v>2897</v>
      </c>
    </row>
    <row r="828" spans="1:21">
      <c r="A828" t="s">
        <v>1759</v>
      </c>
      <c r="B828" s="7">
        <v>46196</v>
      </c>
      <c r="C828" s="8">
        <v>0.39707175925925925</v>
      </c>
      <c r="D828" t="s">
        <v>17</v>
      </c>
      <c r="E828" t="s">
        <v>2</v>
      </c>
      <c r="F828" t="s">
        <v>50</v>
      </c>
      <c r="G828" t="s">
        <v>100</v>
      </c>
      <c r="H828">
        <v>15</v>
      </c>
      <c r="I828" t="s">
        <v>52</v>
      </c>
      <c r="J828" t="s">
        <v>101</v>
      </c>
      <c r="K828" t="s">
        <v>54</v>
      </c>
      <c r="L828" t="s">
        <v>102</v>
      </c>
      <c r="O828" t="s">
        <v>103</v>
      </c>
      <c r="P828" t="s">
        <v>104</v>
      </c>
      <c r="Q828">
        <v>31850.41</v>
      </c>
      <c r="R828">
        <v>-15</v>
      </c>
      <c r="S828" t="s">
        <v>2895</v>
      </c>
      <c r="T828" t="s">
        <v>2896</v>
      </c>
      <c r="U828" t="s">
        <v>2897</v>
      </c>
    </row>
    <row r="829" spans="1:21">
      <c r="A829" t="s">
        <v>1761</v>
      </c>
      <c r="B829" s="7">
        <v>46196</v>
      </c>
      <c r="C829" s="8">
        <v>0.75686342592592593</v>
      </c>
      <c r="D829" t="s">
        <v>17</v>
      </c>
      <c r="E829" t="s">
        <v>2</v>
      </c>
      <c r="F829" t="s">
        <v>50</v>
      </c>
      <c r="G829" t="s">
        <v>51</v>
      </c>
      <c r="H829">
        <v>97.78</v>
      </c>
      <c r="I829" t="s">
        <v>52</v>
      </c>
      <c r="J829" t="s">
        <v>196</v>
      </c>
      <c r="K829" t="s">
        <v>54</v>
      </c>
      <c r="L829" t="s">
        <v>55</v>
      </c>
      <c r="O829" t="s">
        <v>197</v>
      </c>
      <c r="P829" t="s">
        <v>198</v>
      </c>
      <c r="Q829">
        <v>32051.05</v>
      </c>
      <c r="R829">
        <v>-97.78</v>
      </c>
      <c r="S829" t="s">
        <v>2895</v>
      </c>
      <c r="T829" t="s">
        <v>2896</v>
      </c>
      <c r="U829" t="s">
        <v>2897</v>
      </c>
    </row>
    <row r="830" spans="1:21">
      <c r="A830" t="s">
        <v>1763</v>
      </c>
      <c r="B830" s="7">
        <v>46196</v>
      </c>
      <c r="C830" s="8">
        <v>0.78628472222222223</v>
      </c>
      <c r="D830" t="s">
        <v>17</v>
      </c>
      <c r="E830" t="s">
        <v>2</v>
      </c>
      <c r="F830" t="s">
        <v>50</v>
      </c>
      <c r="G830" t="s">
        <v>100</v>
      </c>
      <c r="H830">
        <v>19.649999999999999</v>
      </c>
      <c r="I830" t="s">
        <v>52</v>
      </c>
      <c r="J830" t="s">
        <v>114</v>
      </c>
      <c r="K830" t="s">
        <v>54</v>
      </c>
      <c r="L830" t="s">
        <v>102</v>
      </c>
      <c r="O830" t="s">
        <v>103</v>
      </c>
      <c r="P830" t="s">
        <v>104</v>
      </c>
      <c r="Q830">
        <v>31910.36</v>
      </c>
      <c r="R830">
        <v>-19.649999999999999</v>
      </c>
      <c r="S830" t="s">
        <v>2895</v>
      </c>
      <c r="T830" t="s">
        <v>2896</v>
      </c>
      <c r="U830" t="s">
        <v>2897</v>
      </c>
    </row>
    <row r="831" spans="1:21">
      <c r="A831" t="s">
        <v>1765</v>
      </c>
      <c r="B831" s="7">
        <v>46196</v>
      </c>
      <c r="C831" s="8">
        <v>0.83743055555555557</v>
      </c>
      <c r="D831" t="s">
        <v>17</v>
      </c>
      <c r="E831" t="s">
        <v>2</v>
      </c>
      <c r="F831" t="s">
        <v>50</v>
      </c>
      <c r="G831" t="s">
        <v>51</v>
      </c>
      <c r="H831">
        <v>44.95</v>
      </c>
      <c r="I831" t="s">
        <v>52</v>
      </c>
      <c r="J831" t="s">
        <v>60</v>
      </c>
      <c r="K831" t="s">
        <v>54</v>
      </c>
      <c r="L831" t="s">
        <v>55</v>
      </c>
      <c r="O831" t="s">
        <v>61</v>
      </c>
      <c r="P831" t="s">
        <v>62</v>
      </c>
      <c r="Q831">
        <v>31865.41</v>
      </c>
      <c r="R831">
        <v>-44.95</v>
      </c>
      <c r="S831" t="s">
        <v>2895</v>
      </c>
      <c r="T831" t="s">
        <v>2896</v>
      </c>
      <c r="U831" t="s">
        <v>2897</v>
      </c>
    </row>
    <row r="832" spans="1:21">
      <c r="A832" t="s">
        <v>1767</v>
      </c>
      <c r="B832" s="7">
        <v>46196</v>
      </c>
      <c r="C832" s="8">
        <v>0.88906249999999998</v>
      </c>
      <c r="D832" t="s">
        <v>17</v>
      </c>
      <c r="E832" t="s">
        <v>2</v>
      </c>
      <c r="F832" t="s">
        <v>50</v>
      </c>
      <c r="G832" t="s">
        <v>51</v>
      </c>
      <c r="H832">
        <v>10.99</v>
      </c>
      <c r="I832" t="s">
        <v>52</v>
      </c>
      <c r="J832" t="s">
        <v>126</v>
      </c>
      <c r="K832" t="s">
        <v>54</v>
      </c>
      <c r="L832" t="s">
        <v>55</v>
      </c>
      <c r="O832" t="s">
        <v>56</v>
      </c>
      <c r="P832" t="s">
        <v>57</v>
      </c>
      <c r="Q832">
        <v>31988.46</v>
      </c>
      <c r="R832">
        <v>-10.99</v>
      </c>
      <c r="S832" t="s">
        <v>2895</v>
      </c>
      <c r="T832" t="s">
        <v>2896</v>
      </c>
      <c r="U832" t="s">
        <v>2897</v>
      </c>
    </row>
    <row r="833" spans="1:21">
      <c r="A833" t="s">
        <v>1769</v>
      </c>
      <c r="B833" s="7">
        <v>46196</v>
      </c>
      <c r="C833" s="8">
        <v>0.91285879629629629</v>
      </c>
      <c r="D833" t="s">
        <v>17</v>
      </c>
      <c r="E833" t="s">
        <v>2</v>
      </c>
      <c r="F833" t="s">
        <v>50</v>
      </c>
      <c r="G833" t="s">
        <v>51</v>
      </c>
      <c r="H833">
        <v>28.22</v>
      </c>
      <c r="I833" t="s">
        <v>52</v>
      </c>
      <c r="J833" t="s">
        <v>126</v>
      </c>
      <c r="K833" t="s">
        <v>54</v>
      </c>
      <c r="L833" t="s">
        <v>55</v>
      </c>
      <c r="O833" t="s">
        <v>56</v>
      </c>
      <c r="P833" t="s">
        <v>57</v>
      </c>
      <c r="Q833">
        <v>31999.45</v>
      </c>
      <c r="R833">
        <v>-28.22</v>
      </c>
      <c r="S833" t="s">
        <v>2895</v>
      </c>
      <c r="T833" t="s">
        <v>2896</v>
      </c>
      <c r="U833" t="s">
        <v>2897</v>
      </c>
    </row>
    <row r="834" spans="1:21">
      <c r="A834" t="s">
        <v>1771</v>
      </c>
      <c r="B834" s="7">
        <v>46197</v>
      </c>
      <c r="C834" s="8">
        <v>0.28616898148148145</v>
      </c>
      <c r="D834" t="s">
        <v>17</v>
      </c>
      <c r="E834" t="s">
        <v>2</v>
      </c>
      <c r="F834" t="s">
        <v>50</v>
      </c>
      <c r="G834" t="s">
        <v>51</v>
      </c>
      <c r="H834">
        <v>88.76</v>
      </c>
      <c r="I834" t="s">
        <v>52</v>
      </c>
      <c r="J834" t="s">
        <v>65</v>
      </c>
      <c r="K834" t="s">
        <v>54</v>
      </c>
      <c r="L834" t="s">
        <v>55</v>
      </c>
      <c r="O834" t="s">
        <v>66</v>
      </c>
      <c r="P834" t="s">
        <v>67</v>
      </c>
      <c r="Q834">
        <v>31761.65</v>
      </c>
      <c r="R834">
        <v>-88.76</v>
      </c>
      <c r="S834" t="s">
        <v>2895</v>
      </c>
      <c r="T834" t="s">
        <v>2896</v>
      </c>
      <c r="U834" t="s">
        <v>2897</v>
      </c>
    </row>
    <row r="835" spans="1:21">
      <c r="A835" t="s">
        <v>1773</v>
      </c>
      <c r="B835" s="7">
        <v>46197</v>
      </c>
      <c r="C835" s="8">
        <v>0.33136574074074077</v>
      </c>
      <c r="D835" t="s">
        <v>17</v>
      </c>
      <c r="E835" t="s">
        <v>2</v>
      </c>
      <c r="F835" t="s">
        <v>50</v>
      </c>
      <c r="G835" t="s">
        <v>51</v>
      </c>
      <c r="H835">
        <v>44.51</v>
      </c>
      <c r="I835" t="s">
        <v>52</v>
      </c>
      <c r="J835" t="s">
        <v>81</v>
      </c>
      <c r="K835" t="s">
        <v>54</v>
      </c>
      <c r="L835" t="s">
        <v>55</v>
      </c>
      <c r="O835" t="s">
        <v>82</v>
      </c>
      <c r="P835" t="s">
        <v>83</v>
      </c>
      <c r="Q835">
        <v>31430.37</v>
      </c>
      <c r="R835">
        <v>-44.51</v>
      </c>
      <c r="S835" t="s">
        <v>2895</v>
      </c>
      <c r="T835" t="s">
        <v>2896</v>
      </c>
      <c r="U835" t="s">
        <v>2897</v>
      </c>
    </row>
    <row r="836" spans="1:21">
      <c r="A836" t="s">
        <v>1775</v>
      </c>
      <c r="B836" s="7">
        <v>46197</v>
      </c>
      <c r="C836" s="8">
        <v>0.52895833333333331</v>
      </c>
      <c r="D836" t="s">
        <v>17</v>
      </c>
      <c r="E836" t="s">
        <v>2</v>
      </c>
      <c r="F836" t="s">
        <v>50</v>
      </c>
      <c r="G836" t="s">
        <v>51</v>
      </c>
      <c r="H836">
        <v>16.46</v>
      </c>
      <c r="I836" t="s">
        <v>52</v>
      </c>
      <c r="J836" t="s">
        <v>53</v>
      </c>
      <c r="K836" t="s">
        <v>54</v>
      </c>
      <c r="L836" t="s">
        <v>55</v>
      </c>
      <c r="O836" t="s">
        <v>56</v>
      </c>
      <c r="P836" t="s">
        <v>57</v>
      </c>
      <c r="Q836">
        <v>31745.19</v>
      </c>
      <c r="R836">
        <v>-16.46</v>
      </c>
      <c r="S836" t="s">
        <v>2895</v>
      </c>
      <c r="T836" t="s">
        <v>2896</v>
      </c>
      <c r="U836" t="s">
        <v>2897</v>
      </c>
    </row>
    <row r="837" spans="1:21">
      <c r="A837" t="s">
        <v>1777</v>
      </c>
      <c r="B837" s="7">
        <v>46197</v>
      </c>
      <c r="C837" s="8">
        <v>0.54190972222222222</v>
      </c>
      <c r="D837" t="s">
        <v>17</v>
      </c>
      <c r="E837" t="s">
        <v>2</v>
      </c>
      <c r="F837" t="s">
        <v>50</v>
      </c>
      <c r="G837" t="s">
        <v>51</v>
      </c>
      <c r="H837">
        <v>26.87</v>
      </c>
      <c r="I837" t="s">
        <v>52</v>
      </c>
      <c r="J837" t="s">
        <v>60</v>
      </c>
      <c r="K837" t="s">
        <v>54</v>
      </c>
      <c r="L837" t="s">
        <v>55</v>
      </c>
      <c r="O837" t="s">
        <v>61</v>
      </c>
      <c r="P837" t="s">
        <v>62</v>
      </c>
      <c r="Q837">
        <v>31526.03</v>
      </c>
      <c r="R837">
        <v>-26.87</v>
      </c>
      <c r="S837" t="s">
        <v>2895</v>
      </c>
      <c r="T837" t="s">
        <v>2896</v>
      </c>
      <c r="U837" t="s">
        <v>2897</v>
      </c>
    </row>
    <row r="838" spans="1:21">
      <c r="A838" t="s">
        <v>1779</v>
      </c>
      <c r="B838" s="7">
        <v>46197</v>
      </c>
      <c r="C838" s="8">
        <v>0.64968749999999997</v>
      </c>
      <c r="D838" t="s">
        <v>17</v>
      </c>
      <c r="E838" t="s">
        <v>2</v>
      </c>
      <c r="F838" t="s">
        <v>50</v>
      </c>
      <c r="G838" t="s">
        <v>51</v>
      </c>
      <c r="H838">
        <v>51.15</v>
      </c>
      <c r="I838" t="s">
        <v>52</v>
      </c>
      <c r="J838" t="s">
        <v>81</v>
      </c>
      <c r="K838" t="s">
        <v>54</v>
      </c>
      <c r="L838" t="s">
        <v>55</v>
      </c>
      <c r="O838" t="s">
        <v>82</v>
      </c>
      <c r="P838" t="s">
        <v>83</v>
      </c>
      <c r="Q838">
        <v>31474.880000000001</v>
      </c>
      <c r="R838">
        <v>-51.15</v>
      </c>
      <c r="S838" t="s">
        <v>2895</v>
      </c>
      <c r="T838" t="s">
        <v>2896</v>
      </c>
      <c r="U838" t="s">
        <v>2897</v>
      </c>
    </row>
    <row r="839" spans="1:21">
      <c r="A839" t="s">
        <v>1781</v>
      </c>
      <c r="B839" s="7">
        <v>46197</v>
      </c>
      <c r="C839" s="8">
        <v>0.69153935185185189</v>
      </c>
      <c r="D839" t="s">
        <v>17</v>
      </c>
      <c r="E839" t="s">
        <v>2</v>
      </c>
      <c r="F839" t="s">
        <v>50</v>
      </c>
      <c r="G839" t="s">
        <v>51</v>
      </c>
      <c r="H839">
        <v>162.29</v>
      </c>
      <c r="I839" t="s">
        <v>52</v>
      </c>
      <c r="J839" t="s">
        <v>196</v>
      </c>
      <c r="K839" t="s">
        <v>54</v>
      </c>
      <c r="L839" t="s">
        <v>55</v>
      </c>
      <c r="O839" t="s">
        <v>197</v>
      </c>
      <c r="P839" t="s">
        <v>198</v>
      </c>
      <c r="Q839">
        <v>31567.9</v>
      </c>
      <c r="R839">
        <v>-162.29</v>
      </c>
      <c r="S839" t="s">
        <v>2895</v>
      </c>
      <c r="T839" t="s">
        <v>2896</v>
      </c>
      <c r="U839" t="s">
        <v>2897</v>
      </c>
    </row>
    <row r="840" spans="1:21">
      <c r="A840" t="s">
        <v>1783</v>
      </c>
      <c r="B840" s="7">
        <v>46197</v>
      </c>
      <c r="C840" s="8">
        <v>0.73990740740740746</v>
      </c>
      <c r="D840" t="s">
        <v>17</v>
      </c>
      <c r="E840" t="s">
        <v>2</v>
      </c>
      <c r="F840" t="s">
        <v>50</v>
      </c>
      <c r="G840" t="s">
        <v>100</v>
      </c>
      <c r="H840">
        <v>15</v>
      </c>
      <c r="I840" t="s">
        <v>52</v>
      </c>
      <c r="J840" t="s">
        <v>101</v>
      </c>
      <c r="K840" t="s">
        <v>54</v>
      </c>
      <c r="L840" t="s">
        <v>102</v>
      </c>
      <c r="O840" t="s">
        <v>103</v>
      </c>
      <c r="P840" t="s">
        <v>104</v>
      </c>
      <c r="Q840">
        <v>31552.9</v>
      </c>
      <c r="R840">
        <v>-15</v>
      </c>
      <c r="S840" t="s">
        <v>2895</v>
      </c>
      <c r="T840" t="s">
        <v>2896</v>
      </c>
      <c r="U840" t="s">
        <v>2897</v>
      </c>
    </row>
    <row r="841" spans="1:21">
      <c r="A841" t="s">
        <v>1785</v>
      </c>
      <c r="B841" s="7">
        <v>46197</v>
      </c>
      <c r="C841" s="8">
        <v>0.74447916666666669</v>
      </c>
      <c r="D841" t="s">
        <v>17</v>
      </c>
      <c r="E841" t="s">
        <v>2</v>
      </c>
      <c r="F841" t="s">
        <v>50</v>
      </c>
      <c r="G841" t="s">
        <v>100</v>
      </c>
      <c r="H841">
        <v>15</v>
      </c>
      <c r="I841" t="s">
        <v>52</v>
      </c>
      <c r="J841" t="s">
        <v>101</v>
      </c>
      <c r="K841" t="s">
        <v>54</v>
      </c>
      <c r="L841" t="s">
        <v>102</v>
      </c>
      <c r="O841" t="s">
        <v>103</v>
      </c>
      <c r="P841" t="s">
        <v>104</v>
      </c>
      <c r="Q841">
        <v>31730.19</v>
      </c>
      <c r="R841">
        <v>-15</v>
      </c>
      <c r="S841" t="s">
        <v>2895</v>
      </c>
      <c r="T841" t="s">
        <v>2896</v>
      </c>
      <c r="U841" t="s">
        <v>2897</v>
      </c>
    </row>
    <row r="842" spans="1:21">
      <c r="A842" t="s">
        <v>1787</v>
      </c>
      <c r="B842" s="7">
        <v>46198</v>
      </c>
      <c r="C842" s="8">
        <v>0.33310185185185187</v>
      </c>
      <c r="D842" t="s">
        <v>17</v>
      </c>
      <c r="E842" t="s">
        <v>2</v>
      </c>
      <c r="F842" t="s">
        <v>50</v>
      </c>
      <c r="G842" t="s">
        <v>51</v>
      </c>
      <c r="H842">
        <v>59.86</v>
      </c>
      <c r="I842" t="s">
        <v>52</v>
      </c>
      <c r="J842" t="s">
        <v>60</v>
      </c>
      <c r="K842" t="s">
        <v>54</v>
      </c>
      <c r="L842" t="s">
        <v>55</v>
      </c>
      <c r="O842" t="s">
        <v>61</v>
      </c>
      <c r="P842" t="s">
        <v>62</v>
      </c>
      <c r="Q842">
        <v>31328.7</v>
      </c>
      <c r="R842">
        <v>-59.86</v>
      </c>
      <c r="S842" t="s">
        <v>2895</v>
      </c>
      <c r="T842" t="s">
        <v>2896</v>
      </c>
      <c r="U842" t="s">
        <v>2897</v>
      </c>
    </row>
    <row r="843" spans="1:21">
      <c r="A843" t="s">
        <v>1789</v>
      </c>
      <c r="B843" s="7">
        <v>46198</v>
      </c>
      <c r="C843" s="8">
        <v>0.4211111111111111</v>
      </c>
      <c r="D843" t="s">
        <v>17</v>
      </c>
      <c r="E843" t="s">
        <v>2</v>
      </c>
      <c r="F843" t="s">
        <v>50</v>
      </c>
      <c r="G843" t="s">
        <v>51</v>
      </c>
      <c r="H843">
        <v>37.22</v>
      </c>
      <c r="I843" t="s">
        <v>52</v>
      </c>
      <c r="J843" t="s">
        <v>126</v>
      </c>
      <c r="K843" t="s">
        <v>54</v>
      </c>
      <c r="L843" t="s">
        <v>55</v>
      </c>
      <c r="O843" t="s">
        <v>56</v>
      </c>
      <c r="P843" t="s">
        <v>57</v>
      </c>
      <c r="Q843">
        <v>31115.59</v>
      </c>
      <c r="R843">
        <v>-37.22</v>
      </c>
      <c r="S843" t="s">
        <v>2895</v>
      </c>
      <c r="T843" t="s">
        <v>2896</v>
      </c>
      <c r="U843" t="s">
        <v>2897</v>
      </c>
    </row>
    <row r="844" spans="1:21">
      <c r="A844" t="s">
        <v>1791</v>
      </c>
      <c r="B844" s="7">
        <v>46198</v>
      </c>
      <c r="C844" s="8">
        <v>0.43629629629629629</v>
      </c>
      <c r="D844" t="s">
        <v>17</v>
      </c>
      <c r="E844" t="s">
        <v>2</v>
      </c>
      <c r="F844" t="s">
        <v>149</v>
      </c>
      <c r="G844" t="s">
        <v>1722</v>
      </c>
      <c r="H844">
        <v>6000</v>
      </c>
      <c r="I844" t="s">
        <v>52</v>
      </c>
      <c r="J844" t="s">
        <v>1793</v>
      </c>
      <c r="K844" t="s">
        <v>54</v>
      </c>
      <c r="L844" t="s">
        <v>102</v>
      </c>
      <c r="O844" t="s">
        <v>1724</v>
      </c>
      <c r="P844" t="s">
        <v>1725</v>
      </c>
      <c r="Q844">
        <v>91313.61</v>
      </c>
      <c r="R844">
        <v>6000</v>
      </c>
      <c r="S844" t="s">
        <v>2895</v>
      </c>
      <c r="T844" t="s">
        <v>2896</v>
      </c>
      <c r="U844" t="s">
        <v>2897</v>
      </c>
    </row>
    <row r="845" spans="1:21">
      <c r="A845" t="s">
        <v>1794</v>
      </c>
      <c r="B845" s="7">
        <v>46198</v>
      </c>
      <c r="C845" s="8">
        <v>0.48931712962962964</v>
      </c>
      <c r="D845" t="s">
        <v>17</v>
      </c>
      <c r="E845" t="s">
        <v>2</v>
      </c>
      <c r="F845" t="s">
        <v>50</v>
      </c>
      <c r="G845" t="s">
        <v>100</v>
      </c>
      <c r="H845">
        <v>15</v>
      </c>
      <c r="I845" t="s">
        <v>52</v>
      </c>
      <c r="J845" t="s">
        <v>101</v>
      </c>
      <c r="K845" t="s">
        <v>54</v>
      </c>
      <c r="L845" t="s">
        <v>102</v>
      </c>
      <c r="O845" t="s">
        <v>103</v>
      </c>
      <c r="P845" t="s">
        <v>104</v>
      </c>
      <c r="Q845">
        <v>31152.81</v>
      </c>
      <c r="R845">
        <v>-15</v>
      </c>
      <c r="S845" t="s">
        <v>2895</v>
      </c>
      <c r="T845" t="s">
        <v>2896</v>
      </c>
      <c r="U845" t="s">
        <v>2897</v>
      </c>
    </row>
    <row r="846" spans="1:21">
      <c r="A846" t="s">
        <v>1796</v>
      </c>
      <c r="B846" s="7">
        <v>46198</v>
      </c>
      <c r="C846" s="8">
        <v>0.5084143518518518</v>
      </c>
      <c r="D846" t="s">
        <v>17</v>
      </c>
      <c r="E846" t="s">
        <v>2</v>
      </c>
      <c r="F846" t="s">
        <v>50</v>
      </c>
      <c r="G846" t="s">
        <v>51</v>
      </c>
      <c r="H846">
        <v>34.71</v>
      </c>
      <c r="I846" t="s">
        <v>52</v>
      </c>
      <c r="J846" t="s">
        <v>60</v>
      </c>
      <c r="K846" t="s">
        <v>54</v>
      </c>
      <c r="L846" t="s">
        <v>55</v>
      </c>
      <c r="O846" t="s">
        <v>61</v>
      </c>
      <c r="P846" t="s">
        <v>62</v>
      </c>
      <c r="Q846">
        <v>31395.66</v>
      </c>
      <c r="R846">
        <v>-34.71</v>
      </c>
      <c r="S846" t="s">
        <v>2895</v>
      </c>
      <c r="T846" t="s">
        <v>2896</v>
      </c>
      <c r="U846" t="s">
        <v>2897</v>
      </c>
    </row>
    <row r="847" spans="1:21">
      <c r="A847" t="s">
        <v>1798</v>
      </c>
      <c r="B847" s="7">
        <v>46198</v>
      </c>
      <c r="C847" s="8">
        <v>0.53149305555555559</v>
      </c>
      <c r="D847" t="s">
        <v>17</v>
      </c>
      <c r="E847" t="s">
        <v>2</v>
      </c>
      <c r="F847" t="s">
        <v>50</v>
      </c>
      <c r="G847" t="s">
        <v>51</v>
      </c>
      <c r="H847">
        <v>7.1</v>
      </c>
      <c r="I847" t="s">
        <v>52</v>
      </c>
      <c r="J847" t="s">
        <v>121</v>
      </c>
      <c r="K847" t="s">
        <v>54</v>
      </c>
      <c r="L847" t="s">
        <v>55</v>
      </c>
      <c r="O847" t="s">
        <v>122</v>
      </c>
      <c r="P847" t="s">
        <v>123</v>
      </c>
      <c r="Q847">
        <v>31388.560000000001</v>
      </c>
      <c r="R847">
        <v>-7.1</v>
      </c>
      <c r="S847" t="s">
        <v>2895</v>
      </c>
      <c r="T847" t="s">
        <v>2896</v>
      </c>
      <c r="U847" t="s">
        <v>2897</v>
      </c>
    </row>
    <row r="848" spans="1:21">
      <c r="A848" t="s">
        <v>1800</v>
      </c>
      <c r="B848" s="7">
        <v>46198</v>
      </c>
      <c r="C848" s="8">
        <v>0.82890046296296294</v>
      </c>
      <c r="D848" t="s">
        <v>17</v>
      </c>
      <c r="E848" t="s">
        <v>2</v>
      </c>
      <c r="F848" t="s">
        <v>50</v>
      </c>
      <c r="G848" t="s">
        <v>51</v>
      </c>
      <c r="H848">
        <v>88.26</v>
      </c>
      <c r="I848" t="s">
        <v>52</v>
      </c>
      <c r="J848" t="s">
        <v>65</v>
      </c>
      <c r="K848" t="s">
        <v>54</v>
      </c>
      <c r="L848" t="s">
        <v>55</v>
      </c>
      <c r="O848" t="s">
        <v>66</v>
      </c>
      <c r="P848" t="s">
        <v>67</v>
      </c>
      <c r="Q848">
        <v>31167.81</v>
      </c>
      <c r="R848">
        <v>-88.26</v>
      </c>
      <c r="S848" t="s">
        <v>2895</v>
      </c>
      <c r="T848" t="s">
        <v>2896</v>
      </c>
      <c r="U848" t="s">
        <v>2897</v>
      </c>
    </row>
    <row r="849" spans="1:21">
      <c r="A849" t="s">
        <v>1802</v>
      </c>
      <c r="B849" s="7">
        <v>46198</v>
      </c>
      <c r="C849" s="8">
        <v>0.85395833333333337</v>
      </c>
      <c r="D849" t="s">
        <v>17</v>
      </c>
      <c r="E849" t="s">
        <v>2</v>
      </c>
      <c r="F849" t="s">
        <v>50</v>
      </c>
      <c r="G849" t="s">
        <v>51</v>
      </c>
      <c r="H849">
        <v>60.61</v>
      </c>
      <c r="I849" t="s">
        <v>52</v>
      </c>
      <c r="J849" t="s">
        <v>60</v>
      </c>
      <c r="K849" t="s">
        <v>54</v>
      </c>
      <c r="L849" t="s">
        <v>55</v>
      </c>
      <c r="O849" t="s">
        <v>61</v>
      </c>
      <c r="P849" t="s">
        <v>62</v>
      </c>
      <c r="Q849">
        <v>31268.09</v>
      </c>
      <c r="R849">
        <v>-60.61</v>
      </c>
      <c r="S849" t="s">
        <v>2895</v>
      </c>
      <c r="T849" t="s">
        <v>2896</v>
      </c>
      <c r="U849" t="s">
        <v>2897</v>
      </c>
    </row>
    <row r="850" spans="1:21">
      <c r="A850" t="s">
        <v>1804</v>
      </c>
      <c r="B850" s="7">
        <v>46198</v>
      </c>
      <c r="C850" s="8">
        <v>0.87538194444444439</v>
      </c>
      <c r="D850" t="s">
        <v>17</v>
      </c>
      <c r="E850" t="s">
        <v>2</v>
      </c>
      <c r="F850" t="s">
        <v>50</v>
      </c>
      <c r="G850" t="s">
        <v>100</v>
      </c>
      <c r="H850">
        <v>12.02</v>
      </c>
      <c r="I850" t="s">
        <v>52</v>
      </c>
      <c r="J850" t="s">
        <v>114</v>
      </c>
      <c r="K850" t="s">
        <v>54</v>
      </c>
      <c r="L850" t="s">
        <v>102</v>
      </c>
      <c r="O850" t="s">
        <v>103</v>
      </c>
      <c r="P850" t="s">
        <v>104</v>
      </c>
      <c r="Q850">
        <v>31256.07</v>
      </c>
      <c r="R850">
        <v>-12.02</v>
      </c>
      <c r="S850" t="s">
        <v>2895</v>
      </c>
      <c r="T850" t="s">
        <v>2896</v>
      </c>
      <c r="U850" t="s">
        <v>2897</v>
      </c>
    </row>
    <row r="851" spans="1:21">
      <c r="A851" t="s">
        <v>1806</v>
      </c>
      <c r="B851" s="7">
        <v>46199</v>
      </c>
      <c r="C851" s="8">
        <v>0.44839120370370372</v>
      </c>
      <c r="D851" t="s">
        <v>17</v>
      </c>
      <c r="E851" t="s">
        <v>2</v>
      </c>
      <c r="F851" t="s">
        <v>50</v>
      </c>
      <c r="G851" t="s">
        <v>51</v>
      </c>
      <c r="H851">
        <v>13.61</v>
      </c>
      <c r="I851" t="s">
        <v>52</v>
      </c>
      <c r="J851" t="s">
        <v>53</v>
      </c>
      <c r="K851" t="s">
        <v>54</v>
      </c>
      <c r="L851" t="s">
        <v>55</v>
      </c>
      <c r="O851" t="s">
        <v>56</v>
      </c>
      <c r="P851" t="s">
        <v>57</v>
      </c>
      <c r="Q851">
        <v>30981.62</v>
      </c>
      <c r="R851">
        <v>-13.61</v>
      </c>
      <c r="S851" t="s">
        <v>2895</v>
      </c>
      <c r="T851" t="s">
        <v>2896</v>
      </c>
      <c r="U851" t="s">
        <v>2897</v>
      </c>
    </row>
    <row r="852" spans="1:21">
      <c r="A852" t="s">
        <v>1808</v>
      </c>
      <c r="B852" s="7">
        <v>46199</v>
      </c>
      <c r="C852" s="8">
        <v>0.50848379629629625</v>
      </c>
      <c r="D852" t="s">
        <v>17</v>
      </c>
      <c r="E852" t="s">
        <v>2</v>
      </c>
      <c r="F852" t="s">
        <v>50</v>
      </c>
      <c r="G852" t="s">
        <v>100</v>
      </c>
      <c r="H852">
        <v>22.91</v>
      </c>
      <c r="I852" t="s">
        <v>52</v>
      </c>
      <c r="J852" t="s">
        <v>114</v>
      </c>
      <c r="K852" t="s">
        <v>54</v>
      </c>
      <c r="L852" t="s">
        <v>102</v>
      </c>
      <c r="O852" t="s">
        <v>103</v>
      </c>
      <c r="P852" t="s">
        <v>104</v>
      </c>
      <c r="Q852">
        <v>30995.23</v>
      </c>
      <c r="R852">
        <v>-22.91</v>
      </c>
      <c r="S852" t="s">
        <v>2895</v>
      </c>
      <c r="T852" t="s">
        <v>2896</v>
      </c>
      <c r="U852" t="s">
        <v>2897</v>
      </c>
    </row>
    <row r="853" spans="1:21">
      <c r="A853" t="s">
        <v>1810</v>
      </c>
      <c r="B853" s="7">
        <v>46199</v>
      </c>
      <c r="C853" s="8">
        <v>0.67949074074074078</v>
      </c>
      <c r="D853" t="s">
        <v>17</v>
      </c>
      <c r="E853" t="s">
        <v>2</v>
      </c>
      <c r="F853" t="s">
        <v>50</v>
      </c>
      <c r="G853" t="s">
        <v>51</v>
      </c>
      <c r="H853">
        <v>60.7</v>
      </c>
      <c r="I853" t="s">
        <v>52</v>
      </c>
      <c r="J853" t="s">
        <v>196</v>
      </c>
      <c r="K853" t="s">
        <v>54</v>
      </c>
      <c r="L853" t="s">
        <v>55</v>
      </c>
      <c r="O853" t="s">
        <v>197</v>
      </c>
      <c r="P853" t="s">
        <v>198</v>
      </c>
      <c r="Q853">
        <v>31031.67</v>
      </c>
      <c r="R853">
        <v>-60.7</v>
      </c>
      <c r="S853" t="s">
        <v>2895</v>
      </c>
      <c r="T853" t="s">
        <v>2896</v>
      </c>
      <c r="U853" t="s">
        <v>2897</v>
      </c>
    </row>
    <row r="854" spans="1:21">
      <c r="A854" t="s">
        <v>1812</v>
      </c>
      <c r="B854" s="7">
        <v>46199</v>
      </c>
      <c r="C854" s="8">
        <v>0.69799768518518523</v>
      </c>
      <c r="D854" t="s">
        <v>17</v>
      </c>
      <c r="E854" t="s">
        <v>2</v>
      </c>
      <c r="F854" t="s">
        <v>50</v>
      </c>
      <c r="G854" t="s">
        <v>51</v>
      </c>
      <c r="H854">
        <v>28.16</v>
      </c>
      <c r="I854" t="s">
        <v>52</v>
      </c>
      <c r="J854" t="s">
        <v>126</v>
      </c>
      <c r="K854" t="s">
        <v>54</v>
      </c>
      <c r="L854" t="s">
        <v>55</v>
      </c>
      <c r="O854" t="s">
        <v>56</v>
      </c>
      <c r="P854" t="s">
        <v>57</v>
      </c>
      <c r="Q854">
        <v>30953.46</v>
      </c>
      <c r="R854">
        <v>-28.16</v>
      </c>
      <c r="S854" t="s">
        <v>2895</v>
      </c>
      <c r="T854" t="s">
        <v>2896</v>
      </c>
      <c r="U854" t="s">
        <v>2897</v>
      </c>
    </row>
    <row r="855" spans="1:21">
      <c r="A855" t="s">
        <v>1814</v>
      </c>
      <c r="B855" s="7">
        <v>46199</v>
      </c>
      <c r="C855" s="8">
        <v>0.71612268518518518</v>
      </c>
      <c r="D855" t="s">
        <v>17</v>
      </c>
      <c r="E855" t="s">
        <v>2</v>
      </c>
      <c r="F855" t="s">
        <v>50</v>
      </c>
      <c r="G855" t="s">
        <v>1816</v>
      </c>
      <c r="H855">
        <v>16200</v>
      </c>
      <c r="I855" t="s">
        <v>52</v>
      </c>
      <c r="J855" t="s">
        <v>1817</v>
      </c>
      <c r="K855" t="s">
        <v>1818</v>
      </c>
      <c r="L855" t="s">
        <v>1819</v>
      </c>
      <c r="O855" t="s">
        <v>1820</v>
      </c>
      <c r="P855" t="s">
        <v>1821</v>
      </c>
      <c r="Q855">
        <v>75113.61</v>
      </c>
      <c r="R855">
        <v>-16200</v>
      </c>
      <c r="S855" t="s">
        <v>2898</v>
      </c>
      <c r="T855" t="s">
        <v>2896</v>
      </c>
      <c r="U855" t="s">
        <v>2897</v>
      </c>
    </row>
    <row r="856" spans="1:21">
      <c r="A856" t="s">
        <v>1822</v>
      </c>
      <c r="B856" s="7">
        <v>46199</v>
      </c>
      <c r="C856" s="8">
        <v>0.8187268518518519</v>
      </c>
      <c r="D856" t="s">
        <v>17</v>
      </c>
      <c r="E856" t="s">
        <v>2</v>
      </c>
      <c r="F856" t="s">
        <v>50</v>
      </c>
      <c r="G856" t="s">
        <v>100</v>
      </c>
      <c r="H856">
        <v>23.22</v>
      </c>
      <c r="I856" t="s">
        <v>52</v>
      </c>
      <c r="J856" t="s">
        <v>114</v>
      </c>
      <c r="K856" t="s">
        <v>54</v>
      </c>
      <c r="L856" t="s">
        <v>102</v>
      </c>
      <c r="O856" t="s">
        <v>103</v>
      </c>
      <c r="P856" t="s">
        <v>104</v>
      </c>
      <c r="Q856">
        <v>31092.37</v>
      </c>
      <c r="R856">
        <v>-23.22</v>
      </c>
      <c r="S856" t="s">
        <v>2895</v>
      </c>
      <c r="T856" t="s">
        <v>2896</v>
      </c>
      <c r="U856" t="s">
        <v>2897</v>
      </c>
    </row>
    <row r="857" spans="1:21">
      <c r="A857" t="s">
        <v>1824</v>
      </c>
      <c r="B857" s="7">
        <v>46199</v>
      </c>
      <c r="C857" s="8">
        <v>0.82207175925925924</v>
      </c>
      <c r="D857" t="s">
        <v>17</v>
      </c>
      <c r="E857" t="s">
        <v>2</v>
      </c>
      <c r="F857" t="s">
        <v>50</v>
      </c>
      <c r="G857" t="s">
        <v>51</v>
      </c>
      <c r="H857">
        <v>37.24</v>
      </c>
      <c r="I857" t="s">
        <v>52</v>
      </c>
      <c r="J857" t="s">
        <v>81</v>
      </c>
      <c r="K857" t="s">
        <v>54</v>
      </c>
      <c r="L857" t="s">
        <v>55</v>
      </c>
      <c r="O857" t="s">
        <v>82</v>
      </c>
      <c r="P857" t="s">
        <v>83</v>
      </c>
      <c r="Q857">
        <v>30916.22</v>
      </c>
      <c r="R857">
        <v>-37.24</v>
      </c>
      <c r="S857" t="s">
        <v>2895</v>
      </c>
      <c r="T857" t="s">
        <v>2896</v>
      </c>
      <c r="U857" t="s">
        <v>2897</v>
      </c>
    </row>
    <row r="858" spans="1:21">
      <c r="A858" t="s">
        <v>1826</v>
      </c>
      <c r="B858" s="7">
        <v>46199</v>
      </c>
      <c r="C858" s="8">
        <v>0.93047453703703709</v>
      </c>
      <c r="D858" t="s">
        <v>17</v>
      </c>
      <c r="E858" t="s">
        <v>2</v>
      </c>
      <c r="F858" t="s">
        <v>50</v>
      </c>
      <c r="G858" t="s">
        <v>51</v>
      </c>
      <c r="H858">
        <v>13.53</v>
      </c>
      <c r="I858" t="s">
        <v>52</v>
      </c>
      <c r="J858" t="s">
        <v>126</v>
      </c>
      <c r="K858" t="s">
        <v>54</v>
      </c>
      <c r="L858" t="s">
        <v>55</v>
      </c>
      <c r="O858" t="s">
        <v>56</v>
      </c>
      <c r="P858" t="s">
        <v>57</v>
      </c>
      <c r="Q858">
        <v>31018.14</v>
      </c>
      <c r="R858">
        <v>-13.53</v>
      </c>
      <c r="S858" t="s">
        <v>2895</v>
      </c>
      <c r="T858" t="s">
        <v>2896</v>
      </c>
      <c r="U858" t="s">
        <v>2897</v>
      </c>
    </row>
    <row r="859" spans="1:21">
      <c r="A859" t="s">
        <v>1828</v>
      </c>
      <c r="B859" s="7">
        <v>46200</v>
      </c>
      <c r="C859" s="8">
        <v>0.26677083333333335</v>
      </c>
      <c r="D859" t="s">
        <v>17</v>
      </c>
      <c r="E859" t="s">
        <v>2</v>
      </c>
      <c r="F859" t="s">
        <v>50</v>
      </c>
      <c r="G859" t="s">
        <v>51</v>
      </c>
      <c r="H859">
        <v>84.39</v>
      </c>
      <c r="I859" t="s">
        <v>52</v>
      </c>
      <c r="J859" t="s">
        <v>65</v>
      </c>
      <c r="K859" t="s">
        <v>54</v>
      </c>
      <c r="L859" t="s">
        <v>55</v>
      </c>
      <c r="O859" t="s">
        <v>66</v>
      </c>
      <c r="P859" t="s">
        <v>67</v>
      </c>
      <c r="Q859">
        <v>30831.83</v>
      </c>
      <c r="R859">
        <v>-84.39</v>
      </c>
      <c r="S859" t="s">
        <v>2895</v>
      </c>
      <c r="T859" t="s">
        <v>2896</v>
      </c>
      <c r="U859" t="s">
        <v>2897</v>
      </c>
    </row>
    <row r="860" spans="1:21">
      <c r="A860" t="s">
        <v>1830</v>
      </c>
      <c r="B860" s="7">
        <v>46200</v>
      </c>
      <c r="C860" s="8">
        <v>0.33291666666666669</v>
      </c>
      <c r="D860" t="s">
        <v>17</v>
      </c>
      <c r="E860" t="s">
        <v>2</v>
      </c>
      <c r="F860" t="s">
        <v>50</v>
      </c>
      <c r="G860" t="s">
        <v>51</v>
      </c>
      <c r="H860">
        <v>13.7</v>
      </c>
      <c r="I860" t="s">
        <v>52</v>
      </c>
      <c r="J860" t="s">
        <v>53</v>
      </c>
      <c r="K860" t="s">
        <v>54</v>
      </c>
      <c r="L860" t="s">
        <v>55</v>
      </c>
      <c r="O860" t="s">
        <v>56</v>
      </c>
      <c r="P860" t="s">
        <v>57</v>
      </c>
      <c r="Q860">
        <v>30528.51</v>
      </c>
      <c r="R860">
        <v>-13.7</v>
      </c>
      <c r="S860" t="s">
        <v>2895</v>
      </c>
      <c r="T860" t="s">
        <v>2896</v>
      </c>
      <c r="U860" t="s">
        <v>2897</v>
      </c>
    </row>
    <row r="861" spans="1:21">
      <c r="A861" t="s">
        <v>1832</v>
      </c>
      <c r="B861" s="7">
        <v>46200</v>
      </c>
      <c r="C861" s="8">
        <v>0.51236111111111116</v>
      </c>
      <c r="D861" t="s">
        <v>17</v>
      </c>
      <c r="E861" t="s">
        <v>2</v>
      </c>
      <c r="F861" t="s">
        <v>50</v>
      </c>
      <c r="G861" t="s">
        <v>51</v>
      </c>
      <c r="H861">
        <v>103.12</v>
      </c>
      <c r="I861" t="s">
        <v>52</v>
      </c>
      <c r="J861" t="s">
        <v>65</v>
      </c>
      <c r="K861" t="s">
        <v>54</v>
      </c>
      <c r="L861" t="s">
        <v>55</v>
      </c>
      <c r="O861" t="s">
        <v>66</v>
      </c>
      <c r="P861" t="s">
        <v>67</v>
      </c>
      <c r="Q861">
        <v>30728.71</v>
      </c>
      <c r="R861">
        <v>-103.12</v>
      </c>
      <c r="S861" t="s">
        <v>2895</v>
      </c>
      <c r="T861" t="s">
        <v>2896</v>
      </c>
      <c r="U861" t="s">
        <v>2897</v>
      </c>
    </row>
    <row r="862" spans="1:21">
      <c r="A862" t="s">
        <v>1834</v>
      </c>
      <c r="B862" s="7">
        <v>46200</v>
      </c>
      <c r="C862" s="8">
        <v>0.5901967592592593</v>
      </c>
      <c r="D862" t="s">
        <v>17</v>
      </c>
      <c r="E862" t="s">
        <v>2</v>
      </c>
      <c r="F862" t="s">
        <v>50</v>
      </c>
      <c r="G862" t="s">
        <v>51</v>
      </c>
      <c r="H862">
        <v>47.34</v>
      </c>
      <c r="I862" t="s">
        <v>52</v>
      </c>
      <c r="J862" t="s">
        <v>126</v>
      </c>
      <c r="K862" t="s">
        <v>54</v>
      </c>
      <c r="L862" t="s">
        <v>55</v>
      </c>
      <c r="O862" t="s">
        <v>56</v>
      </c>
      <c r="P862" t="s">
        <v>57</v>
      </c>
      <c r="Q862">
        <v>30681.37</v>
      </c>
      <c r="R862">
        <v>-47.34</v>
      </c>
      <c r="S862" t="s">
        <v>2895</v>
      </c>
      <c r="T862" t="s">
        <v>2896</v>
      </c>
      <c r="U862" t="s">
        <v>2897</v>
      </c>
    </row>
    <row r="863" spans="1:21">
      <c r="A863" t="s">
        <v>1836</v>
      </c>
      <c r="B863" s="7">
        <v>46200</v>
      </c>
      <c r="C863" s="8">
        <v>0.63458333333333339</v>
      </c>
      <c r="D863" t="s">
        <v>17</v>
      </c>
      <c r="E863" t="s">
        <v>2</v>
      </c>
      <c r="F863" t="s">
        <v>50</v>
      </c>
      <c r="G863" t="s">
        <v>51</v>
      </c>
      <c r="H863">
        <v>105.71</v>
      </c>
      <c r="I863" t="s">
        <v>52</v>
      </c>
      <c r="J863" t="s">
        <v>65</v>
      </c>
      <c r="K863" t="s">
        <v>54</v>
      </c>
      <c r="L863" t="s">
        <v>55</v>
      </c>
      <c r="O863" t="s">
        <v>66</v>
      </c>
      <c r="P863" t="s">
        <v>67</v>
      </c>
      <c r="Q863">
        <v>30575.66</v>
      </c>
      <c r="R863">
        <v>-105.71</v>
      </c>
      <c r="S863" t="s">
        <v>2895</v>
      </c>
      <c r="T863" t="s">
        <v>2896</v>
      </c>
      <c r="U863" t="s">
        <v>2897</v>
      </c>
    </row>
    <row r="864" spans="1:21">
      <c r="A864" t="s">
        <v>1838</v>
      </c>
      <c r="B864" s="7">
        <v>46200</v>
      </c>
      <c r="C864" s="8">
        <v>0.69100694444444444</v>
      </c>
      <c r="D864" t="s">
        <v>17</v>
      </c>
      <c r="E864" t="s">
        <v>2</v>
      </c>
      <c r="F864" t="s">
        <v>50</v>
      </c>
      <c r="G864" t="s">
        <v>51</v>
      </c>
      <c r="H864">
        <v>10.91</v>
      </c>
      <c r="I864" t="s">
        <v>52</v>
      </c>
      <c r="J864" t="s">
        <v>121</v>
      </c>
      <c r="K864" t="s">
        <v>54</v>
      </c>
      <c r="L864" t="s">
        <v>55</v>
      </c>
      <c r="O864" t="s">
        <v>122</v>
      </c>
      <c r="P864" t="s">
        <v>123</v>
      </c>
      <c r="Q864">
        <v>30517.599999999999</v>
      </c>
      <c r="R864">
        <v>-10.91</v>
      </c>
      <c r="S864" t="s">
        <v>2895</v>
      </c>
      <c r="T864" t="s">
        <v>2896</v>
      </c>
      <c r="U864" t="s">
        <v>2897</v>
      </c>
    </row>
    <row r="865" spans="1:21">
      <c r="A865" t="s">
        <v>1840</v>
      </c>
      <c r="B865" s="7">
        <v>46200</v>
      </c>
      <c r="C865" s="8">
        <v>0.76078703703703698</v>
      </c>
      <c r="D865" t="s">
        <v>17</v>
      </c>
      <c r="E865" t="s">
        <v>2</v>
      </c>
      <c r="F865" t="s">
        <v>50</v>
      </c>
      <c r="G865" t="s">
        <v>100</v>
      </c>
      <c r="H865">
        <v>22.97</v>
      </c>
      <c r="I865" t="s">
        <v>52</v>
      </c>
      <c r="J865" t="s">
        <v>114</v>
      </c>
      <c r="K865" t="s">
        <v>54</v>
      </c>
      <c r="L865" t="s">
        <v>102</v>
      </c>
      <c r="O865" t="s">
        <v>103</v>
      </c>
      <c r="P865" t="s">
        <v>104</v>
      </c>
      <c r="Q865">
        <v>30542.21</v>
      </c>
      <c r="R865">
        <v>-22.97</v>
      </c>
      <c r="S865" t="s">
        <v>2895</v>
      </c>
      <c r="T865" t="s">
        <v>2896</v>
      </c>
      <c r="U865" t="s">
        <v>2897</v>
      </c>
    </row>
    <row r="866" spans="1:21">
      <c r="A866" t="s">
        <v>1842</v>
      </c>
      <c r="B866" s="7">
        <v>46200</v>
      </c>
      <c r="C866" s="8">
        <v>0.83795138888888887</v>
      </c>
      <c r="D866" t="s">
        <v>17</v>
      </c>
      <c r="E866" t="s">
        <v>2</v>
      </c>
      <c r="F866" t="s">
        <v>50</v>
      </c>
      <c r="G866" t="s">
        <v>100</v>
      </c>
      <c r="H866">
        <v>10.48</v>
      </c>
      <c r="I866" t="s">
        <v>52</v>
      </c>
      <c r="J866" t="s">
        <v>114</v>
      </c>
      <c r="K866" t="s">
        <v>54</v>
      </c>
      <c r="L866" t="s">
        <v>102</v>
      </c>
      <c r="O866" t="s">
        <v>103</v>
      </c>
      <c r="P866" t="s">
        <v>104</v>
      </c>
      <c r="Q866">
        <v>30565.18</v>
      </c>
      <c r="R866">
        <v>-10.48</v>
      </c>
      <c r="S866" t="s">
        <v>2895</v>
      </c>
      <c r="T866" t="s">
        <v>2896</v>
      </c>
      <c r="U866" t="s">
        <v>2897</v>
      </c>
    </row>
    <row r="867" spans="1:21">
      <c r="A867" t="s">
        <v>1844</v>
      </c>
      <c r="B867" s="7">
        <v>46200</v>
      </c>
      <c r="C867" s="8">
        <v>0.87030092592592589</v>
      </c>
      <c r="D867" t="s">
        <v>17</v>
      </c>
      <c r="E867" t="s">
        <v>2</v>
      </c>
      <c r="F867" t="s">
        <v>50</v>
      </c>
      <c r="G867" t="s">
        <v>72</v>
      </c>
      <c r="H867">
        <v>159.02000000000001</v>
      </c>
      <c r="I867" t="s">
        <v>52</v>
      </c>
      <c r="J867" t="s">
        <v>233</v>
      </c>
      <c r="K867" t="s">
        <v>54</v>
      </c>
      <c r="L867" t="s">
        <v>74</v>
      </c>
      <c r="O867" t="s">
        <v>75</v>
      </c>
      <c r="P867" t="s">
        <v>76</v>
      </c>
      <c r="Q867">
        <v>30358.58</v>
      </c>
      <c r="R867">
        <v>-159.02000000000001</v>
      </c>
      <c r="S867" t="s">
        <v>2895</v>
      </c>
      <c r="T867" t="s">
        <v>2896</v>
      </c>
      <c r="U867" t="s">
        <v>2897</v>
      </c>
    </row>
    <row r="868" spans="1:21">
      <c r="A868" t="s">
        <v>1846</v>
      </c>
      <c r="B868" s="7">
        <v>46201</v>
      </c>
      <c r="C868" s="8">
        <v>0.48824074074074075</v>
      </c>
      <c r="D868" t="s">
        <v>17</v>
      </c>
      <c r="E868" t="s">
        <v>2</v>
      </c>
      <c r="F868" t="s">
        <v>50</v>
      </c>
      <c r="G868" t="s">
        <v>51</v>
      </c>
      <c r="H868">
        <v>64.36</v>
      </c>
      <c r="I868" t="s">
        <v>52</v>
      </c>
      <c r="J868" t="s">
        <v>196</v>
      </c>
      <c r="K868" t="s">
        <v>54</v>
      </c>
      <c r="L868" t="s">
        <v>55</v>
      </c>
      <c r="O868" t="s">
        <v>197</v>
      </c>
      <c r="P868" t="s">
        <v>198</v>
      </c>
      <c r="Q868">
        <v>30273.14</v>
      </c>
      <c r="R868">
        <v>-64.36</v>
      </c>
      <c r="S868" t="s">
        <v>2895</v>
      </c>
      <c r="T868" t="s">
        <v>2896</v>
      </c>
      <c r="U868" t="s">
        <v>2897</v>
      </c>
    </row>
    <row r="869" spans="1:21">
      <c r="A869" t="s">
        <v>1848</v>
      </c>
      <c r="B869" s="7">
        <v>46201</v>
      </c>
      <c r="C869" s="8">
        <v>0.51732638888888893</v>
      </c>
      <c r="D869" t="s">
        <v>17</v>
      </c>
      <c r="E869" t="s">
        <v>2</v>
      </c>
      <c r="F869" t="s">
        <v>149</v>
      </c>
      <c r="G869" t="s">
        <v>321</v>
      </c>
      <c r="H869">
        <v>3132.52</v>
      </c>
      <c r="I869" t="s">
        <v>52</v>
      </c>
      <c r="J869" t="s">
        <v>9</v>
      </c>
      <c r="K869" t="s">
        <v>54</v>
      </c>
      <c r="L869" t="s">
        <v>102</v>
      </c>
      <c r="O869" t="s">
        <v>322</v>
      </c>
      <c r="P869" t="s">
        <v>323</v>
      </c>
      <c r="Q869">
        <v>38533.949999999997</v>
      </c>
      <c r="R869">
        <v>3132.52</v>
      </c>
      <c r="S869" t="s">
        <v>2895</v>
      </c>
      <c r="T869" t="s">
        <v>2896</v>
      </c>
      <c r="U869" t="s">
        <v>2897</v>
      </c>
    </row>
    <row r="870" spans="1:21">
      <c r="A870" t="s">
        <v>1850</v>
      </c>
      <c r="B870" s="7">
        <v>46201</v>
      </c>
      <c r="C870" s="8">
        <v>0.53456018518518522</v>
      </c>
      <c r="D870" t="s">
        <v>17</v>
      </c>
      <c r="E870" t="s">
        <v>2</v>
      </c>
      <c r="F870" t="s">
        <v>50</v>
      </c>
      <c r="G870" t="s">
        <v>100</v>
      </c>
      <c r="H870">
        <v>21.08</v>
      </c>
      <c r="I870" t="s">
        <v>52</v>
      </c>
      <c r="J870" t="s">
        <v>114</v>
      </c>
      <c r="K870" t="s">
        <v>54</v>
      </c>
      <c r="L870" t="s">
        <v>102</v>
      </c>
      <c r="O870" t="s">
        <v>103</v>
      </c>
      <c r="P870" t="s">
        <v>104</v>
      </c>
      <c r="Q870">
        <v>30337.5</v>
      </c>
      <c r="R870">
        <v>-21.08</v>
      </c>
      <c r="S870" t="s">
        <v>2895</v>
      </c>
      <c r="T870" t="s">
        <v>2896</v>
      </c>
      <c r="U870" t="s">
        <v>2897</v>
      </c>
    </row>
    <row r="871" spans="1:21">
      <c r="A871" t="s">
        <v>1852</v>
      </c>
      <c r="B871" s="7">
        <v>46201</v>
      </c>
      <c r="C871" s="8">
        <v>0.58900462962962963</v>
      </c>
      <c r="D871" t="s">
        <v>17</v>
      </c>
      <c r="E871" t="s">
        <v>2</v>
      </c>
      <c r="F871" t="s">
        <v>50</v>
      </c>
      <c r="G871" t="s">
        <v>51</v>
      </c>
      <c r="H871">
        <v>72.42</v>
      </c>
      <c r="I871" t="s">
        <v>52</v>
      </c>
      <c r="J871" t="s">
        <v>65</v>
      </c>
      <c r="K871" t="s">
        <v>54</v>
      </c>
      <c r="L871" t="s">
        <v>55</v>
      </c>
      <c r="O871" t="s">
        <v>66</v>
      </c>
      <c r="P871" t="s">
        <v>67</v>
      </c>
      <c r="Q871">
        <v>30154.22</v>
      </c>
      <c r="R871">
        <v>-72.42</v>
      </c>
      <c r="S871" t="s">
        <v>2895</v>
      </c>
      <c r="T871" t="s">
        <v>2896</v>
      </c>
      <c r="U871" t="s">
        <v>2897</v>
      </c>
    </row>
    <row r="872" spans="1:21">
      <c r="A872" t="s">
        <v>1854</v>
      </c>
      <c r="B872" s="7">
        <v>46201</v>
      </c>
      <c r="C872" s="8">
        <v>0.69309027777777776</v>
      </c>
      <c r="D872" t="s">
        <v>17</v>
      </c>
      <c r="E872" t="s">
        <v>2</v>
      </c>
      <c r="F872" t="s">
        <v>50</v>
      </c>
      <c r="G872" t="s">
        <v>51</v>
      </c>
      <c r="H872">
        <v>9.6</v>
      </c>
      <c r="I872" t="s">
        <v>52</v>
      </c>
      <c r="J872" t="s">
        <v>126</v>
      </c>
      <c r="K872" t="s">
        <v>54</v>
      </c>
      <c r="L872" t="s">
        <v>55</v>
      </c>
      <c r="O872" t="s">
        <v>56</v>
      </c>
      <c r="P872" t="s">
        <v>57</v>
      </c>
      <c r="Q872">
        <v>30140.54</v>
      </c>
      <c r="R872">
        <v>-9.6</v>
      </c>
      <c r="S872" t="s">
        <v>2895</v>
      </c>
      <c r="T872" t="s">
        <v>2896</v>
      </c>
      <c r="U872" t="s">
        <v>2897</v>
      </c>
    </row>
    <row r="873" spans="1:21">
      <c r="A873" t="s">
        <v>1856</v>
      </c>
      <c r="B873" s="7">
        <v>46201</v>
      </c>
      <c r="C873" s="8">
        <v>0.71168981481481486</v>
      </c>
      <c r="D873" t="s">
        <v>17</v>
      </c>
      <c r="E873" t="s">
        <v>2</v>
      </c>
      <c r="F873" t="s">
        <v>50</v>
      </c>
      <c r="G873" t="s">
        <v>51</v>
      </c>
      <c r="H873">
        <v>10.87</v>
      </c>
      <c r="I873" t="s">
        <v>52</v>
      </c>
      <c r="J873" t="s">
        <v>53</v>
      </c>
      <c r="K873" t="s">
        <v>54</v>
      </c>
      <c r="L873" t="s">
        <v>55</v>
      </c>
      <c r="O873" t="s">
        <v>56</v>
      </c>
      <c r="P873" t="s">
        <v>57</v>
      </c>
      <c r="Q873">
        <v>30129.67</v>
      </c>
      <c r="R873">
        <v>-10.87</v>
      </c>
      <c r="S873" t="s">
        <v>2895</v>
      </c>
      <c r="T873" t="s">
        <v>2896</v>
      </c>
      <c r="U873" t="s">
        <v>2897</v>
      </c>
    </row>
    <row r="874" spans="1:21">
      <c r="A874" t="s">
        <v>1858</v>
      </c>
      <c r="B874" s="7">
        <v>46201</v>
      </c>
      <c r="C874" s="8">
        <v>0.86526620370370366</v>
      </c>
      <c r="D874" t="s">
        <v>17</v>
      </c>
      <c r="E874" t="s">
        <v>2</v>
      </c>
      <c r="F874" t="s">
        <v>50</v>
      </c>
      <c r="G874" t="s">
        <v>51</v>
      </c>
      <c r="H874">
        <v>4.08</v>
      </c>
      <c r="I874" t="s">
        <v>52</v>
      </c>
      <c r="J874" t="s">
        <v>53</v>
      </c>
      <c r="K874" t="s">
        <v>54</v>
      </c>
      <c r="L874" t="s">
        <v>55</v>
      </c>
      <c r="O874" t="s">
        <v>56</v>
      </c>
      <c r="P874" t="s">
        <v>57</v>
      </c>
      <c r="Q874">
        <v>30150.14</v>
      </c>
      <c r="R874">
        <v>-4.08</v>
      </c>
      <c r="S874" t="s">
        <v>2895</v>
      </c>
      <c r="T874" t="s">
        <v>2896</v>
      </c>
      <c r="U874" t="s">
        <v>2897</v>
      </c>
    </row>
    <row r="875" spans="1:21">
      <c r="A875" t="s">
        <v>1860</v>
      </c>
      <c r="B875" s="7">
        <v>46201</v>
      </c>
      <c r="C875" s="8">
        <v>0.92180555555555554</v>
      </c>
      <c r="D875" t="s">
        <v>17</v>
      </c>
      <c r="E875" t="s">
        <v>2</v>
      </c>
      <c r="F875" t="s">
        <v>50</v>
      </c>
      <c r="G875" t="s">
        <v>51</v>
      </c>
      <c r="H875">
        <v>46.5</v>
      </c>
      <c r="I875" t="s">
        <v>52</v>
      </c>
      <c r="J875" t="s">
        <v>126</v>
      </c>
      <c r="K875" t="s">
        <v>54</v>
      </c>
      <c r="L875" t="s">
        <v>55</v>
      </c>
      <c r="O875" t="s">
        <v>56</v>
      </c>
      <c r="P875" t="s">
        <v>57</v>
      </c>
      <c r="Q875">
        <v>30226.639999999999</v>
      </c>
      <c r="R875">
        <v>-46.5</v>
      </c>
      <c r="S875" t="s">
        <v>2895</v>
      </c>
      <c r="T875" t="s">
        <v>2896</v>
      </c>
      <c r="U875" t="s">
        <v>2897</v>
      </c>
    </row>
    <row r="876" spans="1:21">
      <c r="A876" t="s">
        <v>1861</v>
      </c>
      <c r="B876" s="7">
        <v>46202</v>
      </c>
      <c r="C876" s="8">
        <v>0.34877314814814814</v>
      </c>
      <c r="D876" t="s">
        <v>17</v>
      </c>
      <c r="E876" t="s">
        <v>2</v>
      </c>
      <c r="F876" t="s">
        <v>50</v>
      </c>
      <c r="G876" t="s">
        <v>100</v>
      </c>
      <c r="H876">
        <v>18.059999999999999</v>
      </c>
      <c r="I876" t="s">
        <v>52</v>
      </c>
      <c r="J876" t="s">
        <v>114</v>
      </c>
      <c r="K876" t="s">
        <v>54</v>
      </c>
      <c r="L876" t="s">
        <v>102</v>
      </c>
      <c r="O876" t="s">
        <v>103</v>
      </c>
      <c r="P876" t="s">
        <v>104</v>
      </c>
      <c r="Q876">
        <v>30100.59</v>
      </c>
      <c r="R876">
        <v>-18.059999999999999</v>
      </c>
      <c r="S876" t="s">
        <v>2895</v>
      </c>
      <c r="T876" t="s">
        <v>2896</v>
      </c>
      <c r="U876" t="s">
        <v>2897</v>
      </c>
    </row>
    <row r="877" spans="1:21">
      <c r="A877" t="s">
        <v>1863</v>
      </c>
      <c r="B877" s="7">
        <v>46202</v>
      </c>
      <c r="C877" s="8">
        <v>0.68284722222222227</v>
      </c>
      <c r="D877" t="s">
        <v>17</v>
      </c>
      <c r="E877" t="s">
        <v>2</v>
      </c>
      <c r="F877" t="s">
        <v>50</v>
      </c>
      <c r="G877" t="s">
        <v>51</v>
      </c>
      <c r="H877">
        <v>130.07</v>
      </c>
      <c r="I877" t="s">
        <v>52</v>
      </c>
      <c r="J877" t="s">
        <v>196</v>
      </c>
      <c r="K877" t="s">
        <v>54</v>
      </c>
      <c r="L877" t="s">
        <v>55</v>
      </c>
      <c r="O877" t="s">
        <v>197</v>
      </c>
      <c r="P877" t="s">
        <v>198</v>
      </c>
      <c r="Q877">
        <v>29970.52</v>
      </c>
      <c r="R877">
        <v>-130.07</v>
      </c>
      <c r="S877" t="s">
        <v>2895</v>
      </c>
      <c r="T877" t="s">
        <v>2896</v>
      </c>
      <c r="U877" t="s">
        <v>2897</v>
      </c>
    </row>
    <row r="878" spans="1:21">
      <c r="A878" t="s">
        <v>1865</v>
      </c>
      <c r="B878" s="7">
        <v>46202</v>
      </c>
      <c r="C878" s="8">
        <v>0.6840046296296296</v>
      </c>
      <c r="D878" t="s">
        <v>17</v>
      </c>
      <c r="E878" t="s">
        <v>2</v>
      </c>
      <c r="F878" t="s">
        <v>50</v>
      </c>
      <c r="G878" t="s">
        <v>51</v>
      </c>
      <c r="H878">
        <v>182.68</v>
      </c>
      <c r="I878" t="s">
        <v>52</v>
      </c>
      <c r="J878" t="s">
        <v>196</v>
      </c>
      <c r="K878" t="s">
        <v>54</v>
      </c>
      <c r="L878" t="s">
        <v>55</v>
      </c>
      <c r="O878" t="s">
        <v>197</v>
      </c>
      <c r="P878" t="s">
        <v>198</v>
      </c>
      <c r="Q878">
        <v>29574.12</v>
      </c>
      <c r="R878">
        <v>-182.68</v>
      </c>
      <c r="S878" t="s">
        <v>2895</v>
      </c>
      <c r="T878" t="s">
        <v>2896</v>
      </c>
      <c r="U878" t="s">
        <v>2897</v>
      </c>
    </row>
    <row r="879" spans="1:21">
      <c r="A879" t="s">
        <v>1867</v>
      </c>
      <c r="B879" s="7">
        <v>46202</v>
      </c>
      <c r="C879" s="8">
        <v>0.72795138888888888</v>
      </c>
      <c r="D879" t="s">
        <v>17</v>
      </c>
      <c r="E879" t="s">
        <v>2</v>
      </c>
      <c r="F879" t="s">
        <v>50</v>
      </c>
      <c r="G879" t="s">
        <v>51</v>
      </c>
      <c r="H879">
        <v>32.57</v>
      </c>
      <c r="I879" t="s">
        <v>52</v>
      </c>
      <c r="J879" t="s">
        <v>65</v>
      </c>
      <c r="K879" t="s">
        <v>54</v>
      </c>
      <c r="L879" t="s">
        <v>55</v>
      </c>
      <c r="O879" t="s">
        <v>66</v>
      </c>
      <c r="P879" t="s">
        <v>67</v>
      </c>
      <c r="Q879">
        <v>29756.799999999999</v>
      </c>
      <c r="R879">
        <v>-32.57</v>
      </c>
      <c r="S879" t="s">
        <v>2895</v>
      </c>
      <c r="T879" t="s">
        <v>2896</v>
      </c>
      <c r="U879" t="s">
        <v>2897</v>
      </c>
    </row>
    <row r="880" spans="1:21">
      <c r="A880" t="s">
        <v>1869</v>
      </c>
      <c r="B880" s="7">
        <v>46202</v>
      </c>
      <c r="C880" s="8">
        <v>0.92391203703703706</v>
      </c>
      <c r="D880" t="s">
        <v>17</v>
      </c>
      <c r="E880" t="s">
        <v>2</v>
      </c>
      <c r="F880" t="s">
        <v>50</v>
      </c>
      <c r="G880" t="s">
        <v>100</v>
      </c>
      <c r="H880">
        <v>11.02</v>
      </c>
      <c r="I880" t="s">
        <v>52</v>
      </c>
      <c r="J880" t="s">
        <v>114</v>
      </c>
      <c r="K880" t="s">
        <v>54</v>
      </c>
      <c r="L880" t="s">
        <v>102</v>
      </c>
      <c r="O880" t="s">
        <v>103</v>
      </c>
      <c r="P880" t="s">
        <v>104</v>
      </c>
      <c r="Q880">
        <v>30118.65</v>
      </c>
      <c r="R880">
        <v>-11.02</v>
      </c>
      <c r="S880" t="s">
        <v>2895</v>
      </c>
      <c r="T880" t="s">
        <v>2896</v>
      </c>
      <c r="U880" t="s">
        <v>2897</v>
      </c>
    </row>
    <row r="881" spans="1:21">
      <c r="A881" t="s">
        <v>1871</v>
      </c>
      <c r="B881" s="7">
        <v>46202</v>
      </c>
      <c r="C881" s="8">
        <v>0.93790509259259258</v>
      </c>
      <c r="D881" t="s">
        <v>17</v>
      </c>
      <c r="E881" t="s">
        <v>2</v>
      </c>
      <c r="F881" t="s">
        <v>50</v>
      </c>
      <c r="G881" t="s">
        <v>51</v>
      </c>
      <c r="H881">
        <v>181.15</v>
      </c>
      <c r="I881" t="s">
        <v>52</v>
      </c>
      <c r="J881" t="s">
        <v>196</v>
      </c>
      <c r="K881" t="s">
        <v>54</v>
      </c>
      <c r="L881" t="s">
        <v>55</v>
      </c>
      <c r="O881" t="s">
        <v>197</v>
      </c>
      <c r="P881" t="s">
        <v>198</v>
      </c>
      <c r="Q881">
        <v>29789.37</v>
      </c>
      <c r="R881">
        <v>-181.15</v>
      </c>
      <c r="S881" t="s">
        <v>2895</v>
      </c>
      <c r="T881" t="s">
        <v>2896</v>
      </c>
      <c r="U881" t="s">
        <v>2897</v>
      </c>
    </row>
    <row r="882" spans="1:21">
      <c r="A882" t="s">
        <v>1873</v>
      </c>
      <c r="B882" s="7">
        <v>46203</v>
      </c>
      <c r="C882" s="8">
        <v>0.29065972222222225</v>
      </c>
      <c r="D882" t="s">
        <v>17</v>
      </c>
      <c r="E882" t="s">
        <v>2</v>
      </c>
      <c r="F882" t="s">
        <v>50</v>
      </c>
      <c r="G882" t="s">
        <v>100</v>
      </c>
      <c r="H882">
        <v>20.86</v>
      </c>
      <c r="I882" t="s">
        <v>52</v>
      </c>
      <c r="J882" t="s">
        <v>114</v>
      </c>
      <c r="K882" t="s">
        <v>54</v>
      </c>
      <c r="L882" t="s">
        <v>102</v>
      </c>
      <c r="O882" t="s">
        <v>103</v>
      </c>
      <c r="P882" t="s">
        <v>104</v>
      </c>
      <c r="Q882">
        <v>29553.26</v>
      </c>
      <c r="R882">
        <v>-20.86</v>
      </c>
      <c r="S882" t="s">
        <v>2895</v>
      </c>
      <c r="T882" t="s">
        <v>2896</v>
      </c>
      <c r="U882" t="s">
        <v>2897</v>
      </c>
    </row>
    <row r="883" spans="1:21">
      <c r="A883" t="s">
        <v>1875</v>
      </c>
      <c r="B883" s="7">
        <v>46203</v>
      </c>
      <c r="C883" s="8">
        <v>0.34284722222222225</v>
      </c>
      <c r="D883" t="s">
        <v>17</v>
      </c>
      <c r="E883" t="s">
        <v>2</v>
      </c>
      <c r="F883" t="s">
        <v>50</v>
      </c>
      <c r="G883" t="s">
        <v>100</v>
      </c>
      <c r="H883">
        <v>10.11</v>
      </c>
      <c r="I883" t="s">
        <v>52</v>
      </c>
      <c r="J883" t="s">
        <v>114</v>
      </c>
      <c r="K883" t="s">
        <v>54</v>
      </c>
      <c r="L883" t="s">
        <v>102</v>
      </c>
      <c r="O883" t="s">
        <v>103</v>
      </c>
      <c r="P883" t="s">
        <v>104</v>
      </c>
      <c r="Q883">
        <v>29383.35</v>
      </c>
      <c r="R883">
        <v>-10.11</v>
      </c>
      <c r="S883" t="s">
        <v>2895</v>
      </c>
      <c r="T883" t="s">
        <v>2896</v>
      </c>
      <c r="U883" t="s">
        <v>2897</v>
      </c>
    </row>
    <row r="884" spans="1:21">
      <c r="A884" t="s">
        <v>1877</v>
      </c>
      <c r="B884" s="7">
        <v>46203</v>
      </c>
      <c r="C884" s="8">
        <v>0.49275462962962963</v>
      </c>
      <c r="D884" t="s">
        <v>17</v>
      </c>
      <c r="E884" t="s">
        <v>2</v>
      </c>
      <c r="F884" t="s">
        <v>50</v>
      </c>
      <c r="G884" t="s">
        <v>51</v>
      </c>
      <c r="H884">
        <v>69.41</v>
      </c>
      <c r="I884" t="s">
        <v>52</v>
      </c>
      <c r="J884" t="s">
        <v>60</v>
      </c>
      <c r="K884" t="s">
        <v>54</v>
      </c>
      <c r="L884" t="s">
        <v>55</v>
      </c>
      <c r="O884" t="s">
        <v>61</v>
      </c>
      <c r="P884" t="s">
        <v>62</v>
      </c>
      <c r="Q884">
        <v>29393.46</v>
      </c>
      <c r="R884">
        <v>-69.41</v>
      </c>
      <c r="S884" t="s">
        <v>2895</v>
      </c>
      <c r="T884" t="s">
        <v>2896</v>
      </c>
      <c r="U884" t="s">
        <v>2897</v>
      </c>
    </row>
    <row r="885" spans="1:21">
      <c r="A885" t="s">
        <v>1879</v>
      </c>
      <c r="B885" s="7">
        <v>46203</v>
      </c>
      <c r="C885" s="8">
        <v>0.5142592592592593</v>
      </c>
      <c r="D885" t="s">
        <v>17</v>
      </c>
      <c r="E885" t="s">
        <v>2</v>
      </c>
      <c r="F885" t="s">
        <v>50</v>
      </c>
      <c r="G885" t="s">
        <v>51</v>
      </c>
      <c r="H885">
        <v>55.65</v>
      </c>
      <c r="I885" t="s">
        <v>52</v>
      </c>
      <c r="J885" t="s">
        <v>65</v>
      </c>
      <c r="K885" t="s">
        <v>54</v>
      </c>
      <c r="L885" t="s">
        <v>55</v>
      </c>
      <c r="O885" t="s">
        <v>66</v>
      </c>
      <c r="P885" t="s">
        <v>67</v>
      </c>
      <c r="Q885">
        <v>29462.87</v>
      </c>
      <c r="R885">
        <v>-55.65</v>
      </c>
      <c r="S885" t="s">
        <v>2895</v>
      </c>
      <c r="T885" t="s">
        <v>2896</v>
      </c>
      <c r="U885" t="s">
        <v>2897</v>
      </c>
    </row>
    <row r="886" spans="1:21">
      <c r="A886" t="s">
        <v>1881</v>
      </c>
      <c r="B886" s="7">
        <v>46203</v>
      </c>
      <c r="C886" s="8">
        <v>0.82074074074074077</v>
      </c>
      <c r="D886" t="s">
        <v>17</v>
      </c>
      <c r="E886" t="s">
        <v>2</v>
      </c>
      <c r="F886" t="s">
        <v>50</v>
      </c>
      <c r="G886" t="s">
        <v>51</v>
      </c>
      <c r="H886">
        <v>107.72</v>
      </c>
      <c r="I886" t="s">
        <v>52</v>
      </c>
      <c r="J886" t="s">
        <v>196</v>
      </c>
      <c r="K886" t="s">
        <v>54</v>
      </c>
      <c r="L886" t="s">
        <v>55</v>
      </c>
      <c r="O886" t="s">
        <v>197</v>
      </c>
      <c r="P886" t="s">
        <v>198</v>
      </c>
      <c r="Q886">
        <v>29109.67</v>
      </c>
      <c r="R886">
        <v>-107.72</v>
      </c>
      <c r="S886" t="s">
        <v>2895</v>
      </c>
      <c r="T886" t="s">
        <v>2896</v>
      </c>
      <c r="U886" t="s">
        <v>2897</v>
      </c>
    </row>
    <row r="887" spans="1:21">
      <c r="A887" t="s">
        <v>1883</v>
      </c>
      <c r="B887" s="7">
        <v>46203</v>
      </c>
      <c r="C887" s="8">
        <v>0.82854166666666662</v>
      </c>
      <c r="D887" t="s">
        <v>17</v>
      </c>
      <c r="E887" t="s">
        <v>2</v>
      </c>
      <c r="F887" t="s">
        <v>50</v>
      </c>
      <c r="G887" t="s">
        <v>51</v>
      </c>
      <c r="H887">
        <v>165.96</v>
      </c>
      <c r="I887" t="s">
        <v>52</v>
      </c>
      <c r="J887" t="s">
        <v>196</v>
      </c>
      <c r="K887" t="s">
        <v>54</v>
      </c>
      <c r="L887" t="s">
        <v>55</v>
      </c>
      <c r="O887" t="s">
        <v>197</v>
      </c>
      <c r="P887" t="s">
        <v>198</v>
      </c>
      <c r="Q887">
        <v>29217.39</v>
      </c>
      <c r="R887">
        <v>-165.96</v>
      </c>
      <c r="S887" t="s">
        <v>2895</v>
      </c>
      <c r="T887" t="s">
        <v>2896</v>
      </c>
      <c r="U887" t="s">
        <v>2897</v>
      </c>
    </row>
    <row r="888" spans="1:21">
      <c r="A888" t="s">
        <v>1885</v>
      </c>
      <c r="B888" s="7">
        <v>46203</v>
      </c>
      <c r="C888" s="8">
        <v>0.93646990740740743</v>
      </c>
      <c r="D888" t="s">
        <v>17</v>
      </c>
      <c r="E888" t="s">
        <v>2</v>
      </c>
      <c r="F888" t="s">
        <v>50</v>
      </c>
      <c r="G888" t="s">
        <v>51</v>
      </c>
      <c r="H888">
        <v>34.74</v>
      </c>
      <c r="I888" t="s">
        <v>52</v>
      </c>
      <c r="J888" t="s">
        <v>81</v>
      </c>
      <c r="K888" t="s">
        <v>54</v>
      </c>
      <c r="L888" t="s">
        <v>55</v>
      </c>
      <c r="O888" t="s">
        <v>82</v>
      </c>
      <c r="P888" t="s">
        <v>83</v>
      </c>
      <c r="Q888">
        <v>29518.52</v>
      </c>
      <c r="R888">
        <v>-34.74</v>
      </c>
      <c r="S888" t="s">
        <v>2895</v>
      </c>
      <c r="T888" t="s">
        <v>2896</v>
      </c>
      <c r="U888" t="s">
        <v>2897</v>
      </c>
    </row>
    <row r="889" spans="1:21">
      <c r="A889" t="s">
        <v>1887</v>
      </c>
      <c r="B889" s="7">
        <v>46204</v>
      </c>
      <c r="C889" s="8">
        <v>0.26716435185185183</v>
      </c>
      <c r="D889" t="s">
        <v>17</v>
      </c>
      <c r="E889" t="s">
        <v>2</v>
      </c>
      <c r="F889" t="s">
        <v>50</v>
      </c>
      <c r="G889" t="s">
        <v>51</v>
      </c>
      <c r="H889">
        <v>11.23</v>
      </c>
      <c r="I889" t="s">
        <v>52</v>
      </c>
      <c r="J889" t="s">
        <v>121</v>
      </c>
      <c r="K889" t="s">
        <v>54</v>
      </c>
      <c r="L889" t="s">
        <v>55</v>
      </c>
      <c r="O889" t="s">
        <v>122</v>
      </c>
      <c r="P889" t="s">
        <v>123</v>
      </c>
      <c r="Q889">
        <v>28823.25</v>
      </c>
      <c r="R889">
        <v>-11.23</v>
      </c>
      <c r="S889" t="s">
        <v>2895</v>
      </c>
      <c r="T889" t="s">
        <v>2896</v>
      </c>
      <c r="U889" t="s">
        <v>2897</v>
      </c>
    </row>
    <row r="890" spans="1:21">
      <c r="A890" t="s">
        <v>1889</v>
      </c>
      <c r="B890" s="7">
        <v>46204</v>
      </c>
      <c r="C890" s="8">
        <v>0.3492939814814815</v>
      </c>
      <c r="D890" t="s">
        <v>17</v>
      </c>
      <c r="E890" t="s">
        <v>2</v>
      </c>
      <c r="F890" t="s">
        <v>50</v>
      </c>
      <c r="G890" t="s">
        <v>51</v>
      </c>
      <c r="H890">
        <v>107.01</v>
      </c>
      <c r="I890" t="s">
        <v>52</v>
      </c>
      <c r="J890" t="s">
        <v>65</v>
      </c>
      <c r="K890" t="s">
        <v>54</v>
      </c>
      <c r="L890" t="s">
        <v>55</v>
      </c>
      <c r="O890" t="s">
        <v>66</v>
      </c>
      <c r="P890" t="s">
        <v>67</v>
      </c>
      <c r="Q890">
        <v>28667.5</v>
      </c>
      <c r="R890">
        <v>-107.01</v>
      </c>
      <c r="S890" t="s">
        <v>2895</v>
      </c>
      <c r="T890" t="s">
        <v>2896</v>
      </c>
      <c r="U890" t="s">
        <v>2897</v>
      </c>
    </row>
    <row r="891" spans="1:21">
      <c r="A891" t="s">
        <v>1891</v>
      </c>
      <c r="B891" s="7">
        <v>46204</v>
      </c>
      <c r="C891" s="8">
        <v>0.36721064814814813</v>
      </c>
      <c r="D891" t="s">
        <v>17</v>
      </c>
      <c r="E891" t="s">
        <v>2</v>
      </c>
      <c r="F891" t="s">
        <v>50</v>
      </c>
      <c r="G891" t="s">
        <v>51</v>
      </c>
      <c r="H891">
        <v>48.74</v>
      </c>
      <c r="I891" t="s">
        <v>52</v>
      </c>
      <c r="J891" t="s">
        <v>60</v>
      </c>
      <c r="K891" t="s">
        <v>54</v>
      </c>
      <c r="L891" t="s">
        <v>55</v>
      </c>
      <c r="O891" t="s">
        <v>61</v>
      </c>
      <c r="P891" t="s">
        <v>62</v>
      </c>
      <c r="Q891">
        <v>28774.51</v>
      </c>
      <c r="R891">
        <v>-48.74</v>
      </c>
      <c r="S891" t="s">
        <v>2895</v>
      </c>
      <c r="T891" t="s">
        <v>2896</v>
      </c>
      <c r="U891" t="s">
        <v>2897</v>
      </c>
    </row>
    <row r="892" spans="1:21">
      <c r="A892" t="s">
        <v>1893</v>
      </c>
      <c r="B892" s="7">
        <v>46204</v>
      </c>
      <c r="C892" s="8">
        <v>0.60768518518518522</v>
      </c>
      <c r="D892" t="s">
        <v>17</v>
      </c>
      <c r="E892" t="s">
        <v>2</v>
      </c>
      <c r="F892" t="s">
        <v>50</v>
      </c>
      <c r="G892" t="s">
        <v>51</v>
      </c>
      <c r="H892">
        <v>24.71</v>
      </c>
      <c r="I892" t="s">
        <v>52</v>
      </c>
      <c r="J892" t="s">
        <v>60</v>
      </c>
      <c r="K892" t="s">
        <v>54</v>
      </c>
      <c r="L892" t="s">
        <v>55</v>
      </c>
      <c r="O892" t="s">
        <v>61</v>
      </c>
      <c r="P892" t="s">
        <v>62</v>
      </c>
      <c r="Q892">
        <v>29008.639999999999</v>
      </c>
      <c r="R892">
        <v>-24.71</v>
      </c>
      <c r="S892" t="s">
        <v>2895</v>
      </c>
      <c r="T892" t="s">
        <v>2896</v>
      </c>
      <c r="U892" t="s">
        <v>2897</v>
      </c>
    </row>
    <row r="893" spans="1:21">
      <c r="A893" t="s">
        <v>1895</v>
      </c>
      <c r="B893" s="7">
        <v>46204</v>
      </c>
      <c r="C893" s="8">
        <v>0.66811342592592593</v>
      </c>
      <c r="D893" t="s">
        <v>17</v>
      </c>
      <c r="E893" t="s">
        <v>2</v>
      </c>
      <c r="F893" t="s">
        <v>50</v>
      </c>
      <c r="G893" t="s">
        <v>51</v>
      </c>
      <c r="H893">
        <v>76.319999999999993</v>
      </c>
      <c r="I893" t="s">
        <v>52</v>
      </c>
      <c r="J893" t="s">
        <v>65</v>
      </c>
      <c r="K893" t="s">
        <v>54</v>
      </c>
      <c r="L893" t="s">
        <v>55</v>
      </c>
      <c r="O893" t="s">
        <v>66</v>
      </c>
      <c r="P893" t="s">
        <v>67</v>
      </c>
      <c r="Q893">
        <v>29033.35</v>
      </c>
      <c r="R893">
        <v>-76.319999999999993</v>
      </c>
      <c r="S893" t="s">
        <v>2895</v>
      </c>
      <c r="T893" t="s">
        <v>2896</v>
      </c>
      <c r="U893" t="s">
        <v>2897</v>
      </c>
    </row>
    <row r="894" spans="1:21">
      <c r="A894" t="s">
        <v>1897</v>
      </c>
      <c r="B894" s="7">
        <v>46204</v>
      </c>
      <c r="C894" s="8">
        <v>0.80865740740740744</v>
      </c>
      <c r="D894" t="s">
        <v>17</v>
      </c>
      <c r="E894" t="s">
        <v>2</v>
      </c>
      <c r="F894" t="s">
        <v>50</v>
      </c>
      <c r="G894" t="s">
        <v>51</v>
      </c>
      <c r="H894">
        <v>174.16</v>
      </c>
      <c r="I894" t="s">
        <v>52</v>
      </c>
      <c r="J894" t="s">
        <v>196</v>
      </c>
      <c r="K894" t="s">
        <v>54</v>
      </c>
      <c r="L894" t="s">
        <v>55</v>
      </c>
      <c r="O894" t="s">
        <v>197</v>
      </c>
      <c r="P894" t="s">
        <v>198</v>
      </c>
      <c r="Q894">
        <v>28834.48</v>
      </c>
      <c r="R894">
        <v>-174.16</v>
      </c>
      <c r="S894" t="s">
        <v>2895</v>
      </c>
      <c r="T894" t="s">
        <v>2896</v>
      </c>
      <c r="U894" t="s">
        <v>2897</v>
      </c>
    </row>
    <row r="895" spans="1:21">
      <c r="A895" t="s">
        <v>1899</v>
      </c>
      <c r="B895" s="7">
        <v>46205</v>
      </c>
      <c r="C895" s="8">
        <v>0.29208333333333331</v>
      </c>
      <c r="D895" t="s">
        <v>17</v>
      </c>
      <c r="E895" t="s">
        <v>2</v>
      </c>
      <c r="F895" t="s">
        <v>50</v>
      </c>
      <c r="G895" t="s">
        <v>100</v>
      </c>
      <c r="H895">
        <v>12.12</v>
      </c>
      <c r="I895" t="s">
        <v>52</v>
      </c>
      <c r="J895" t="s">
        <v>114</v>
      </c>
      <c r="K895" t="s">
        <v>54</v>
      </c>
      <c r="L895" t="s">
        <v>102</v>
      </c>
      <c r="O895" t="s">
        <v>103</v>
      </c>
      <c r="P895" t="s">
        <v>104</v>
      </c>
      <c r="Q895">
        <v>28509.48</v>
      </c>
      <c r="R895">
        <v>-12.12</v>
      </c>
      <c r="S895" t="s">
        <v>2895</v>
      </c>
      <c r="T895" t="s">
        <v>2896</v>
      </c>
      <c r="U895" t="s">
        <v>2897</v>
      </c>
    </row>
    <row r="896" spans="1:21">
      <c r="A896" t="s">
        <v>1901</v>
      </c>
      <c r="B896" s="7">
        <v>46205</v>
      </c>
      <c r="C896" s="8">
        <v>0.34667824074074072</v>
      </c>
      <c r="D896" t="s">
        <v>17</v>
      </c>
      <c r="E896" t="s">
        <v>2</v>
      </c>
      <c r="F896" t="s">
        <v>50</v>
      </c>
      <c r="G896" t="s">
        <v>51</v>
      </c>
      <c r="H896">
        <v>13.21</v>
      </c>
      <c r="I896" t="s">
        <v>52</v>
      </c>
      <c r="J896" t="s">
        <v>121</v>
      </c>
      <c r="K896" t="s">
        <v>54</v>
      </c>
      <c r="L896" t="s">
        <v>55</v>
      </c>
      <c r="O896" t="s">
        <v>122</v>
      </c>
      <c r="P896" t="s">
        <v>123</v>
      </c>
      <c r="Q896">
        <v>28496.27</v>
      </c>
      <c r="R896">
        <v>-13.21</v>
      </c>
      <c r="S896" t="s">
        <v>2895</v>
      </c>
      <c r="T896" t="s">
        <v>2896</v>
      </c>
      <c r="U896" t="s">
        <v>2897</v>
      </c>
    </row>
    <row r="897" spans="1:21">
      <c r="A897" t="s">
        <v>1903</v>
      </c>
      <c r="B897" s="7">
        <v>46205</v>
      </c>
      <c r="C897" s="8">
        <v>0.4880902777777778</v>
      </c>
      <c r="D897" t="s">
        <v>17</v>
      </c>
      <c r="E897" t="s">
        <v>2</v>
      </c>
      <c r="F897" t="s">
        <v>149</v>
      </c>
      <c r="G897" t="s">
        <v>72</v>
      </c>
      <c r="H897">
        <v>51.09</v>
      </c>
      <c r="I897" t="s">
        <v>52</v>
      </c>
      <c r="J897" t="s">
        <v>606</v>
      </c>
      <c r="K897" t="s">
        <v>54</v>
      </c>
      <c r="L897" t="s">
        <v>74</v>
      </c>
      <c r="O897" t="s">
        <v>75</v>
      </c>
      <c r="P897" t="s">
        <v>76</v>
      </c>
      <c r="Q897">
        <v>28528.35</v>
      </c>
      <c r="R897">
        <v>51.09</v>
      </c>
      <c r="S897" t="s">
        <v>2895</v>
      </c>
      <c r="T897" t="s">
        <v>2896</v>
      </c>
      <c r="U897" t="s">
        <v>2897</v>
      </c>
    </row>
    <row r="898" spans="1:21">
      <c r="A898" t="s">
        <v>1905</v>
      </c>
      <c r="B898" s="7">
        <v>46205</v>
      </c>
      <c r="C898" s="8">
        <v>0.54776620370370366</v>
      </c>
      <c r="D898" t="s">
        <v>17</v>
      </c>
      <c r="E898" t="s">
        <v>2</v>
      </c>
      <c r="F898" t="s">
        <v>50</v>
      </c>
      <c r="G898" t="s">
        <v>51</v>
      </c>
      <c r="H898">
        <v>78.2</v>
      </c>
      <c r="I898" t="s">
        <v>52</v>
      </c>
      <c r="J898" t="s">
        <v>65</v>
      </c>
      <c r="K898" t="s">
        <v>54</v>
      </c>
      <c r="L898" t="s">
        <v>55</v>
      </c>
      <c r="O898" t="s">
        <v>66</v>
      </c>
      <c r="P898" t="s">
        <v>67</v>
      </c>
      <c r="Q898">
        <v>28553.22</v>
      </c>
      <c r="R898">
        <v>-78.2</v>
      </c>
      <c r="S898" t="s">
        <v>2895</v>
      </c>
      <c r="T898" t="s">
        <v>2896</v>
      </c>
      <c r="U898" t="s">
        <v>2897</v>
      </c>
    </row>
    <row r="899" spans="1:21">
      <c r="A899" t="s">
        <v>1907</v>
      </c>
      <c r="B899" s="7">
        <v>46205</v>
      </c>
      <c r="C899" s="8">
        <v>0.63589120370370367</v>
      </c>
      <c r="D899" t="s">
        <v>17</v>
      </c>
      <c r="E899" t="s">
        <v>2</v>
      </c>
      <c r="F899" t="s">
        <v>50</v>
      </c>
      <c r="G899" t="s">
        <v>100</v>
      </c>
      <c r="H899">
        <v>1850</v>
      </c>
      <c r="I899" t="s">
        <v>52</v>
      </c>
      <c r="J899" t="s">
        <v>107</v>
      </c>
      <c r="K899" t="s">
        <v>54</v>
      </c>
      <c r="L899" t="s">
        <v>102</v>
      </c>
      <c r="O899" t="s">
        <v>108</v>
      </c>
      <c r="P899" t="s">
        <v>109</v>
      </c>
      <c r="Q899">
        <v>40562.300000000003</v>
      </c>
      <c r="R899">
        <v>-1850</v>
      </c>
      <c r="S899" t="s">
        <v>2895</v>
      </c>
      <c r="T899" t="s">
        <v>2896</v>
      </c>
      <c r="U899" t="s">
        <v>2897</v>
      </c>
    </row>
    <row r="900" spans="1:21">
      <c r="A900" t="s">
        <v>1909</v>
      </c>
      <c r="B900" s="7">
        <v>46205</v>
      </c>
      <c r="C900" s="8">
        <v>0.65288194444444447</v>
      </c>
      <c r="D900" t="s">
        <v>17</v>
      </c>
      <c r="E900" t="s">
        <v>2</v>
      </c>
      <c r="F900" t="s">
        <v>50</v>
      </c>
      <c r="G900" t="s">
        <v>51</v>
      </c>
      <c r="H900">
        <v>18.14</v>
      </c>
      <c r="I900" t="s">
        <v>52</v>
      </c>
      <c r="J900" t="s">
        <v>121</v>
      </c>
      <c r="K900" t="s">
        <v>54</v>
      </c>
      <c r="L900" t="s">
        <v>55</v>
      </c>
      <c r="O900" t="s">
        <v>122</v>
      </c>
      <c r="P900" t="s">
        <v>123</v>
      </c>
      <c r="Q900">
        <v>28535.08</v>
      </c>
      <c r="R900">
        <v>-18.14</v>
      </c>
      <c r="S900" t="s">
        <v>2895</v>
      </c>
      <c r="T900" t="s">
        <v>2896</v>
      </c>
      <c r="U900" t="s">
        <v>2897</v>
      </c>
    </row>
    <row r="901" spans="1:21">
      <c r="A901" t="s">
        <v>1911</v>
      </c>
      <c r="B901" s="7">
        <v>46205</v>
      </c>
      <c r="C901" s="8">
        <v>0.70873842592592595</v>
      </c>
      <c r="D901" t="s">
        <v>17</v>
      </c>
      <c r="E901" t="s">
        <v>2</v>
      </c>
      <c r="F901" t="s">
        <v>50</v>
      </c>
      <c r="G901" t="s">
        <v>51</v>
      </c>
      <c r="H901">
        <v>13.48</v>
      </c>
      <c r="I901" t="s">
        <v>52</v>
      </c>
      <c r="J901" t="s">
        <v>53</v>
      </c>
      <c r="K901" t="s">
        <v>54</v>
      </c>
      <c r="L901" t="s">
        <v>55</v>
      </c>
      <c r="O901" t="s">
        <v>56</v>
      </c>
      <c r="P901" t="s">
        <v>57</v>
      </c>
      <c r="Q901">
        <v>28521.599999999999</v>
      </c>
      <c r="R901">
        <v>-13.48</v>
      </c>
      <c r="S901" t="s">
        <v>2895</v>
      </c>
      <c r="T901" t="s">
        <v>2896</v>
      </c>
      <c r="U901" t="s">
        <v>2897</v>
      </c>
    </row>
    <row r="902" spans="1:21">
      <c r="A902" t="s">
        <v>1913</v>
      </c>
      <c r="B902" s="7">
        <v>46205</v>
      </c>
      <c r="C902" s="8">
        <v>0.85028935185185184</v>
      </c>
      <c r="D902" t="s">
        <v>17</v>
      </c>
      <c r="E902" t="s">
        <v>2</v>
      </c>
      <c r="F902" t="s">
        <v>50</v>
      </c>
      <c r="G902" t="s">
        <v>51</v>
      </c>
      <c r="H902">
        <v>36.08</v>
      </c>
      <c r="I902" t="s">
        <v>52</v>
      </c>
      <c r="J902" t="s">
        <v>60</v>
      </c>
      <c r="K902" t="s">
        <v>54</v>
      </c>
      <c r="L902" t="s">
        <v>55</v>
      </c>
      <c r="O902" t="s">
        <v>61</v>
      </c>
      <c r="P902" t="s">
        <v>62</v>
      </c>
      <c r="Q902">
        <v>28631.42</v>
      </c>
      <c r="R902">
        <v>-36.08</v>
      </c>
      <c r="S902" t="s">
        <v>2895</v>
      </c>
      <c r="T902" t="s">
        <v>2896</v>
      </c>
      <c r="U902" t="s">
        <v>2897</v>
      </c>
    </row>
    <row r="903" spans="1:21">
      <c r="A903" t="s">
        <v>1915</v>
      </c>
      <c r="B903" s="7">
        <v>46205</v>
      </c>
      <c r="C903" s="8">
        <v>0.92303240740740744</v>
      </c>
      <c r="D903" t="s">
        <v>17</v>
      </c>
      <c r="E903" t="s">
        <v>2</v>
      </c>
      <c r="F903" t="s">
        <v>50</v>
      </c>
      <c r="G903" t="s">
        <v>51</v>
      </c>
      <c r="H903">
        <v>19.010000000000002</v>
      </c>
      <c r="I903" t="s">
        <v>52</v>
      </c>
      <c r="J903" t="s">
        <v>81</v>
      </c>
      <c r="K903" t="s">
        <v>54</v>
      </c>
      <c r="L903" t="s">
        <v>55</v>
      </c>
      <c r="O903" t="s">
        <v>82</v>
      </c>
      <c r="P903" t="s">
        <v>83</v>
      </c>
      <c r="Q903">
        <v>28477.26</v>
      </c>
      <c r="R903">
        <v>-19.010000000000002</v>
      </c>
      <c r="S903" t="s">
        <v>2895</v>
      </c>
      <c r="T903" t="s">
        <v>2896</v>
      </c>
      <c r="U903" t="s">
        <v>2897</v>
      </c>
    </row>
    <row r="904" spans="1:21">
      <c r="A904" t="s">
        <v>1917</v>
      </c>
      <c r="B904" s="7">
        <v>46206</v>
      </c>
      <c r="C904" s="8">
        <v>0.34631944444444446</v>
      </c>
      <c r="D904" t="s">
        <v>17</v>
      </c>
      <c r="E904" t="s">
        <v>2</v>
      </c>
      <c r="F904" t="s">
        <v>50</v>
      </c>
      <c r="G904" t="s">
        <v>100</v>
      </c>
      <c r="H904">
        <v>16.920000000000002</v>
      </c>
      <c r="I904" t="s">
        <v>52</v>
      </c>
      <c r="J904" t="s">
        <v>114</v>
      </c>
      <c r="K904" t="s">
        <v>54</v>
      </c>
      <c r="L904" t="s">
        <v>102</v>
      </c>
      <c r="O904" t="s">
        <v>103</v>
      </c>
      <c r="P904" t="s">
        <v>104</v>
      </c>
      <c r="Q904">
        <v>28511.43</v>
      </c>
      <c r="R904">
        <v>-16.920000000000002</v>
      </c>
      <c r="S904" t="s">
        <v>2895</v>
      </c>
      <c r="T904" t="s">
        <v>2896</v>
      </c>
      <c r="U904" t="s">
        <v>2897</v>
      </c>
    </row>
    <row r="905" spans="1:21">
      <c r="A905" t="s">
        <v>1919</v>
      </c>
      <c r="B905" s="7">
        <v>46206</v>
      </c>
      <c r="C905" s="8">
        <v>0.37305555555555553</v>
      </c>
      <c r="D905" t="s">
        <v>17</v>
      </c>
      <c r="E905" t="s">
        <v>2</v>
      </c>
      <c r="F905" t="s">
        <v>50</v>
      </c>
      <c r="G905" t="s">
        <v>51</v>
      </c>
      <c r="H905">
        <v>29.81</v>
      </c>
      <c r="I905" t="s">
        <v>52</v>
      </c>
      <c r="J905" t="s">
        <v>196</v>
      </c>
      <c r="K905" t="s">
        <v>54</v>
      </c>
      <c r="L905" t="s">
        <v>55</v>
      </c>
      <c r="O905" t="s">
        <v>197</v>
      </c>
      <c r="P905" t="s">
        <v>198</v>
      </c>
      <c r="Q905">
        <v>28432.09</v>
      </c>
      <c r="R905">
        <v>-29.81</v>
      </c>
      <c r="S905" t="s">
        <v>2895</v>
      </c>
      <c r="T905" t="s">
        <v>2896</v>
      </c>
      <c r="U905" t="s">
        <v>2897</v>
      </c>
    </row>
    <row r="906" spans="1:21">
      <c r="A906" t="s">
        <v>1921</v>
      </c>
      <c r="B906" s="7">
        <v>46206</v>
      </c>
      <c r="C906" s="8">
        <v>0.53237268518518521</v>
      </c>
      <c r="D906" t="s">
        <v>17</v>
      </c>
      <c r="E906" t="s">
        <v>2</v>
      </c>
      <c r="F906" t="s">
        <v>50</v>
      </c>
      <c r="G906" t="s">
        <v>51</v>
      </c>
      <c r="H906">
        <v>34.53</v>
      </c>
      <c r="I906" t="s">
        <v>52</v>
      </c>
      <c r="J906" t="s">
        <v>60</v>
      </c>
      <c r="K906" t="s">
        <v>54</v>
      </c>
      <c r="L906" t="s">
        <v>55</v>
      </c>
      <c r="O906" t="s">
        <v>61</v>
      </c>
      <c r="P906" t="s">
        <v>62</v>
      </c>
      <c r="Q906">
        <v>28476.9</v>
      </c>
      <c r="R906">
        <v>-34.53</v>
      </c>
      <c r="S906" t="s">
        <v>2895</v>
      </c>
      <c r="T906" t="s">
        <v>2896</v>
      </c>
      <c r="U906" t="s">
        <v>2897</v>
      </c>
    </row>
    <row r="907" spans="1:21">
      <c r="A907" t="s">
        <v>1923</v>
      </c>
      <c r="B907" s="7">
        <v>46206</v>
      </c>
      <c r="C907" s="8">
        <v>0.57346064814814812</v>
      </c>
      <c r="D907" t="s">
        <v>17</v>
      </c>
      <c r="E907" t="s">
        <v>2</v>
      </c>
      <c r="F907" t="s">
        <v>50</v>
      </c>
      <c r="G907" t="s">
        <v>88</v>
      </c>
      <c r="H907">
        <v>60</v>
      </c>
      <c r="I907" t="s">
        <v>52</v>
      </c>
      <c r="J907" t="s">
        <v>89</v>
      </c>
      <c r="K907" t="s">
        <v>54</v>
      </c>
      <c r="L907" t="s">
        <v>90</v>
      </c>
      <c r="M907" t="s">
        <v>91</v>
      </c>
      <c r="N907" t="s">
        <v>12</v>
      </c>
      <c r="O907" t="s">
        <v>92</v>
      </c>
      <c r="P907" t="s">
        <v>93</v>
      </c>
      <c r="Q907">
        <v>28228.13</v>
      </c>
      <c r="R907">
        <v>-60</v>
      </c>
      <c r="S907" t="s">
        <v>2895</v>
      </c>
      <c r="T907" t="s">
        <v>2896</v>
      </c>
      <c r="U907" t="s">
        <v>2897</v>
      </c>
    </row>
    <row r="908" spans="1:21">
      <c r="A908" t="s">
        <v>1925</v>
      </c>
      <c r="B908" s="7">
        <v>46206</v>
      </c>
      <c r="C908" s="8">
        <v>0.6855324074074074</v>
      </c>
      <c r="D908" t="s">
        <v>17</v>
      </c>
      <c r="E908" t="s">
        <v>2</v>
      </c>
      <c r="F908" t="s">
        <v>50</v>
      </c>
      <c r="G908" t="s">
        <v>72</v>
      </c>
      <c r="H908">
        <v>110.7</v>
      </c>
      <c r="I908" t="s">
        <v>52</v>
      </c>
      <c r="J908" t="s">
        <v>606</v>
      </c>
      <c r="K908" t="s">
        <v>54</v>
      </c>
      <c r="L908" t="s">
        <v>74</v>
      </c>
      <c r="O908" t="s">
        <v>75</v>
      </c>
      <c r="P908" t="s">
        <v>76</v>
      </c>
      <c r="Q908">
        <v>28288.13</v>
      </c>
      <c r="R908">
        <v>-110.7</v>
      </c>
      <c r="S908" t="s">
        <v>2895</v>
      </c>
      <c r="T908" t="s">
        <v>2896</v>
      </c>
      <c r="U908" t="s">
        <v>2897</v>
      </c>
    </row>
    <row r="909" spans="1:21">
      <c r="A909" t="s">
        <v>1927</v>
      </c>
      <c r="B909" s="7">
        <v>46206</v>
      </c>
      <c r="C909" s="8">
        <v>0.69423611111111116</v>
      </c>
      <c r="D909" t="s">
        <v>17</v>
      </c>
      <c r="E909" t="s">
        <v>2</v>
      </c>
      <c r="F909" t="s">
        <v>50</v>
      </c>
      <c r="G909" t="s">
        <v>51</v>
      </c>
      <c r="H909">
        <v>33.26</v>
      </c>
      <c r="I909" t="s">
        <v>52</v>
      </c>
      <c r="J909" t="s">
        <v>81</v>
      </c>
      <c r="K909" t="s">
        <v>54</v>
      </c>
      <c r="L909" t="s">
        <v>55</v>
      </c>
      <c r="O909" t="s">
        <v>82</v>
      </c>
      <c r="P909" t="s">
        <v>83</v>
      </c>
      <c r="Q909">
        <v>28398.83</v>
      </c>
      <c r="R909">
        <v>-33.26</v>
      </c>
      <c r="S909" t="s">
        <v>2895</v>
      </c>
      <c r="T909" t="s">
        <v>2896</v>
      </c>
      <c r="U909" t="s">
        <v>2897</v>
      </c>
    </row>
    <row r="910" spans="1:21">
      <c r="A910" t="s">
        <v>1929</v>
      </c>
      <c r="B910" s="7">
        <v>46206</v>
      </c>
      <c r="C910" s="8">
        <v>0.71437499999999998</v>
      </c>
      <c r="D910" t="s">
        <v>17</v>
      </c>
      <c r="E910" t="s">
        <v>2</v>
      </c>
      <c r="F910" t="s">
        <v>50</v>
      </c>
      <c r="G910" t="s">
        <v>100</v>
      </c>
      <c r="H910">
        <v>15</v>
      </c>
      <c r="I910" t="s">
        <v>52</v>
      </c>
      <c r="J910" t="s">
        <v>101</v>
      </c>
      <c r="K910" t="s">
        <v>54</v>
      </c>
      <c r="L910" t="s">
        <v>102</v>
      </c>
      <c r="O910" t="s">
        <v>103</v>
      </c>
      <c r="P910" t="s">
        <v>104</v>
      </c>
      <c r="Q910">
        <v>28461.9</v>
      </c>
      <c r="R910">
        <v>-15</v>
      </c>
      <c r="S910" t="s">
        <v>2895</v>
      </c>
      <c r="T910" t="s">
        <v>2896</v>
      </c>
      <c r="U910" t="s">
        <v>2897</v>
      </c>
    </row>
    <row r="911" spans="1:21">
      <c r="A911" t="s">
        <v>1931</v>
      </c>
      <c r="B911" s="7">
        <v>46207</v>
      </c>
      <c r="C911" s="8">
        <v>0.28653935185185186</v>
      </c>
      <c r="D911" t="s">
        <v>17</v>
      </c>
      <c r="E911" t="s">
        <v>2</v>
      </c>
      <c r="F911" t="s">
        <v>50</v>
      </c>
      <c r="G911" t="s">
        <v>51</v>
      </c>
      <c r="H911">
        <v>125.9</v>
      </c>
      <c r="I911" t="s">
        <v>52</v>
      </c>
      <c r="J911" t="s">
        <v>65</v>
      </c>
      <c r="K911" t="s">
        <v>54</v>
      </c>
      <c r="L911" t="s">
        <v>55</v>
      </c>
      <c r="O911" t="s">
        <v>66</v>
      </c>
      <c r="P911" t="s">
        <v>67</v>
      </c>
      <c r="Q911">
        <v>27899.05</v>
      </c>
      <c r="R911">
        <v>-125.9</v>
      </c>
      <c r="S911" t="s">
        <v>2895</v>
      </c>
      <c r="T911" t="s">
        <v>2896</v>
      </c>
      <c r="U911" t="s">
        <v>2897</v>
      </c>
    </row>
    <row r="912" spans="1:21">
      <c r="A912" t="s">
        <v>1933</v>
      </c>
      <c r="B912" s="7">
        <v>46207</v>
      </c>
      <c r="C912" s="8">
        <v>0.36532407407407408</v>
      </c>
      <c r="D912" t="s">
        <v>17</v>
      </c>
      <c r="E912" t="s">
        <v>2</v>
      </c>
      <c r="F912" t="s">
        <v>50</v>
      </c>
      <c r="G912" t="s">
        <v>51</v>
      </c>
      <c r="H912">
        <v>58.86</v>
      </c>
      <c r="I912" t="s">
        <v>52</v>
      </c>
      <c r="J912" t="s">
        <v>196</v>
      </c>
      <c r="K912" t="s">
        <v>54</v>
      </c>
      <c r="L912" t="s">
        <v>55</v>
      </c>
      <c r="O912" t="s">
        <v>197</v>
      </c>
      <c r="P912" t="s">
        <v>198</v>
      </c>
      <c r="Q912">
        <v>28024.95</v>
      </c>
      <c r="R912">
        <v>-58.86</v>
      </c>
      <c r="S912" t="s">
        <v>2895</v>
      </c>
      <c r="T912" t="s">
        <v>2896</v>
      </c>
      <c r="U912" t="s">
        <v>2897</v>
      </c>
    </row>
    <row r="913" spans="1:21">
      <c r="A913" t="s">
        <v>1935</v>
      </c>
      <c r="B913" s="7">
        <v>46207</v>
      </c>
      <c r="C913" s="8">
        <v>0.3831134259259259</v>
      </c>
      <c r="D913" t="s">
        <v>17</v>
      </c>
      <c r="E913" t="s">
        <v>2</v>
      </c>
      <c r="F913" t="s">
        <v>50</v>
      </c>
      <c r="G913" t="s">
        <v>51</v>
      </c>
      <c r="H913">
        <v>10.82</v>
      </c>
      <c r="I913" t="s">
        <v>52</v>
      </c>
      <c r="J913" t="s">
        <v>53</v>
      </c>
      <c r="K913" t="s">
        <v>54</v>
      </c>
      <c r="L913" t="s">
        <v>55</v>
      </c>
      <c r="O913" t="s">
        <v>56</v>
      </c>
      <c r="P913" t="s">
        <v>57</v>
      </c>
      <c r="Q913">
        <v>28147.9</v>
      </c>
      <c r="R913">
        <v>-10.82</v>
      </c>
      <c r="S913" t="s">
        <v>2895</v>
      </c>
      <c r="T913" t="s">
        <v>2896</v>
      </c>
      <c r="U913" t="s">
        <v>2897</v>
      </c>
    </row>
    <row r="914" spans="1:21">
      <c r="A914" t="s">
        <v>1937</v>
      </c>
      <c r="B914" s="7">
        <v>46207</v>
      </c>
      <c r="C914" s="8">
        <v>0.4470601851851852</v>
      </c>
      <c r="D914" t="s">
        <v>17</v>
      </c>
      <c r="E914" t="s">
        <v>2</v>
      </c>
      <c r="F914" t="s">
        <v>50</v>
      </c>
      <c r="G914" t="s">
        <v>51</v>
      </c>
      <c r="H914">
        <v>15.76</v>
      </c>
      <c r="I914" t="s">
        <v>52</v>
      </c>
      <c r="J914" t="s">
        <v>53</v>
      </c>
      <c r="K914" t="s">
        <v>54</v>
      </c>
      <c r="L914" t="s">
        <v>55</v>
      </c>
      <c r="O914" t="s">
        <v>56</v>
      </c>
      <c r="P914" t="s">
        <v>57</v>
      </c>
      <c r="Q914">
        <v>28212.37</v>
      </c>
      <c r="R914">
        <v>-15.76</v>
      </c>
      <c r="S914" t="s">
        <v>2895</v>
      </c>
      <c r="T914" t="s">
        <v>2896</v>
      </c>
      <c r="U914" t="s">
        <v>2897</v>
      </c>
    </row>
    <row r="915" spans="1:21">
      <c r="A915" t="s">
        <v>1939</v>
      </c>
      <c r="B915" s="7">
        <v>46207</v>
      </c>
      <c r="C915" s="8">
        <v>0.45664351851851853</v>
      </c>
      <c r="D915" t="s">
        <v>17</v>
      </c>
      <c r="E915" t="s">
        <v>2</v>
      </c>
      <c r="F915" t="s">
        <v>50</v>
      </c>
      <c r="G915" t="s">
        <v>51</v>
      </c>
      <c r="H915">
        <v>64.09</v>
      </c>
      <c r="I915" t="s">
        <v>52</v>
      </c>
      <c r="J915" t="s">
        <v>60</v>
      </c>
      <c r="K915" t="s">
        <v>54</v>
      </c>
      <c r="L915" t="s">
        <v>55</v>
      </c>
      <c r="O915" t="s">
        <v>61</v>
      </c>
      <c r="P915" t="s">
        <v>62</v>
      </c>
      <c r="Q915">
        <v>28083.81</v>
      </c>
      <c r="R915">
        <v>-64.09</v>
      </c>
      <c r="S915" t="s">
        <v>2895</v>
      </c>
      <c r="T915" t="s">
        <v>2896</v>
      </c>
      <c r="U915" t="s">
        <v>2897</v>
      </c>
    </row>
    <row r="916" spans="1:21">
      <c r="A916" t="s">
        <v>1941</v>
      </c>
      <c r="B916" s="7">
        <v>46207</v>
      </c>
      <c r="C916" s="8">
        <v>0.54030092592592593</v>
      </c>
      <c r="D916" t="s">
        <v>17</v>
      </c>
      <c r="E916" t="s">
        <v>2</v>
      </c>
      <c r="F916" t="s">
        <v>50</v>
      </c>
      <c r="G916" t="s">
        <v>51</v>
      </c>
      <c r="H916">
        <v>17.61</v>
      </c>
      <c r="I916" t="s">
        <v>52</v>
      </c>
      <c r="J916" t="s">
        <v>121</v>
      </c>
      <c r="K916" t="s">
        <v>54</v>
      </c>
      <c r="L916" t="s">
        <v>55</v>
      </c>
      <c r="O916" t="s">
        <v>122</v>
      </c>
      <c r="P916" t="s">
        <v>123</v>
      </c>
      <c r="Q916">
        <v>27881.439999999999</v>
      </c>
      <c r="R916">
        <v>-17.61</v>
      </c>
      <c r="S916" t="s">
        <v>2895</v>
      </c>
      <c r="T916" t="s">
        <v>2896</v>
      </c>
      <c r="U916" t="s">
        <v>2897</v>
      </c>
    </row>
    <row r="917" spans="1:21">
      <c r="A917" t="s">
        <v>1943</v>
      </c>
      <c r="B917" s="7">
        <v>46207</v>
      </c>
      <c r="C917" s="8">
        <v>0.63089120370370366</v>
      </c>
      <c r="D917" t="s">
        <v>17</v>
      </c>
      <c r="E917" t="s">
        <v>2</v>
      </c>
      <c r="F917" t="s">
        <v>50</v>
      </c>
      <c r="G917" t="s">
        <v>72</v>
      </c>
      <c r="H917">
        <v>143.54</v>
      </c>
      <c r="I917" t="s">
        <v>52</v>
      </c>
      <c r="J917" t="s">
        <v>73</v>
      </c>
      <c r="K917" t="s">
        <v>54</v>
      </c>
      <c r="L917" t="s">
        <v>74</v>
      </c>
      <c r="O917" t="s">
        <v>75</v>
      </c>
      <c r="P917" t="s">
        <v>76</v>
      </c>
      <c r="Q917">
        <v>27723.99</v>
      </c>
      <c r="R917">
        <v>-143.54</v>
      </c>
      <c r="S917" t="s">
        <v>2895</v>
      </c>
      <c r="T917" t="s">
        <v>2896</v>
      </c>
      <c r="U917" t="s">
        <v>2897</v>
      </c>
    </row>
    <row r="918" spans="1:21">
      <c r="A918" t="s">
        <v>1945</v>
      </c>
      <c r="B918" s="7">
        <v>46207</v>
      </c>
      <c r="C918" s="8">
        <v>0.85303240740740738</v>
      </c>
      <c r="D918" t="s">
        <v>17</v>
      </c>
      <c r="E918" t="s">
        <v>2</v>
      </c>
      <c r="F918" t="s">
        <v>50</v>
      </c>
      <c r="G918" t="s">
        <v>51</v>
      </c>
      <c r="H918">
        <v>53.65</v>
      </c>
      <c r="I918" t="s">
        <v>52</v>
      </c>
      <c r="J918" t="s">
        <v>81</v>
      </c>
      <c r="K918" t="s">
        <v>54</v>
      </c>
      <c r="L918" t="s">
        <v>55</v>
      </c>
      <c r="O918" t="s">
        <v>82</v>
      </c>
      <c r="P918" t="s">
        <v>83</v>
      </c>
      <c r="Q918">
        <v>28158.720000000001</v>
      </c>
      <c r="R918">
        <v>-53.65</v>
      </c>
      <c r="S918" t="s">
        <v>2895</v>
      </c>
      <c r="T918" t="s">
        <v>2896</v>
      </c>
      <c r="U918" t="s">
        <v>2897</v>
      </c>
    </row>
    <row r="919" spans="1:21">
      <c r="A919" t="s">
        <v>1947</v>
      </c>
      <c r="B919" s="7">
        <v>46207</v>
      </c>
      <c r="C919" s="8">
        <v>0.9040393518518518</v>
      </c>
      <c r="D919" t="s">
        <v>17</v>
      </c>
      <c r="E919" t="s">
        <v>2</v>
      </c>
      <c r="F919" t="s">
        <v>50</v>
      </c>
      <c r="G919" t="s">
        <v>100</v>
      </c>
      <c r="H919">
        <v>13.91</v>
      </c>
      <c r="I919" t="s">
        <v>52</v>
      </c>
      <c r="J919" t="s">
        <v>114</v>
      </c>
      <c r="K919" t="s">
        <v>54</v>
      </c>
      <c r="L919" t="s">
        <v>102</v>
      </c>
      <c r="O919" t="s">
        <v>103</v>
      </c>
      <c r="P919" t="s">
        <v>104</v>
      </c>
      <c r="Q919">
        <v>27867.53</v>
      </c>
      <c r="R919">
        <v>-13.91</v>
      </c>
      <c r="S919" t="s">
        <v>2895</v>
      </c>
      <c r="T919" t="s">
        <v>2896</v>
      </c>
      <c r="U919" t="s">
        <v>2897</v>
      </c>
    </row>
    <row r="920" spans="1:21">
      <c r="A920" t="s">
        <v>1949</v>
      </c>
      <c r="B920" s="7">
        <v>46208</v>
      </c>
      <c r="C920" s="8">
        <v>0.27934027777777776</v>
      </c>
      <c r="D920" t="s">
        <v>17</v>
      </c>
      <c r="E920" t="s">
        <v>2</v>
      </c>
      <c r="F920" t="s">
        <v>50</v>
      </c>
      <c r="G920" t="s">
        <v>51</v>
      </c>
      <c r="H920">
        <v>9.91</v>
      </c>
      <c r="I920" t="s">
        <v>52</v>
      </c>
      <c r="J920" t="s">
        <v>121</v>
      </c>
      <c r="K920" t="s">
        <v>54</v>
      </c>
      <c r="L920" t="s">
        <v>55</v>
      </c>
      <c r="O920" t="s">
        <v>122</v>
      </c>
      <c r="P920" t="s">
        <v>123</v>
      </c>
      <c r="Q920">
        <v>27714.080000000002</v>
      </c>
      <c r="R920">
        <v>-9.91</v>
      </c>
      <c r="S920" t="s">
        <v>2895</v>
      </c>
      <c r="T920" t="s">
        <v>2896</v>
      </c>
      <c r="U920" t="s">
        <v>2897</v>
      </c>
    </row>
    <row r="921" spans="1:21">
      <c r="A921" t="s">
        <v>1951</v>
      </c>
      <c r="B921" s="7">
        <v>46208</v>
      </c>
      <c r="C921" s="8">
        <v>0.30194444444444446</v>
      </c>
      <c r="D921" t="s">
        <v>17</v>
      </c>
      <c r="E921" t="s">
        <v>2</v>
      </c>
      <c r="F921" t="s">
        <v>50</v>
      </c>
      <c r="G921" t="s">
        <v>100</v>
      </c>
      <c r="H921">
        <v>15</v>
      </c>
      <c r="I921" t="s">
        <v>52</v>
      </c>
      <c r="J921" t="s">
        <v>101</v>
      </c>
      <c r="K921" t="s">
        <v>54</v>
      </c>
      <c r="L921" t="s">
        <v>102</v>
      </c>
      <c r="O921" t="s">
        <v>103</v>
      </c>
      <c r="P921" t="s">
        <v>104</v>
      </c>
      <c r="Q921">
        <v>27630.14</v>
      </c>
      <c r="R921">
        <v>-15</v>
      </c>
      <c r="S921" t="s">
        <v>2895</v>
      </c>
      <c r="T921" t="s">
        <v>2896</v>
      </c>
      <c r="U921" t="s">
        <v>2897</v>
      </c>
    </row>
    <row r="922" spans="1:21">
      <c r="A922" t="s">
        <v>1953</v>
      </c>
      <c r="B922" s="7">
        <v>46208</v>
      </c>
      <c r="C922" s="8">
        <v>0.43622685185185184</v>
      </c>
      <c r="D922" t="s">
        <v>17</v>
      </c>
      <c r="E922" t="s">
        <v>2</v>
      </c>
      <c r="F922" t="s">
        <v>50</v>
      </c>
      <c r="G922" t="s">
        <v>51</v>
      </c>
      <c r="H922">
        <v>38.29</v>
      </c>
      <c r="I922" t="s">
        <v>52</v>
      </c>
      <c r="J922" t="s">
        <v>126</v>
      </c>
      <c r="K922" t="s">
        <v>54</v>
      </c>
      <c r="L922" t="s">
        <v>55</v>
      </c>
      <c r="O922" t="s">
        <v>56</v>
      </c>
      <c r="P922" t="s">
        <v>57</v>
      </c>
      <c r="Q922">
        <v>27675.79</v>
      </c>
      <c r="R922">
        <v>-38.29</v>
      </c>
      <c r="S922" t="s">
        <v>2895</v>
      </c>
      <c r="T922" t="s">
        <v>2896</v>
      </c>
      <c r="U922" t="s">
        <v>2897</v>
      </c>
    </row>
    <row r="923" spans="1:21">
      <c r="A923" t="s">
        <v>1955</v>
      </c>
      <c r="B923" s="7">
        <v>46208</v>
      </c>
      <c r="C923" s="8">
        <v>0.44983796296296297</v>
      </c>
      <c r="D923" t="s">
        <v>17</v>
      </c>
      <c r="E923" t="s">
        <v>2</v>
      </c>
      <c r="F923" t="s">
        <v>50</v>
      </c>
      <c r="G923" t="s">
        <v>51</v>
      </c>
      <c r="H923">
        <v>30.65</v>
      </c>
      <c r="I923" t="s">
        <v>52</v>
      </c>
      <c r="J923" t="s">
        <v>126</v>
      </c>
      <c r="K923" t="s">
        <v>54</v>
      </c>
      <c r="L923" t="s">
        <v>55</v>
      </c>
      <c r="O923" t="s">
        <v>56</v>
      </c>
      <c r="P923" t="s">
        <v>57</v>
      </c>
      <c r="Q923">
        <v>27645.14</v>
      </c>
      <c r="R923">
        <v>-30.65</v>
      </c>
      <c r="S923" t="s">
        <v>2895</v>
      </c>
      <c r="T923" t="s">
        <v>2896</v>
      </c>
      <c r="U923" t="s">
        <v>2897</v>
      </c>
    </row>
    <row r="924" spans="1:21">
      <c r="A924" t="s">
        <v>1957</v>
      </c>
      <c r="B924" s="7">
        <v>46208</v>
      </c>
      <c r="C924" s="8">
        <v>0.59946759259259264</v>
      </c>
      <c r="D924" t="s">
        <v>17</v>
      </c>
      <c r="E924" t="s">
        <v>2</v>
      </c>
      <c r="F924" t="s">
        <v>50</v>
      </c>
      <c r="G924" t="s">
        <v>100</v>
      </c>
      <c r="H924">
        <v>15</v>
      </c>
      <c r="I924" t="s">
        <v>52</v>
      </c>
      <c r="J924" t="s">
        <v>101</v>
      </c>
      <c r="K924" t="s">
        <v>54</v>
      </c>
      <c r="L924" t="s">
        <v>102</v>
      </c>
      <c r="O924" t="s">
        <v>103</v>
      </c>
      <c r="P924" t="s">
        <v>104</v>
      </c>
      <c r="Q924">
        <v>27615.14</v>
      </c>
      <c r="R924">
        <v>-15</v>
      </c>
      <c r="S924" t="s">
        <v>2895</v>
      </c>
      <c r="T924" t="s">
        <v>2896</v>
      </c>
      <c r="U924" t="s">
        <v>2897</v>
      </c>
    </row>
    <row r="925" spans="1:21">
      <c r="A925" t="s">
        <v>1959</v>
      </c>
      <c r="B925" s="7">
        <v>46208</v>
      </c>
      <c r="C925" s="8">
        <v>0.63246527777777772</v>
      </c>
      <c r="D925" t="s">
        <v>17</v>
      </c>
      <c r="E925" t="s">
        <v>2</v>
      </c>
      <c r="F925" t="s">
        <v>50</v>
      </c>
      <c r="G925" t="s">
        <v>100</v>
      </c>
      <c r="H925">
        <v>111.27</v>
      </c>
      <c r="I925" t="s">
        <v>52</v>
      </c>
      <c r="J925" t="s">
        <v>177</v>
      </c>
      <c r="K925" t="s">
        <v>54</v>
      </c>
      <c r="L925" t="s">
        <v>102</v>
      </c>
      <c r="O925" t="s">
        <v>178</v>
      </c>
      <c r="P925" t="s">
        <v>179</v>
      </c>
      <c r="Q925">
        <v>40451.03</v>
      </c>
      <c r="R925">
        <v>-111.27</v>
      </c>
      <c r="S925" t="s">
        <v>2895</v>
      </c>
      <c r="T925" t="s">
        <v>2896</v>
      </c>
      <c r="U925" t="s">
        <v>2897</v>
      </c>
    </row>
    <row r="926" spans="1:21">
      <c r="A926" t="s">
        <v>1961</v>
      </c>
      <c r="B926" s="7">
        <v>46208</v>
      </c>
      <c r="C926" s="8">
        <v>0.77150462962962962</v>
      </c>
      <c r="D926" t="s">
        <v>17</v>
      </c>
      <c r="E926" t="s">
        <v>2</v>
      </c>
      <c r="F926" t="s">
        <v>50</v>
      </c>
      <c r="G926" t="s">
        <v>72</v>
      </c>
      <c r="H926">
        <v>146.63</v>
      </c>
      <c r="I926" t="s">
        <v>52</v>
      </c>
      <c r="J926" t="s">
        <v>638</v>
      </c>
      <c r="K926" t="s">
        <v>54</v>
      </c>
      <c r="L926" t="s">
        <v>74</v>
      </c>
      <c r="O926" t="s">
        <v>75</v>
      </c>
      <c r="P926" t="s">
        <v>76</v>
      </c>
      <c r="Q926">
        <v>27468.51</v>
      </c>
      <c r="R926">
        <v>-146.63</v>
      </c>
      <c r="S926" t="s">
        <v>2895</v>
      </c>
      <c r="T926" t="s">
        <v>2896</v>
      </c>
      <c r="U926" t="s">
        <v>2897</v>
      </c>
    </row>
    <row r="927" spans="1:21">
      <c r="A927" t="s">
        <v>1963</v>
      </c>
      <c r="B927" s="7">
        <v>46209</v>
      </c>
      <c r="C927" s="8">
        <v>0.27287037037037037</v>
      </c>
      <c r="D927" t="s">
        <v>17</v>
      </c>
      <c r="E927" t="s">
        <v>2</v>
      </c>
      <c r="F927" t="s">
        <v>50</v>
      </c>
      <c r="G927" t="s">
        <v>72</v>
      </c>
      <c r="H927">
        <v>146.83000000000001</v>
      </c>
      <c r="I927" t="s">
        <v>52</v>
      </c>
      <c r="J927" t="s">
        <v>316</v>
      </c>
      <c r="K927" t="s">
        <v>54</v>
      </c>
      <c r="L927" t="s">
        <v>74</v>
      </c>
      <c r="O927" t="s">
        <v>75</v>
      </c>
      <c r="P927" t="s">
        <v>76</v>
      </c>
      <c r="Q927">
        <v>27116.13</v>
      </c>
      <c r="R927">
        <v>-146.83000000000001</v>
      </c>
      <c r="S927" t="s">
        <v>2895</v>
      </c>
      <c r="T927" t="s">
        <v>2896</v>
      </c>
      <c r="U927" t="s">
        <v>2897</v>
      </c>
    </row>
    <row r="928" spans="1:21">
      <c r="A928" t="s">
        <v>1965</v>
      </c>
      <c r="B928" s="7">
        <v>46209</v>
      </c>
      <c r="C928" s="8">
        <v>0.35643518518518519</v>
      </c>
      <c r="D928" t="s">
        <v>17</v>
      </c>
      <c r="E928" t="s">
        <v>2</v>
      </c>
      <c r="F928" t="s">
        <v>50</v>
      </c>
      <c r="G928" t="s">
        <v>51</v>
      </c>
      <c r="H928">
        <v>9.94</v>
      </c>
      <c r="I928" t="s">
        <v>52</v>
      </c>
      <c r="J928" t="s">
        <v>121</v>
      </c>
      <c r="K928" t="s">
        <v>54</v>
      </c>
      <c r="L928" t="s">
        <v>55</v>
      </c>
      <c r="O928" t="s">
        <v>122</v>
      </c>
      <c r="P928" t="s">
        <v>123</v>
      </c>
      <c r="Q928">
        <v>27284.44</v>
      </c>
      <c r="R928">
        <v>-9.94</v>
      </c>
      <c r="S928" t="s">
        <v>2895</v>
      </c>
      <c r="T928" t="s">
        <v>2896</v>
      </c>
      <c r="U928" t="s">
        <v>2897</v>
      </c>
    </row>
    <row r="929" spans="1:21">
      <c r="A929" t="s">
        <v>1967</v>
      </c>
      <c r="B929" s="7">
        <v>46209</v>
      </c>
      <c r="C929" s="8">
        <v>0.36106481481481484</v>
      </c>
      <c r="D929" t="s">
        <v>17</v>
      </c>
      <c r="E929" t="s">
        <v>2</v>
      </c>
      <c r="F929" t="s">
        <v>149</v>
      </c>
      <c r="G929" t="s">
        <v>1969</v>
      </c>
      <c r="H929">
        <v>9480</v>
      </c>
      <c r="I929" t="s">
        <v>52</v>
      </c>
      <c r="J929" t="s">
        <v>1969</v>
      </c>
      <c r="K929" t="s">
        <v>54</v>
      </c>
      <c r="L929" t="s">
        <v>1970</v>
      </c>
      <c r="M929" t="s">
        <v>91</v>
      </c>
      <c r="N929" t="s">
        <v>12</v>
      </c>
      <c r="O929" t="s">
        <v>92</v>
      </c>
      <c r="P929" t="s">
        <v>1971</v>
      </c>
      <c r="Q929">
        <v>47563.61</v>
      </c>
      <c r="R929">
        <v>9480</v>
      </c>
      <c r="S929" t="s">
        <v>2895</v>
      </c>
      <c r="T929" t="s">
        <v>92</v>
      </c>
      <c r="U929" t="s">
        <v>2899</v>
      </c>
    </row>
    <row r="930" spans="1:21">
      <c r="A930" t="s">
        <v>1972</v>
      </c>
      <c r="B930" s="7">
        <v>46209</v>
      </c>
      <c r="C930" s="8">
        <v>0.47547453703703701</v>
      </c>
      <c r="D930" t="s">
        <v>17</v>
      </c>
      <c r="E930" t="s">
        <v>2</v>
      </c>
      <c r="F930" t="s">
        <v>50</v>
      </c>
      <c r="G930" t="s">
        <v>51</v>
      </c>
      <c r="H930">
        <v>12.1</v>
      </c>
      <c r="I930" t="s">
        <v>52</v>
      </c>
      <c r="J930" t="s">
        <v>53</v>
      </c>
      <c r="K930" t="s">
        <v>54</v>
      </c>
      <c r="L930" t="s">
        <v>55</v>
      </c>
      <c r="O930" t="s">
        <v>56</v>
      </c>
      <c r="P930" t="s">
        <v>57</v>
      </c>
      <c r="Q930">
        <v>27294.38</v>
      </c>
      <c r="R930">
        <v>-12.1</v>
      </c>
      <c r="S930" t="s">
        <v>2895</v>
      </c>
      <c r="T930" t="s">
        <v>2896</v>
      </c>
      <c r="U930" t="s">
        <v>2897</v>
      </c>
    </row>
    <row r="931" spans="1:21">
      <c r="A931" t="s">
        <v>1974</v>
      </c>
      <c r="B931" s="7">
        <v>46209</v>
      </c>
      <c r="C931" s="8">
        <v>0.56487268518518519</v>
      </c>
      <c r="D931" t="s">
        <v>17</v>
      </c>
      <c r="E931" t="s">
        <v>2</v>
      </c>
      <c r="F931" t="s">
        <v>50</v>
      </c>
      <c r="G931" t="s">
        <v>51</v>
      </c>
      <c r="H931">
        <v>21.48</v>
      </c>
      <c r="I931" t="s">
        <v>52</v>
      </c>
      <c r="J931" t="s">
        <v>121</v>
      </c>
      <c r="K931" t="s">
        <v>54</v>
      </c>
      <c r="L931" t="s">
        <v>55</v>
      </c>
      <c r="O931" t="s">
        <v>122</v>
      </c>
      <c r="P931" t="s">
        <v>123</v>
      </c>
      <c r="Q931">
        <v>27262.959999999999</v>
      </c>
      <c r="R931">
        <v>-21.48</v>
      </c>
      <c r="S931" t="s">
        <v>2895</v>
      </c>
      <c r="T931" t="s">
        <v>2896</v>
      </c>
      <c r="U931" t="s">
        <v>2897</v>
      </c>
    </row>
    <row r="932" spans="1:21">
      <c r="A932" t="s">
        <v>1976</v>
      </c>
      <c r="B932" s="7">
        <v>46209</v>
      </c>
      <c r="C932" s="8">
        <v>0.6206828703703704</v>
      </c>
      <c r="D932" t="s">
        <v>17</v>
      </c>
      <c r="E932" t="s">
        <v>2</v>
      </c>
      <c r="F932" t="s">
        <v>50</v>
      </c>
      <c r="G932" t="s">
        <v>100</v>
      </c>
      <c r="H932">
        <v>19.5</v>
      </c>
      <c r="I932" t="s">
        <v>52</v>
      </c>
      <c r="J932" t="s">
        <v>114</v>
      </c>
      <c r="K932" t="s">
        <v>54</v>
      </c>
      <c r="L932" t="s">
        <v>102</v>
      </c>
      <c r="O932" t="s">
        <v>103</v>
      </c>
      <c r="P932" t="s">
        <v>104</v>
      </c>
      <c r="Q932">
        <v>27306.48</v>
      </c>
      <c r="R932">
        <v>-19.5</v>
      </c>
      <c r="S932" t="s">
        <v>2895</v>
      </c>
      <c r="T932" t="s">
        <v>2896</v>
      </c>
      <c r="U932" t="s">
        <v>2897</v>
      </c>
    </row>
    <row r="933" spans="1:21">
      <c r="A933" t="s">
        <v>1978</v>
      </c>
      <c r="B933" s="7">
        <v>46209</v>
      </c>
      <c r="C933" s="8">
        <v>0.6713541666666667</v>
      </c>
      <c r="D933" t="s">
        <v>17</v>
      </c>
      <c r="E933" t="s">
        <v>2</v>
      </c>
      <c r="F933" t="s">
        <v>50</v>
      </c>
      <c r="G933" t="s">
        <v>51</v>
      </c>
      <c r="H933">
        <v>142.53</v>
      </c>
      <c r="I933" t="s">
        <v>52</v>
      </c>
      <c r="J933" t="s">
        <v>65</v>
      </c>
      <c r="K933" t="s">
        <v>54</v>
      </c>
      <c r="L933" t="s">
        <v>55</v>
      </c>
      <c r="O933" t="s">
        <v>66</v>
      </c>
      <c r="P933" t="s">
        <v>67</v>
      </c>
      <c r="Q933">
        <v>27325.98</v>
      </c>
      <c r="R933">
        <v>-142.53</v>
      </c>
      <c r="S933" t="s">
        <v>2895</v>
      </c>
      <c r="T933" t="s">
        <v>2896</v>
      </c>
      <c r="U933" t="s">
        <v>2897</v>
      </c>
    </row>
    <row r="934" spans="1:21">
      <c r="A934" t="s">
        <v>1980</v>
      </c>
      <c r="B934" s="7">
        <v>46210</v>
      </c>
      <c r="C934" s="8">
        <v>0.2976388888888889</v>
      </c>
      <c r="D934" t="s">
        <v>17</v>
      </c>
      <c r="E934" t="s">
        <v>2</v>
      </c>
      <c r="F934" t="s">
        <v>50</v>
      </c>
      <c r="G934" t="s">
        <v>51</v>
      </c>
      <c r="H934">
        <v>3.43</v>
      </c>
      <c r="I934" t="s">
        <v>52</v>
      </c>
      <c r="J934" t="s">
        <v>121</v>
      </c>
      <c r="K934" t="s">
        <v>54</v>
      </c>
      <c r="L934" t="s">
        <v>55</v>
      </c>
      <c r="O934" t="s">
        <v>122</v>
      </c>
      <c r="P934" t="s">
        <v>123</v>
      </c>
      <c r="Q934">
        <v>27039.279999999999</v>
      </c>
      <c r="R934">
        <v>-3.43</v>
      </c>
      <c r="S934" t="s">
        <v>2895</v>
      </c>
      <c r="T934" t="s">
        <v>2896</v>
      </c>
      <c r="U934" t="s">
        <v>2897</v>
      </c>
    </row>
    <row r="935" spans="1:21">
      <c r="A935" t="s">
        <v>1982</v>
      </c>
      <c r="B935" s="7">
        <v>46210</v>
      </c>
      <c r="C935" s="8">
        <v>0.3581597222222222</v>
      </c>
      <c r="D935" t="s">
        <v>17</v>
      </c>
      <c r="E935" t="s">
        <v>2</v>
      </c>
      <c r="F935" t="s">
        <v>50</v>
      </c>
      <c r="G935" t="s">
        <v>1816</v>
      </c>
      <c r="H935">
        <v>8200</v>
      </c>
      <c r="I935" t="s">
        <v>52</v>
      </c>
      <c r="J935" t="s">
        <v>1984</v>
      </c>
      <c r="K935" t="s">
        <v>1985</v>
      </c>
      <c r="L935" t="s">
        <v>1819</v>
      </c>
      <c r="O935" t="s">
        <v>1820</v>
      </c>
      <c r="P935" t="s">
        <v>1821</v>
      </c>
      <c r="Q935">
        <v>96963.61</v>
      </c>
      <c r="R935">
        <v>-8200</v>
      </c>
      <c r="S935" t="s">
        <v>2895</v>
      </c>
      <c r="T935" t="s">
        <v>2896</v>
      </c>
      <c r="U935" t="s">
        <v>2899</v>
      </c>
    </row>
    <row r="936" spans="1:21">
      <c r="A936" t="s">
        <v>1986</v>
      </c>
      <c r="B936" s="7">
        <v>46210</v>
      </c>
      <c r="C936" s="8">
        <v>0.39633101851851854</v>
      </c>
      <c r="D936" t="s">
        <v>17</v>
      </c>
      <c r="E936" t="s">
        <v>2</v>
      </c>
      <c r="F936" t="s">
        <v>50</v>
      </c>
      <c r="G936" t="s">
        <v>51</v>
      </c>
      <c r="H936">
        <v>18.41</v>
      </c>
      <c r="I936" t="s">
        <v>52</v>
      </c>
      <c r="J936" t="s">
        <v>121</v>
      </c>
      <c r="K936" t="s">
        <v>54</v>
      </c>
      <c r="L936" t="s">
        <v>55</v>
      </c>
      <c r="O936" t="s">
        <v>122</v>
      </c>
      <c r="P936" t="s">
        <v>123</v>
      </c>
      <c r="Q936">
        <v>27057.71</v>
      </c>
      <c r="R936">
        <v>-18.41</v>
      </c>
      <c r="S936" t="s">
        <v>2895</v>
      </c>
      <c r="T936" t="s">
        <v>2896</v>
      </c>
      <c r="U936" t="s">
        <v>2897</v>
      </c>
    </row>
    <row r="937" spans="1:21">
      <c r="A937" t="s">
        <v>1988</v>
      </c>
      <c r="B937" s="7">
        <v>46210</v>
      </c>
      <c r="C937" s="8">
        <v>0.40432870370370372</v>
      </c>
      <c r="D937" t="s">
        <v>17</v>
      </c>
      <c r="E937" t="s">
        <v>2</v>
      </c>
      <c r="F937" t="s">
        <v>50</v>
      </c>
      <c r="G937" t="s">
        <v>51</v>
      </c>
      <c r="H937">
        <v>14.29</v>
      </c>
      <c r="I937" t="s">
        <v>52</v>
      </c>
      <c r="J937" t="s">
        <v>126</v>
      </c>
      <c r="K937" t="s">
        <v>54</v>
      </c>
      <c r="L937" t="s">
        <v>55</v>
      </c>
      <c r="O937" t="s">
        <v>56</v>
      </c>
      <c r="P937" t="s">
        <v>57</v>
      </c>
      <c r="Q937">
        <v>27076.12</v>
      </c>
      <c r="R937">
        <v>-14.29</v>
      </c>
      <c r="S937" t="s">
        <v>2895</v>
      </c>
      <c r="T937" t="s">
        <v>2896</v>
      </c>
      <c r="U937" t="s">
        <v>2897</v>
      </c>
    </row>
    <row r="938" spans="1:21">
      <c r="A938" t="s">
        <v>1990</v>
      </c>
      <c r="B938" s="7">
        <v>46210</v>
      </c>
      <c r="C938" s="8">
        <v>0.48153935185185187</v>
      </c>
      <c r="D938" t="s">
        <v>17</v>
      </c>
      <c r="E938" t="s">
        <v>2</v>
      </c>
      <c r="F938" t="s">
        <v>50</v>
      </c>
      <c r="G938" t="s">
        <v>88</v>
      </c>
      <c r="H938">
        <v>80</v>
      </c>
      <c r="I938" t="s">
        <v>52</v>
      </c>
      <c r="J938" t="s">
        <v>89</v>
      </c>
      <c r="K938" t="s">
        <v>54</v>
      </c>
      <c r="L938" t="s">
        <v>90</v>
      </c>
      <c r="M938" t="s">
        <v>91</v>
      </c>
      <c r="N938" t="s">
        <v>12</v>
      </c>
      <c r="O938" t="s">
        <v>92</v>
      </c>
      <c r="P938" t="s">
        <v>93</v>
      </c>
      <c r="Q938">
        <v>26945.89</v>
      </c>
      <c r="R938">
        <v>-80</v>
      </c>
      <c r="S938" t="s">
        <v>2895</v>
      </c>
      <c r="T938" t="s">
        <v>2896</v>
      </c>
      <c r="U938" t="s">
        <v>2897</v>
      </c>
    </row>
    <row r="939" spans="1:21">
      <c r="A939" t="s">
        <v>1992</v>
      </c>
      <c r="B939" s="7">
        <v>46210</v>
      </c>
      <c r="C939" s="8">
        <v>0.48741898148148149</v>
      </c>
      <c r="D939" t="s">
        <v>17</v>
      </c>
      <c r="E939" t="s">
        <v>2</v>
      </c>
      <c r="F939" t="s">
        <v>50</v>
      </c>
      <c r="G939" t="s">
        <v>100</v>
      </c>
      <c r="H939">
        <v>15</v>
      </c>
      <c r="I939" t="s">
        <v>52</v>
      </c>
      <c r="J939" t="s">
        <v>101</v>
      </c>
      <c r="K939" t="s">
        <v>54</v>
      </c>
      <c r="L939" t="s">
        <v>102</v>
      </c>
      <c r="O939" t="s">
        <v>103</v>
      </c>
      <c r="P939" t="s">
        <v>104</v>
      </c>
      <c r="Q939">
        <v>27042.71</v>
      </c>
      <c r="R939">
        <v>-15</v>
      </c>
      <c r="S939" t="s">
        <v>2895</v>
      </c>
      <c r="T939" t="s">
        <v>2896</v>
      </c>
      <c r="U939" t="s">
        <v>2897</v>
      </c>
    </row>
    <row r="940" spans="1:21">
      <c r="A940" t="s">
        <v>1994</v>
      </c>
      <c r="B940" s="7">
        <v>46210</v>
      </c>
      <c r="C940" s="8">
        <v>0.5924652777777778</v>
      </c>
      <c r="D940" t="s">
        <v>17</v>
      </c>
      <c r="E940" t="s">
        <v>2</v>
      </c>
      <c r="F940" t="s">
        <v>50</v>
      </c>
      <c r="G940" t="s">
        <v>51</v>
      </c>
      <c r="H940">
        <v>25.72</v>
      </c>
      <c r="I940" t="s">
        <v>52</v>
      </c>
      <c r="J940" t="s">
        <v>196</v>
      </c>
      <c r="K940" t="s">
        <v>54</v>
      </c>
      <c r="L940" t="s">
        <v>55</v>
      </c>
      <c r="O940" t="s">
        <v>197</v>
      </c>
      <c r="P940" t="s">
        <v>198</v>
      </c>
      <c r="Q940">
        <v>27090.41</v>
      </c>
      <c r="R940">
        <v>-25.72</v>
      </c>
      <c r="S940" t="s">
        <v>2895</v>
      </c>
      <c r="T940" t="s">
        <v>2896</v>
      </c>
      <c r="U940" t="s">
        <v>2897</v>
      </c>
    </row>
    <row r="941" spans="1:21">
      <c r="A941" t="s">
        <v>1996</v>
      </c>
      <c r="B941" s="7">
        <v>46210</v>
      </c>
      <c r="C941" s="8">
        <v>0.91871527777777773</v>
      </c>
      <c r="D941" t="s">
        <v>17</v>
      </c>
      <c r="E941" t="s">
        <v>2</v>
      </c>
      <c r="F941" t="s">
        <v>50</v>
      </c>
      <c r="G941" t="s">
        <v>51</v>
      </c>
      <c r="H941">
        <v>13.39</v>
      </c>
      <c r="I941" t="s">
        <v>52</v>
      </c>
      <c r="J941" t="s">
        <v>126</v>
      </c>
      <c r="K941" t="s">
        <v>54</v>
      </c>
      <c r="L941" t="s">
        <v>55</v>
      </c>
      <c r="O941" t="s">
        <v>56</v>
      </c>
      <c r="P941" t="s">
        <v>57</v>
      </c>
      <c r="Q941">
        <v>27025.89</v>
      </c>
      <c r="R941">
        <v>-13.39</v>
      </c>
      <c r="S941" t="s">
        <v>2895</v>
      </c>
      <c r="T941" t="s">
        <v>2896</v>
      </c>
      <c r="U941" t="s">
        <v>2897</v>
      </c>
    </row>
    <row r="942" spans="1:21">
      <c r="A942" t="s">
        <v>1998</v>
      </c>
      <c r="B942" s="7">
        <v>46211</v>
      </c>
      <c r="C942" s="8">
        <v>0.46866898148148151</v>
      </c>
      <c r="D942" t="s">
        <v>17</v>
      </c>
      <c r="E942" t="s">
        <v>2</v>
      </c>
      <c r="F942" t="s">
        <v>50</v>
      </c>
      <c r="G942" t="s">
        <v>100</v>
      </c>
      <c r="H942">
        <v>15</v>
      </c>
      <c r="I942" t="s">
        <v>52</v>
      </c>
      <c r="J942" t="s">
        <v>101</v>
      </c>
      <c r="K942" t="s">
        <v>54</v>
      </c>
      <c r="L942" t="s">
        <v>102</v>
      </c>
      <c r="O942" t="s">
        <v>103</v>
      </c>
      <c r="P942" t="s">
        <v>104</v>
      </c>
      <c r="Q942">
        <v>26913.63</v>
      </c>
      <c r="R942">
        <v>-15</v>
      </c>
      <c r="S942" t="s">
        <v>2895</v>
      </c>
      <c r="T942" t="s">
        <v>2896</v>
      </c>
      <c r="U942" t="s">
        <v>2897</v>
      </c>
    </row>
    <row r="943" spans="1:21">
      <c r="A943" t="s">
        <v>2000</v>
      </c>
      <c r="B943" s="7">
        <v>46211</v>
      </c>
      <c r="C943" s="8">
        <v>0.48590277777777779</v>
      </c>
      <c r="D943" t="s">
        <v>17</v>
      </c>
      <c r="E943" t="s">
        <v>2</v>
      </c>
      <c r="F943" t="s">
        <v>50</v>
      </c>
      <c r="G943" t="s">
        <v>51</v>
      </c>
      <c r="H943">
        <v>14.42</v>
      </c>
      <c r="I943" t="s">
        <v>52</v>
      </c>
      <c r="J943" t="s">
        <v>121</v>
      </c>
      <c r="K943" t="s">
        <v>54</v>
      </c>
      <c r="L943" t="s">
        <v>55</v>
      </c>
      <c r="O943" t="s">
        <v>122</v>
      </c>
      <c r="P943" t="s">
        <v>123</v>
      </c>
      <c r="Q943">
        <v>26899.21</v>
      </c>
      <c r="R943">
        <v>-14.42</v>
      </c>
      <c r="S943" t="s">
        <v>2895</v>
      </c>
      <c r="T943" t="s">
        <v>2896</v>
      </c>
      <c r="U943" t="s">
        <v>2897</v>
      </c>
    </row>
    <row r="944" spans="1:21">
      <c r="A944" t="s">
        <v>2002</v>
      </c>
      <c r="B944" s="7">
        <v>46211</v>
      </c>
      <c r="C944" s="8">
        <v>0.5198842592592593</v>
      </c>
      <c r="D944" t="s">
        <v>17</v>
      </c>
      <c r="E944" t="s">
        <v>2</v>
      </c>
      <c r="F944" t="s">
        <v>50</v>
      </c>
      <c r="G944" t="s">
        <v>51</v>
      </c>
      <c r="H944">
        <v>17.260000000000002</v>
      </c>
      <c r="I944" t="s">
        <v>52</v>
      </c>
      <c r="J944" t="s">
        <v>53</v>
      </c>
      <c r="K944" t="s">
        <v>54</v>
      </c>
      <c r="L944" t="s">
        <v>55</v>
      </c>
      <c r="O944" t="s">
        <v>56</v>
      </c>
      <c r="P944" t="s">
        <v>57</v>
      </c>
      <c r="Q944">
        <v>26928.63</v>
      </c>
      <c r="R944">
        <v>-17.260000000000002</v>
      </c>
      <c r="S944" t="s">
        <v>2895</v>
      </c>
      <c r="T944" t="s">
        <v>2896</v>
      </c>
      <c r="U944" t="s">
        <v>2897</v>
      </c>
    </row>
    <row r="945" spans="1:21">
      <c r="A945" t="s">
        <v>2004</v>
      </c>
      <c r="B945" s="7">
        <v>46211</v>
      </c>
      <c r="C945" s="8">
        <v>0.69998842592592592</v>
      </c>
      <c r="D945" t="s">
        <v>17</v>
      </c>
      <c r="E945" t="s">
        <v>2</v>
      </c>
      <c r="F945" t="s">
        <v>149</v>
      </c>
      <c r="G945" t="s">
        <v>1969</v>
      </c>
      <c r="H945">
        <v>9725</v>
      </c>
      <c r="I945" t="s">
        <v>52</v>
      </c>
      <c r="J945" t="s">
        <v>1969</v>
      </c>
      <c r="K945" t="s">
        <v>54</v>
      </c>
      <c r="L945" t="s">
        <v>1970</v>
      </c>
      <c r="M945" t="s">
        <v>2006</v>
      </c>
      <c r="N945" t="s">
        <v>12</v>
      </c>
      <c r="O945" t="s">
        <v>92</v>
      </c>
      <c r="P945" t="s">
        <v>1971</v>
      </c>
      <c r="Q945">
        <v>57288.61</v>
      </c>
      <c r="R945">
        <v>9725</v>
      </c>
      <c r="S945" t="s">
        <v>2895</v>
      </c>
      <c r="T945" t="s">
        <v>92</v>
      </c>
      <c r="U945" t="s">
        <v>2899</v>
      </c>
    </row>
    <row r="946" spans="1:21">
      <c r="A946" t="s">
        <v>2007</v>
      </c>
      <c r="B946" s="7">
        <v>46211</v>
      </c>
      <c r="C946" s="8">
        <v>0.70797453703703705</v>
      </c>
      <c r="D946" t="s">
        <v>17</v>
      </c>
      <c r="E946" t="s">
        <v>2</v>
      </c>
      <c r="F946" t="s">
        <v>50</v>
      </c>
      <c r="G946" t="s">
        <v>100</v>
      </c>
      <c r="H946">
        <v>13.97</v>
      </c>
      <c r="I946" t="s">
        <v>52</v>
      </c>
      <c r="J946" t="s">
        <v>114</v>
      </c>
      <c r="K946" t="s">
        <v>54</v>
      </c>
      <c r="L946" t="s">
        <v>102</v>
      </c>
      <c r="O946" t="s">
        <v>103</v>
      </c>
      <c r="P946" t="s">
        <v>104</v>
      </c>
      <c r="Q946">
        <v>26885.24</v>
      </c>
      <c r="R946">
        <v>-13.97</v>
      </c>
      <c r="S946" t="s">
        <v>2895</v>
      </c>
      <c r="T946" t="s">
        <v>2896</v>
      </c>
      <c r="U946" t="s">
        <v>2897</v>
      </c>
    </row>
    <row r="947" spans="1:21">
      <c r="A947" t="s">
        <v>2009</v>
      </c>
      <c r="B947" s="7">
        <v>46211</v>
      </c>
      <c r="C947" s="8">
        <v>0.75562499999999999</v>
      </c>
      <c r="D947" t="s">
        <v>17</v>
      </c>
      <c r="E947" t="s">
        <v>2</v>
      </c>
      <c r="F947" t="s">
        <v>50</v>
      </c>
      <c r="G947" t="s">
        <v>51</v>
      </c>
      <c r="H947">
        <v>33.49</v>
      </c>
      <c r="I947" t="s">
        <v>52</v>
      </c>
      <c r="J947" t="s">
        <v>60</v>
      </c>
      <c r="K947" t="s">
        <v>54</v>
      </c>
      <c r="L947" t="s">
        <v>55</v>
      </c>
      <c r="O947" t="s">
        <v>61</v>
      </c>
      <c r="P947" t="s">
        <v>62</v>
      </c>
      <c r="Q947">
        <v>26851.75</v>
      </c>
      <c r="R947">
        <v>-33.49</v>
      </c>
      <c r="S947" t="s">
        <v>2895</v>
      </c>
      <c r="T947" t="s">
        <v>2896</v>
      </c>
      <c r="U947" t="s">
        <v>2897</v>
      </c>
    </row>
    <row r="948" spans="1:21">
      <c r="A948" t="s">
        <v>2011</v>
      </c>
      <c r="B948" s="7">
        <v>46211</v>
      </c>
      <c r="C948" s="8">
        <v>0.82788194444444441</v>
      </c>
      <c r="D948" t="s">
        <v>17</v>
      </c>
      <c r="E948" t="s">
        <v>2</v>
      </c>
      <c r="F948" t="s">
        <v>149</v>
      </c>
      <c r="G948" t="s">
        <v>72</v>
      </c>
      <c r="H948">
        <v>100.7</v>
      </c>
      <c r="I948" t="s">
        <v>52</v>
      </c>
      <c r="J948" t="s">
        <v>606</v>
      </c>
      <c r="K948" t="s">
        <v>54</v>
      </c>
      <c r="L948" t="s">
        <v>74</v>
      </c>
      <c r="O948" t="s">
        <v>75</v>
      </c>
      <c r="P948" t="s">
        <v>76</v>
      </c>
      <c r="Q948">
        <v>26952.45</v>
      </c>
      <c r="R948">
        <v>100.7</v>
      </c>
      <c r="S948" t="s">
        <v>2895</v>
      </c>
      <c r="T948" t="s">
        <v>2896</v>
      </c>
      <c r="U948" t="s">
        <v>2897</v>
      </c>
    </row>
    <row r="949" spans="1:21">
      <c r="A949" t="s">
        <v>2013</v>
      </c>
      <c r="B949" s="7">
        <v>46212</v>
      </c>
      <c r="C949" s="8">
        <v>0.29015046296296299</v>
      </c>
      <c r="D949" t="s">
        <v>17</v>
      </c>
      <c r="E949" t="s">
        <v>2</v>
      </c>
      <c r="F949" t="s">
        <v>50</v>
      </c>
      <c r="G949" t="s">
        <v>51</v>
      </c>
      <c r="H949">
        <v>44.08</v>
      </c>
      <c r="I949" t="s">
        <v>52</v>
      </c>
      <c r="J949" t="s">
        <v>126</v>
      </c>
      <c r="K949" t="s">
        <v>54</v>
      </c>
      <c r="L949" t="s">
        <v>55</v>
      </c>
      <c r="O949" t="s">
        <v>56</v>
      </c>
      <c r="P949" t="s">
        <v>57</v>
      </c>
      <c r="Q949">
        <v>26875.82</v>
      </c>
      <c r="R949">
        <v>-44.08</v>
      </c>
      <c r="S949" t="s">
        <v>2895</v>
      </c>
      <c r="T949" t="s">
        <v>2896</v>
      </c>
      <c r="U949" t="s">
        <v>2897</v>
      </c>
    </row>
    <row r="950" spans="1:21">
      <c r="A950" t="s">
        <v>2015</v>
      </c>
      <c r="B950" s="7">
        <v>46212</v>
      </c>
      <c r="C950" s="8">
        <v>0.31456018518518519</v>
      </c>
      <c r="D950" t="s">
        <v>17</v>
      </c>
      <c r="E950" t="s">
        <v>2</v>
      </c>
      <c r="F950" t="s">
        <v>149</v>
      </c>
      <c r="G950" t="s">
        <v>1969</v>
      </c>
      <c r="H950">
        <v>9150</v>
      </c>
      <c r="I950" t="s">
        <v>52</v>
      </c>
      <c r="J950" t="s">
        <v>1969</v>
      </c>
      <c r="K950" t="s">
        <v>54</v>
      </c>
      <c r="L950" t="s">
        <v>1970</v>
      </c>
      <c r="M950" t="s">
        <v>2017</v>
      </c>
      <c r="N950" t="s">
        <v>12</v>
      </c>
      <c r="O950" t="s">
        <v>92</v>
      </c>
      <c r="P950" t="s">
        <v>1971</v>
      </c>
      <c r="Q950">
        <v>66438.61</v>
      </c>
      <c r="R950">
        <v>9150</v>
      </c>
      <c r="S950" t="s">
        <v>2895</v>
      </c>
      <c r="T950" t="s">
        <v>92</v>
      </c>
      <c r="U950" t="s">
        <v>2899</v>
      </c>
    </row>
    <row r="951" spans="1:21">
      <c r="A951" t="s">
        <v>2018</v>
      </c>
      <c r="B951" s="7">
        <v>46212</v>
      </c>
      <c r="C951" s="8">
        <v>0.33113425925925927</v>
      </c>
      <c r="D951" t="s">
        <v>17</v>
      </c>
      <c r="E951" t="s">
        <v>2</v>
      </c>
      <c r="F951" t="s">
        <v>50</v>
      </c>
      <c r="G951" t="s">
        <v>100</v>
      </c>
      <c r="H951">
        <v>15</v>
      </c>
      <c r="I951" t="s">
        <v>52</v>
      </c>
      <c r="J951" t="s">
        <v>101</v>
      </c>
      <c r="K951" t="s">
        <v>54</v>
      </c>
      <c r="L951" t="s">
        <v>102</v>
      </c>
      <c r="O951" t="s">
        <v>103</v>
      </c>
      <c r="P951" t="s">
        <v>104</v>
      </c>
      <c r="Q951">
        <v>26937.45</v>
      </c>
      <c r="R951">
        <v>-15</v>
      </c>
      <c r="S951" t="s">
        <v>2895</v>
      </c>
      <c r="T951" t="s">
        <v>2896</v>
      </c>
      <c r="U951" t="s">
        <v>2897</v>
      </c>
    </row>
    <row r="952" spans="1:21">
      <c r="A952" t="s">
        <v>2020</v>
      </c>
      <c r="B952" s="7">
        <v>46212</v>
      </c>
      <c r="C952" s="8">
        <v>0.37881944444444443</v>
      </c>
      <c r="D952" t="s">
        <v>17</v>
      </c>
      <c r="E952" t="s">
        <v>2</v>
      </c>
      <c r="F952" t="s">
        <v>50</v>
      </c>
      <c r="G952" t="s">
        <v>100</v>
      </c>
      <c r="H952">
        <v>17.55</v>
      </c>
      <c r="I952" t="s">
        <v>52</v>
      </c>
      <c r="J952" t="s">
        <v>114</v>
      </c>
      <c r="K952" t="s">
        <v>54</v>
      </c>
      <c r="L952" t="s">
        <v>102</v>
      </c>
      <c r="O952" t="s">
        <v>103</v>
      </c>
      <c r="P952" t="s">
        <v>104</v>
      </c>
      <c r="Q952">
        <v>26919.9</v>
      </c>
      <c r="R952">
        <v>-17.55</v>
      </c>
      <c r="S952" t="s">
        <v>2895</v>
      </c>
      <c r="T952" t="s">
        <v>2896</v>
      </c>
      <c r="U952" t="s">
        <v>2897</v>
      </c>
    </row>
    <row r="953" spans="1:21">
      <c r="A953" t="s">
        <v>2022</v>
      </c>
      <c r="B953" s="7">
        <v>46212</v>
      </c>
      <c r="C953" s="8">
        <v>0.39384259259259258</v>
      </c>
      <c r="D953" t="s">
        <v>17</v>
      </c>
      <c r="E953" t="s">
        <v>2</v>
      </c>
      <c r="F953" t="s">
        <v>50</v>
      </c>
      <c r="G953" t="s">
        <v>51</v>
      </c>
      <c r="H953">
        <v>9.66</v>
      </c>
      <c r="I953" t="s">
        <v>52</v>
      </c>
      <c r="J953" t="s">
        <v>121</v>
      </c>
      <c r="K953" t="s">
        <v>54</v>
      </c>
      <c r="L953" t="s">
        <v>55</v>
      </c>
      <c r="O953" t="s">
        <v>122</v>
      </c>
      <c r="P953" t="s">
        <v>123</v>
      </c>
      <c r="Q953">
        <v>26836.81</v>
      </c>
      <c r="R953">
        <v>-9.66</v>
      </c>
      <c r="S953" t="s">
        <v>2895</v>
      </c>
      <c r="T953" t="s">
        <v>2896</v>
      </c>
      <c r="U953" t="s">
        <v>2897</v>
      </c>
    </row>
    <row r="954" spans="1:21">
      <c r="A954" t="s">
        <v>2023</v>
      </c>
      <c r="B954" s="7">
        <v>46212</v>
      </c>
      <c r="C954" s="8">
        <v>0.65203703703703708</v>
      </c>
      <c r="D954" t="s">
        <v>17</v>
      </c>
      <c r="E954" t="s">
        <v>2</v>
      </c>
      <c r="F954" t="s">
        <v>50</v>
      </c>
      <c r="G954" t="s">
        <v>72</v>
      </c>
      <c r="H954">
        <v>157.44999999999999</v>
      </c>
      <c r="I954" t="s">
        <v>52</v>
      </c>
      <c r="J954" t="s">
        <v>316</v>
      </c>
      <c r="K954" t="s">
        <v>54</v>
      </c>
      <c r="L954" t="s">
        <v>74</v>
      </c>
      <c r="O954" t="s">
        <v>75</v>
      </c>
      <c r="P954" t="s">
        <v>76</v>
      </c>
      <c r="Q954">
        <v>26679.360000000001</v>
      </c>
      <c r="R954">
        <v>-157.44999999999999</v>
      </c>
      <c r="S954" t="s">
        <v>2895</v>
      </c>
      <c r="T954" t="s">
        <v>2896</v>
      </c>
      <c r="U954" t="s">
        <v>2897</v>
      </c>
    </row>
    <row r="955" spans="1:21">
      <c r="A955" t="s">
        <v>2025</v>
      </c>
      <c r="B955" s="7">
        <v>46212</v>
      </c>
      <c r="C955" s="8">
        <v>0.74655092592592598</v>
      </c>
      <c r="D955" t="s">
        <v>17</v>
      </c>
      <c r="E955" t="s">
        <v>2</v>
      </c>
      <c r="F955" t="s">
        <v>50</v>
      </c>
      <c r="G955" t="s">
        <v>51</v>
      </c>
      <c r="H955">
        <v>12.92</v>
      </c>
      <c r="I955" t="s">
        <v>52</v>
      </c>
      <c r="J955" t="s">
        <v>121</v>
      </c>
      <c r="K955" t="s">
        <v>54</v>
      </c>
      <c r="L955" t="s">
        <v>55</v>
      </c>
      <c r="O955" t="s">
        <v>122</v>
      </c>
      <c r="P955" t="s">
        <v>123</v>
      </c>
      <c r="Q955">
        <v>26862.9</v>
      </c>
      <c r="R955">
        <v>-12.92</v>
      </c>
      <c r="S955" t="s">
        <v>2895</v>
      </c>
      <c r="T955" t="s">
        <v>2896</v>
      </c>
      <c r="U955" t="s">
        <v>2897</v>
      </c>
    </row>
    <row r="956" spans="1:21">
      <c r="A956" t="s">
        <v>2027</v>
      </c>
      <c r="B956" s="7">
        <v>46212</v>
      </c>
      <c r="C956" s="8">
        <v>0.91028935185185189</v>
      </c>
      <c r="D956" t="s">
        <v>17</v>
      </c>
      <c r="E956" t="s">
        <v>2</v>
      </c>
      <c r="F956" t="s">
        <v>50</v>
      </c>
      <c r="G956" t="s">
        <v>100</v>
      </c>
      <c r="H956">
        <v>16.43</v>
      </c>
      <c r="I956" t="s">
        <v>52</v>
      </c>
      <c r="J956" t="s">
        <v>114</v>
      </c>
      <c r="K956" t="s">
        <v>54</v>
      </c>
      <c r="L956" t="s">
        <v>102</v>
      </c>
      <c r="O956" t="s">
        <v>103</v>
      </c>
      <c r="P956" t="s">
        <v>104</v>
      </c>
      <c r="Q956">
        <v>26846.47</v>
      </c>
      <c r="R956">
        <v>-16.43</v>
      </c>
      <c r="S956" t="s">
        <v>2895</v>
      </c>
      <c r="T956" t="s">
        <v>2896</v>
      </c>
      <c r="U956" t="s">
        <v>2897</v>
      </c>
    </row>
    <row r="957" spans="1:21">
      <c r="A957" t="s">
        <v>2029</v>
      </c>
      <c r="B957" s="7">
        <v>46213</v>
      </c>
      <c r="C957" s="8">
        <v>0.27538194444444447</v>
      </c>
      <c r="D957" t="s">
        <v>17</v>
      </c>
      <c r="E957" t="s">
        <v>2</v>
      </c>
      <c r="F957" t="s">
        <v>50</v>
      </c>
      <c r="G957" t="s">
        <v>51</v>
      </c>
      <c r="H957">
        <v>12.97</v>
      </c>
      <c r="I957" t="s">
        <v>52</v>
      </c>
      <c r="J957" t="s">
        <v>196</v>
      </c>
      <c r="K957" t="s">
        <v>54</v>
      </c>
      <c r="L957" t="s">
        <v>55</v>
      </c>
      <c r="O957" t="s">
        <v>197</v>
      </c>
      <c r="P957" t="s">
        <v>198</v>
      </c>
      <c r="Q957">
        <v>26666.39</v>
      </c>
      <c r="R957">
        <v>-12.97</v>
      </c>
      <c r="S957" t="s">
        <v>2895</v>
      </c>
      <c r="T957" t="s">
        <v>2896</v>
      </c>
      <c r="U957" t="s">
        <v>2897</v>
      </c>
    </row>
    <row r="958" spans="1:21">
      <c r="A958" t="s">
        <v>2031</v>
      </c>
      <c r="B958" s="7">
        <v>46213</v>
      </c>
      <c r="C958" s="8">
        <v>0.38156250000000003</v>
      </c>
      <c r="D958" t="s">
        <v>17</v>
      </c>
      <c r="E958" t="s">
        <v>2</v>
      </c>
      <c r="F958" t="s">
        <v>50</v>
      </c>
      <c r="G958" t="s">
        <v>51</v>
      </c>
      <c r="H958">
        <v>29.26</v>
      </c>
      <c r="I958" t="s">
        <v>52</v>
      </c>
      <c r="J958" t="s">
        <v>81</v>
      </c>
      <c r="K958" t="s">
        <v>54</v>
      </c>
      <c r="L958" t="s">
        <v>55</v>
      </c>
      <c r="O958" t="s">
        <v>82</v>
      </c>
      <c r="P958" t="s">
        <v>83</v>
      </c>
      <c r="Q958">
        <v>26589.14</v>
      </c>
      <c r="R958">
        <v>-29.26</v>
      </c>
      <c r="S958" t="s">
        <v>2895</v>
      </c>
      <c r="T958" t="s">
        <v>2896</v>
      </c>
      <c r="U958" t="s">
        <v>2897</v>
      </c>
    </row>
    <row r="959" spans="1:21">
      <c r="A959" t="s">
        <v>2033</v>
      </c>
      <c r="B959" s="7">
        <v>46213</v>
      </c>
      <c r="C959" s="8">
        <v>0.40780092592592593</v>
      </c>
      <c r="D959" t="s">
        <v>17</v>
      </c>
      <c r="E959" t="s">
        <v>2</v>
      </c>
      <c r="F959" t="s">
        <v>50</v>
      </c>
      <c r="G959" t="s">
        <v>72</v>
      </c>
      <c r="H959">
        <v>42.09</v>
      </c>
      <c r="I959" t="s">
        <v>52</v>
      </c>
      <c r="J959" t="s">
        <v>611</v>
      </c>
      <c r="K959" t="s">
        <v>54</v>
      </c>
      <c r="L959" t="s">
        <v>74</v>
      </c>
      <c r="O959" t="s">
        <v>75</v>
      </c>
      <c r="P959" t="s">
        <v>76</v>
      </c>
      <c r="Q959">
        <v>26489.69</v>
      </c>
      <c r="R959">
        <v>-42.09</v>
      </c>
      <c r="S959" t="s">
        <v>2895</v>
      </c>
      <c r="T959" t="s">
        <v>2896</v>
      </c>
      <c r="U959" t="s">
        <v>2897</v>
      </c>
    </row>
    <row r="960" spans="1:21">
      <c r="A960" t="s">
        <v>2035</v>
      </c>
      <c r="B960" s="7">
        <v>46213</v>
      </c>
      <c r="C960" s="8">
        <v>0.50579861111111113</v>
      </c>
      <c r="D960" t="s">
        <v>17</v>
      </c>
      <c r="E960" t="s">
        <v>2</v>
      </c>
      <c r="F960" t="s">
        <v>50</v>
      </c>
      <c r="G960" t="s">
        <v>1816</v>
      </c>
      <c r="H960">
        <v>7600</v>
      </c>
      <c r="I960" t="s">
        <v>52</v>
      </c>
      <c r="J960" t="s">
        <v>1984</v>
      </c>
      <c r="K960" t="s">
        <v>1985</v>
      </c>
      <c r="L960" t="s">
        <v>1819</v>
      </c>
      <c r="O960" t="s">
        <v>1820</v>
      </c>
      <c r="P960" t="s">
        <v>1821</v>
      </c>
      <c r="Q960">
        <v>89363.61</v>
      </c>
      <c r="R960">
        <v>-7600</v>
      </c>
      <c r="S960" t="s">
        <v>2895</v>
      </c>
      <c r="T960" t="s">
        <v>2896</v>
      </c>
      <c r="U960" t="s">
        <v>2897</v>
      </c>
    </row>
    <row r="961" spans="1:21">
      <c r="A961" t="s">
        <v>2037</v>
      </c>
      <c r="B961" s="7">
        <v>46213</v>
      </c>
      <c r="C961" s="8">
        <v>0.5969444444444445</v>
      </c>
      <c r="D961" t="s">
        <v>17</v>
      </c>
      <c r="E961" t="s">
        <v>2</v>
      </c>
      <c r="F961" t="s">
        <v>50</v>
      </c>
      <c r="G961" t="s">
        <v>100</v>
      </c>
      <c r="H961">
        <v>18.32</v>
      </c>
      <c r="I961" t="s">
        <v>52</v>
      </c>
      <c r="J961" t="s">
        <v>114</v>
      </c>
      <c r="K961" t="s">
        <v>54</v>
      </c>
      <c r="L961" t="s">
        <v>102</v>
      </c>
      <c r="O961" t="s">
        <v>103</v>
      </c>
      <c r="P961" t="s">
        <v>104</v>
      </c>
      <c r="Q961">
        <v>26531.78</v>
      </c>
      <c r="R961">
        <v>-18.32</v>
      </c>
      <c r="S961" t="s">
        <v>2895</v>
      </c>
      <c r="T961" t="s">
        <v>2896</v>
      </c>
      <c r="U961" t="s">
        <v>2897</v>
      </c>
    </row>
    <row r="962" spans="1:21">
      <c r="A962" t="s">
        <v>2039</v>
      </c>
      <c r="B962" s="7">
        <v>46213</v>
      </c>
      <c r="C962" s="8">
        <v>0.77862268518518518</v>
      </c>
      <c r="D962" t="s">
        <v>17</v>
      </c>
      <c r="E962" t="s">
        <v>2</v>
      </c>
      <c r="F962" t="s">
        <v>50</v>
      </c>
      <c r="G962" t="s">
        <v>51</v>
      </c>
      <c r="H962">
        <v>47.99</v>
      </c>
      <c r="I962" t="s">
        <v>52</v>
      </c>
      <c r="J962" t="s">
        <v>60</v>
      </c>
      <c r="K962" t="s">
        <v>54</v>
      </c>
      <c r="L962" t="s">
        <v>55</v>
      </c>
      <c r="O962" t="s">
        <v>61</v>
      </c>
      <c r="P962" t="s">
        <v>62</v>
      </c>
      <c r="Q962">
        <v>26618.400000000001</v>
      </c>
      <c r="R962">
        <v>-47.99</v>
      </c>
      <c r="S962" t="s">
        <v>2895</v>
      </c>
      <c r="T962" t="s">
        <v>2896</v>
      </c>
      <c r="U962" t="s">
        <v>2897</v>
      </c>
    </row>
    <row r="963" spans="1:21">
      <c r="A963" t="s">
        <v>2041</v>
      </c>
      <c r="B963" s="7">
        <v>46213</v>
      </c>
      <c r="C963" s="8">
        <v>0.78348379629629628</v>
      </c>
      <c r="D963" t="s">
        <v>17</v>
      </c>
      <c r="E963" t="s">
        <v>2</v>
      </c>
      <c r="F963" t="s">
        <v>50</v>
      </c>
      <c r="G963" t="s">
        <v>51</v>
      </c>
      <c r="H963">
        <v>17.89</v>
      </c>
      <c r="I963" t="s">
        <v>52</v>
      </c>
      <c r="J963" t="s">
        <v>53</v>
      </c>
      <c r="K963" t="s">
        <v>54</v>
      </c>
      <c r="L963" t="s">
        <v>55</v>
      </c>
      <c r="O963" t="s">
        <v>56</v>
      </c>
      <c r="P963" t="s">
        <v>57</v>
      </c>
      <c r="Q963">
        <v>26563.59</v>
      </c>
      <c r="R963">
        <v>-17.89</v>
      </c>
      <c r="S963" t="s">
        <v>2895</v>
      </c>
      <c r="T963" t="s">
        <v>2896</v>
      </c>
      <c r="U963" t="s">
        <v>2897</v>
      </c>
    </row>
    <row r="964" spans="1:21">
      <c r="A964" t="s">
        <v>2043</v>
      </c>
      <c r="B964" s="7">
        <v>46213</v>
      </c>
      <c r="C964" s="8">
        <v>0.81693287037037032</v>
      </c>
      <c r="D964" t="s">
        <v>17</v>
      </c>
      <c r="E964" t="s">
        <v>2</v>
      </c>
      <c r="F964" t="s">
        <v>50</v>
      </c>
      <c r="G964" t="s">
        <v>51</v>
      </c>
      <c r="H964">
        <v>7.66</v>
      </c>
      <c r="I964" t="s">
        <v>52</v>
      </c>
      <c r="J964" t="s">
        <v>53</v>
      </c>
      <c r="K964" t="s">
        <v>54</v>
      </c>
      <c r="L964" t="s">
        <v>55</v>
      </c>
      <c r="O964" t="s">
        <v>56</v>
      </c>
      <c r="P964" t="s">
        <v>57</v>
      </c>
      <c r="Q964">
        <v>26581.48</v>
      </c>
      <c r="R964">
        <v>-7.66</v>
      </c>
      <c r="S964" t="s">
        <v>2895</v>
      </c>
      <c r="T964" t="s">
        <v>2896</v>
      </c>
      <c r="U964" t="s">
        <v>2897</v>
      </c>
    </row>
    <row r="965" spans="1:21">
      <c r="A965" t="s">
        <v>2045</v>
      </c>
      <c r="B965" s="7">
        <v>46213</v>
      </c>
      <c r="C965" s="8">
        <v>0.88290509259259264</v>
      </c>
      <c r="D965" t="s">
        <v>17</v>
      </c>
      <c r="E965" t="s">
        <v>2</v>
      </c>
      <c r="F965" t="s">
        <v>50</v>
      </c>
      <c r="G965" t="s">
        <v>51</v>
      </c>
      <c r="H965">
        <v>13.49</v>
      </c>
      <c r="I965" t="s">
        <v>52</v>
      </c>
      <c r="J965" t="s">
        <v>121</v>
      </c>
      <c r="K965" t="s">
        <v>54</v>
      </c>
      <c r="L965" t="s">
        <v>55</v>
      </c>
      <c r="O965" t="s">
        <v>122</v>
      </c>
      <c r="P965" t="s">
        <v>123</v>
      </c>
      <c r="Q965">
        <v>26550.1</v>
      </c>
      <c r="R965">
        <v>-13.49</v>
      </c>
      <c r="S965" t="s">
        <v>2895</v>
      </c>
      <c r="T965" t="s">
        <v>2896</v>
      </c>
      <c r="U965" t="s">
        <v>2897</v>
      </c>
    </row>
    <row r="966" spans="1:21">
      <c r="A966" t="s">
        <v>2047</v>
      </c>
      <c r="B966" s="7">
        <v>46214</v>
      </c>
      <c r="C966" s="8">
        <v>0.29888888888888887</v>
      </c>
      <c r="D966" t="s">
        <v>17</v>
      </c>
      <c r="E966" t="s">
        <v>2</v>
      </c>
      <c r="F966" t="s">
        <v>50</v>
      </c>
      <c r="G966" t="s">
        <v>100</v>
      </c>
      <c r="H966">
        <v>19.21</v>
      </c>
      <c r="I966" t="s">
        <v>52</v>
      </c>
      <c r="J966" t="s">
        <v>114</v>
      </c>
      <c r="K966" t="s">
        <v>54</v>
      </c>
      <c r="L966" t="s">
        <v>102</v>
      </c>
      <c r="O966" t="s">
        <v>103</v>
      </c>
      <c r="P966" t="s">
        <v>104</v>
      </c>
      <c r="Q966">
        <v>26437.759999999998</v>
      </c>
      <c r="R966">
        <v>-19.21</v>
      </c>
      <c r="S966" t="s">
        <v>2895</v>
      </c>
      <c r="T966" t="s">
        <v>2896</v>
      </c>
      <c r="U966" t="s">
        <v>2897</v>
      </c>
    </row>
    <row r="967" spans="1:21">
      <c r="A967" t="s">
        <v>2049</v>
      </c>
      <c r="B967" s="7">
        <v>46214</v>
      </c>
      <c r="C967" s="8">
        <v>0.32629629629629631</v>
      </c>
      <c r="D967" t="s">
        <v>17</v>
      </c>
      <c r="E967" t="s">
        <v>2</v>
      </c>
      <c r="F967" t="s">
        <v>50</v>
      </c>
      <c r="G967" t="s">
        <v>100</v>
      </c>
      <c r="H967">
        <v>14.3</v>
      </c>
      <c r="I967" t="s">
        <v>52</v>
      </c>
      <c r="J967" t="s">
        <v>114</v>
      </c>
      <c r="K967" t="s">
        <v>54</v>
      </c>
      <c r="L967" t="s">
        <v>102</v>
      </c>
      <c r="O967" t="s">
        <v>103</v>
      </c>
      <c r="P967" t="s">
        <v>104</v>
      </c>
      <c r="Q967">
        <v>26246.19</v>
      </c>
      <c r="R967">
        <v>-14.3</v>
      </c>
      <c r="S967" t="s">
        <v>2895</v>
      </c>
      <c r="T967" t="s">
        <v>2896</v>
      </c>
      <c r="U967" t="s">
        <v>2897</v>
      </c>
    </row>
    <row r="968" spans="1:21">
      <c r="A968" t="s">
        <v>2051</v>
      </c>
      <c r="B968" s="7">
        <v>46214</v>
      </c>
      <c r="C968" s="8">
        <v>0.43818287037037035</v>
      </c>
      <c r="D968" t="s">
        <v>17</v>
      </c>
      <c r="E968" t="s">
        <v>2</v>
      </c>
      <c r="F968" t="s">
        <v>50</v>
      </c>
      <c r="G968" t="s">
        <v>51</v>
      </c>
      <c r="H968">
        <v>120.15</v>
      </c>
      <c r="I968" t="s">
        <v>52</v>
      </c>
      <c r="J968" t="s">
        <v>65</v>
      </c>
      <c r="K968" t="s">
        <v>54</v>
      </c>
      <c r="L968" t="s">
        <v>55</v>
      </c>
      <c r="O968" t="s">
        <v>66</v>
      </c>
      <c r="P968" t="s">
        <v>67</v>
      </c>
      <c r="Q968">
        <v>26317.61</v>
      </c>
      <c r="R968">
        <v>-120.15</v>
      </c>
      <c r="S968" t="s">
        <v>2895</v>
      </c>
      <c r="T968" t="s">
        <v>2896</v>
      </c>
      <c r="U968" t="s">
        <v>2897</v>
      </c>
    </row>
    <row r="969" spans="1:21">
      <c r="A969" t="s">
        <v>2053</v>
      </c>
      <c r="B969" s="7">
        <v>46214</v>
      </c>
      <c r="C969" s="8">
        <v>0.59332175925925923</v>
      </c>
      <c r="D969" t="s">
        <v>17</v>
      </c>
      <c r="E969" t="s">
        <v>2</v>
      </c>
      <c r="F969" t="s">
        <v>50</v>
      </c>
      <c r="G969" t="s">
        <v>51</v>
      </c>
      <c r="H969">
        <v>4.67</v>
      </c>
      <c r="I969" t="s">
        <v>52</v>
      </c>
      <c r="J969" t="s">
        <v>121</v>
      </c>
      <c r="K969" t="s">
        <v>54</v>
      </c>
      <c r="L969" t="s">
        <v>55</v>
      </c>
      <c r="O969" t="s">
        <v>122</v>
      </c>
      <c r="P969" t="s">
        <v>123</v>
      </c>
      <c r="Q969">
        <v>26312.94</v>
      </c>
      <c r="R969">
        <v>-4.67</v>
      </c>
      <c r="S969" t="s">
        <v>2895</v>
      </c>
      <c r="T969" t="s">
        <v>2896</v>
      </c>
      <c r="U969" t="s">
        <v>2897</v>
      </c>
    </row>
    <row r="970" spans="1:21">
      <c r="A970" t="s">
        <v>2055</v>
      </c>
      <c r="B970" s="7">
        <v>46214</v>
      </c>
      <c r="C970" s="8">
        <v>0.74725694444444446</v>
      </c>
      <c r="D970" t="s">
        <v>17</v>
      </c>
      <c r="E970" t="s">
        <v>2</v>
      </c>
      <c r="F970" t="s">
        <v>149</v>
      </c>
      <c r="G970" t="s">
        <v>1969</v>
      </c>
      <c r="H970">
        <v>9890</v>
      </c>
      <c r="I970" t="s">
        <v>52</v>
      </c>
      <c r="J970" t="s">
        <v>1969</v>
      </c>
      <c r="K970" t="s">
        <v>54</v>
      </c>
      <c r="L970" t="s">
        <v>1970</v>
      </c>
      <c r="M970" t="s">
        <v>2057</v>
      </c>
      <c r="N970" t="s">
        <v>12</v>
      </c>
      <c r="O970" t="s">
        <v>92</v>
      </c>
      <c r="P970" t="s">
        <v>1971</v>
      </c>
      <c r="Q970">
        <v>76328.61</v>
      </c>
      <c r="R970">
        <v>9890</v>
      </c>
      <c r="S970" t="s">
        <v>2895</v>
      </c>
      <c r="T970" t="s">
        <v>92</v>
      </c>
      <c r="U970" t="s">
        <v>2899</v>
      </c>
    </row>
    <row r="971" spans="1:21">
      <c r="A971" t="s">
        <v>2058</v>
      </c>
      <c r="B971" s="7">
        <v>46214</v>
      </c>
      <c r="C971" s="8">
        <v>0.7849652777777778</v>
      </c>
      <c r="D971" t="s">
        <v>17</v>
      </c>
      <c r="E971" t="s">
        <v>2</v>
      </c>
      <c r="F971" t="s">
        <v>50</v>
      </c>
      <c r="G971" t="s">
        <v>51</v>
      </c>
      <c r="H971">
        <v>32.72</v>
      </c>
      <c r="I971" t="s">
        <v>52</v>
      </c>
      <c r="J971" t="s">
        <v>60</v>
      </c>
      <c r="K971" t="s">
        <v>54</v>
      </c>
      <c r="L971" t="s">
        <v>55</v>
      </c>
      <c r="O971" t="s">
        <v>61</v>
      </c>
      <c r="P971" t="s">
        <v>62</v>
      </c>
      <c r="Q971">
        <v>26456.97</v>
      </c>
      <c r="R971">
        <v>-32.72</v>
      </c>
      <c r="S971" t="s">
        <v>2895</v>
      </c>
      <c r="T971" t="s">
        <v>2896</v>
      </c>
      <c r="U971" t="s">
        <v>2897</v>
      </c>
    </row>
    <row r="972" spans="1:21">
      <c r="A972" t="s">
        <v>2060</v>
      </c>
      <c r="B972" s="7">
        <v>46214</v>
      </c>
      <c r="C972" s="8">
        <v>0.79126157407407405</v>
      </c>
      <c r="D972" t="s">
        <v>17</v>
      </c>
      <c r="E972" t="s">
        <v>2</v>
      </c>
      <c r="F972" t="s">
        <v>50</v>
      </c>
      <c r="G972" t="s">
        <v>51</v>
      </c>
      <c r="H972">
        <v>52.45</v>
      </c>
      <c r="I972" t="s">
        <v>52</v>
      </c>
      <c r="J972" t="s">
        <v>60</v>
      </c>
      <c r="K972" t="s">
        <v>54</v>
      </c>
      <c r="L972" t="s">
        <v>55</v>
      </c>
      <c r="O972" t="s">
        <v>61</v>
      </c>
      <c r="P972" t="s">
        <v>62</v>
      </c>
      <c r="Q972">
        <v>26260.49</v>
      </c>
      <c r="R972">
        <v>-52.45</v>
      </c>
      <c r="S972" t="s">
        <v>2895</v>
      </c>
      <c r="T972" t="s">
        <v>2896</v>
      </c>
      <c r="U972" t="s">
        <v>2897</v>
      </c>
    </row>
    <row r="973" spans="1:21">
      <c r="A973" t="s">
        <v>2062</v>
      </c>
      <c r="B973" s="7">
        <v>46214</v>
      </c>
      <c r="C973" s="8">
        <v>0.92930555555555561</v>
      </c>
      <c r="D973" t="s">
        <v>17</v>
      </c>
      <c r="E973" t="s">
        <v>2</v>
      </c>
      <c r="F973" t="s">
        <v>50</v>
      </c>
      <c r="G973" t="s">
        <v>72</v>
      </c>
      <c r="H973">
        <v>52.27</v>
      </c>
      <c r="I973" t="s">
        <v>52</v>
      </c>
      <c r="J973" t="s">
        <v>73</v>
      </c>
      <c r="K973" t="s">
        <v>54</v>
      </c>
      <c r="L973" t="s">
        <v>74</v>
      </c>
      <c r="O973" t="s">
        <v>75</v>
      </c>
      <c r="P973" t="s">
        <v>76</v>
      </c>
      <c r="Q973">
        <v>26193.919999999998</v>
      </c>
      <c r="R973">
        <v>-52.27</v>
      </c>
      <c r="S973" t="s">
        <v>2895</v>
      </c>
      <c r="T973" t="s">
        <v>2896</v>
      </c>
      <c r="U973" t="s">
        <v>2897</v>
      </c>
    </row>
    <row r="974" spans="1:21">
      <c r="A974" t="s">
        <v>2064</v>
      </c>
      <c r="B974" s="7">
        <v>46214</v>
      </c>
      <c r="C974" s="8">
        <v>0.94009259259259259</v>
      </c>
      <c r="D974" t="s">
        <v>17</v>
      </c>
      <c r="E974" t="s">
        <v>2</v>
      </c>
      <c r="F974" t="s">
        <v>50</v>
      </c>
      <c r="G974" t="s">
        <v>88</v>
      </c>
      <c r="H974">
        <v>120</v>
      </c>
      <c r="I974" t="s">
        <v>52</v>
      </c>
      <c r="J974" t="s">
        <v>89</v>
      </c>
      <c r="K974" t="s">
        <v>54</v>
      </c>
      <c r="L974" t="s">
        <v>90</v>
      </c>
      <c r="M974" t="s">
        <v>91</v>
      </c>
      <c r="N974" t="s">
        <v>12</v>
      </c>
      <c r="O974" t="s">
        <v>92</v>
      </c>
      <c r="P974" t="s">
        <v>93</v>
      </c>
      <c r="Q974">
        <v>26073.919999999998</v>
      </c>
      <c r="R974">
        <v>-120</v>
      </c>
      <c r="S974" t="s">
        <v>2895</v>
      </c>
      <c r="T974" t="s">
        <v>2896</v>
      </c>
      <c r="U974" t="s">
        <v>2897</v>
      </c>
    </row>
    <row r="975" spans="1:21">
      <c r="A975" t="s">
        <v>2066</v>
      </c>
      <c r="B975" s="7">
        <v>46215</v>
      </c>
      <c r="C975" s="8">
        <v>0.34570601851851851</v>
      </c>
      <c r="D975" t="s">
        <v>17</v>
      </c>
      <c r="E975" t="s">
        <v>2</v>
      </c>
      <c r="F975" t="s">
        <v>50</v>
      </c>
      <c r="G975" t="s">
        <v>51</v>
      </c>
      <c r="H975">
        <v>141.91</v>
      </c>
      <c r="I975" t="s">
        <v>52</v>
      </c>
      <c r="J975" t="s">
        <v>65</v>
      </c>
      <c r="K975" t="s">
        <v>54</v>
      </c>
      <c r="L975" t="s">
        <v>55</v>
      </c>
      <c r="O975" t="s">
        <v>66</v>
      </c>
      <c r="P975" t="s">
        <v>67</v>
      </c>
      <c r="Q975">
        <v>25897.05</v>
      </c>
      <c r="R975">
        <v>-141.91</v>
      </c>
      <c r="S975" t="s">
        <v>2895</v>
      </c>
      <c r="T975" t="s">
        <v>2896</v>
      </c>
      <c r="U975" t="s">
        <v>2897</v>
      </c>
    </row>
    <row r="976" spans="1:21">
      <c r="A976" t="s">
        <v>2068</v>
      </c>
      <c r="B976" s="7">
        <v>46215</v>
      </c>
      <c r="C976" s="8">
        <v>0.37366898148148148</v>
      </c>
      <c r="D976" t="s">
        <v>17</v>
      </c>
      <c r="E976" t="s">
        <v>2</v>
      </c>
      <c r="F976" t="s">
        <v>50</v>
      </c>
      <c r="G976" t="s">
        <v>51</v>
      </c>
      <c r="H976">
        <v>104.16</v>
      </c>
      <c r="I976" t="s">
        <v>52</v>
      </c>
      <c r="J976" t="s">
        <v>196</v>
      </c>
      <c r="K976" t="s">
        <v>54</v>
      </c>
      <c r="L976" t="s">
        <v>55</v>
      </c>
      <c r="O976" t="s">
        <v>197</v>
      </c>
      <c r="P976" t="s">
        <v>198</v>
      </c>
      <c r="Q976">
        <v>25783.18</v>
      </c>
      <c r="R976">
        <v>-104.16</v>
      </c>
      <c r="S976" t="s">
        <v>2895</v>
      </c>
      <c r="T976" t="s">
        <v>2896</v>
      </c>
      <c r="U976" t="s">
        <v>2897</v>
      </c>
    </row>
    <row r="977" spans="1:21">
      <c r="A977" t="s">
        <v>2070</v>
      </c>
      <c r="B977" s="7">
        <v>46215</v>
      </c>
      <c r="C977" s="8">
        <v>0.39935185185185185</v>
      </c>
      <c r="D977" t="s">
        <v>17</v>
      </c>
      <c r="E977" t="s">
        <v>2</v>
      </c>
      <c r="F977" t="s">
        <v>50</v>
      </c>
      <c r="G977" t="s">
        <v>72</v>
      </c>
      <c r="H977">
        <v>85.14</v>
      </c>
      <c r="I977" t="s">
        <v>52</v>
      </c>
      <c r="J977" t="s">
        <v>150</v>
      </c>
      <c r="K977" t="s">
        <v>54</v>
      </c>
      <c r="L977" t="s">
        <v>74</v>
      </c>
      <c r="O977" t="s">
        <v>75</v>
      </c>
      <c r="P977" t="s">
        <v>76</v>
      </c>
      <c r="Q977">
        <v>25676.6</v>
      </c>
      <c r="R977">
        <v>-85.14</v>
      </c>
      <c r="S977" t="s">
        <v>2895</v>
      </c>
      <c r="T977" t="s">
        <v>2896</v>
      </c>
      <c r="U977" t="s">
        <v>2897</v>
      </c>
    </row>
    <row r="978" spans="1:21">
      <c r="A978" t="s">
        <v>2072</v>
      </c>
      <c r="B978" s="7">
        <v>46215</v>
      </c>
      <c r="C978" s="8">
        <v>0.52082175925925922</v>
      </c>
      <c r="D978" t="s">
        <v>17</v>
      </c>
      <c r="E978" t="s">
        <v>2</v>
      </c>
      <c r="F978" t="s">
        <v>50</v>
      </c>
      <c r="G978" t="s">
        <v>51</v>
      </c>
      <c r="H978">
        <v>7.17</v>
      </c>
      <c r="I978" t="s">
        <v>52</v>
      </c>
      <c r="J978" t="s">
        <v>53</v>
      </c>
      <c r="K978" t="s">
        <v>54</v>
      </c>
      <c r="L978" t="s">
        <v>55</v>
      </c>
      <c r="O978" t="s">
        <v>56</v>
      </c>
      <c r="P978" t="s">
        <v>57</v>
      </c>
      <c r="Q978">
        <v>25761.74</v>
      </c>
      <c r="R978">
        <v>-7.17</v>
      </c>
      <c r="S978" t="s">
        <v>2895</v>
      </c>
      <c r="T978" t="s">
        <v>2896</v>
      </c>
      <c r="U978" t="s">
        <v>2897</v>
      </c>
    </row>
    <row r="979" spans="1:21">
      <c r="A979" t="s">
        <v>2074</v>
      </c>
      <c r="B979" s="7">
        <v>46215</v>
      </c>
      <c r="C979" s="8">
        <v>0.71922453703703704</v>
      </c>
      <c r="D979" t="s">
        <v>17</v>
      </c>
      <c r="E979" t="s">
        <v>2</v>
      </c>
      <c r="F979" t="s">
        <v>50</v>
      </c>
      <c r="G979" t="s">
        <v>51</v>
      </c>
      <c r="H979">
        <v>34.96</v>
      </c>
      <c r="I979" t="s">
        <v>52</v>
      </c>
      <c r="J979" t="s">
        <v>126</v>
      </c>
      <c r="K979" t="s">
        <v>54</v>
      </c>
      <c r="L979" t="s">
        <v>55</v>
      </c>
      <c r="O979" t="s">
        <v>56</v>
      </c>
      <c r="P979" t="s">
        <v>57</v>
      </c>
      <c r="Q979">
        <v>26038.959999999999</v>
      </c>
      <c r="R979">
        <v>-34.96</v>
      </c>
      <c r="S979" t="s">
        <v>2895</v>
      </c>
      <c r="T979" t="s">
        <v>2896</v>
      </c>
      <c r="U979" t="s">
        <v>2897</v>
      </c>
    </row>
    <row r="980" spans="1:21">
      <c r="A980" t="s">
        <v>2076</v>
      </c>
      <c r="B980" s="7">
        <v>46215</v>
      </c>
      <c r="C980" s="8">
        <v>0.724212962962963</v>
      </c>
      <c r="D980" t="s">
        <v>17</v>
      </c>
      <c r="E980" t="s">
        <v>2</v>
      </c>
      <c r="F980" t="s">
        <v>50</v>
      </c>
      <c r="G980" t="s">
        <v>100</v>
      </c>
      <c r="H980">
        <v>14.27</v>
      </c>
      <c r="I980" t="s">
        <v>52</v>
      </c>
      <c r="J980" t="s">
        <v>114</v>
      </c>
      <c r="K980" t="s">
        <v>54</v>
      </c>
      <c r="L980" t="s">
        <v>102</v>
      </c>
      <c r="O980" t="s">
        <v>103</v>
      </c>
      <c r="P980" t="s">
        <v>104</v>
      </c>
      <c r="Q980">
        <v>25768.91</v>
      </c>
      <c r="R980">
        <v>-14.27</v>
      </c>
      <c r="S980" t="s">
        <v>2895</v>
      </c>
      <c r="T980" t="s">
        <v>2896</v>
      </c>
      <c r="U980" t="s">
        <v>2897</v>
      </c>
    </row>
    <row r="981" spans="1:21">
      <c r="A981" t="s">
        <v>2078</v>
      </c>
      <c r="B981" s="7">
        <v>46215</v>
      </c>
      <c r="C981" s="8">
        <v>0.76778935185185182</v>
      </c>
      <c r="D981" t="s">
        <v>17</v>
      </c>
      <c r="E981" t="s">
        <v>2</v>
      </c>
      <c r="F981" t="s">
        <v>50</v>
      </c>
      <c r="G981" t="s">
        <v>51</v>
      </c>
      <c r="H981">
        <v>9.7100000000000009</v>
      </c>
      <c r="I981" t="s">
        <v>52</v>
      </c>
      <c r="J981" t="s">
        <v>121</v>
      </c>
      <c r="K981" t="s">
        <v>54</v>
      </c>
      <c r="L981" t="s">
        <v>55</v>
      </c>
      <c r="O981" t="s">
        <v>122</v>
      </c>
      <c r="P981" t="s">
        <v>123</v>
      </c>
      <c r="Q981">
        <v>25887.34</v>
      </c>
      <c r="R981">
        <v>-9.7100000000000009</v>
      </c>
      <c r="S981" t="s">
        <v>2895</v>
      </c>
      <c r="T981" t="s">
        <v>2896</v>
      </c>
      <c r="U981" t="s">
        <v>2897</v>
      </c>
    </row>
    <row r="982" spans="1:21">
      <c r="A982" t="s">
        <v>2080</v>
      </c>
      <c r="B982" s="7">
        <v>46216</v>
      </c>
      <c r="C982" s="8">
        <v>0.27047453703703705</v>
      </c>
      <c r="D982" t="s">
        <v>17</v>
      </c>
      <c r="E982" t="s">
        <v>2</v>
      </c>
      <c r="F982" t="s">
        <v>50</v>
      </c>
      <c r="G982" t="s">
        <v>100</v>
      </c>
      <c r="H982">
        <v>85.03</v>
      </c>
      <c r="I982" t="s">
        <v>52</v>
      </c>
      <c r="J982" t="s">
        <v>244</v>
      </c>
      <c r="K982" t="s">
        <v>54</v>
      </c>
      <c r="L982" t="s">
        <v>102</v>
      </c>
      <c r="O982" t="s">
        <v>178</v>
      </c>
      <c r="P982" t="s">
        <v>245</v>
      </c>
      <c r="Q982">
        <v>40366</v>
      </c>
      <c r="R982">
        <v>-85.03</v>
      </c>
      <c r="S982" t="s">
        <v>2895</v>
      </c>
      <c r="T982" t="s">
        <v>2896</v>
      </c>
      <c r="U982" t="s">
        <v>2897</v>
      </c>
    </row>
    <row r="983" spans="1:21">
      <c r="A983" t="s">
        <v>2082</v>
      </c>
      <c r="B983" s="7">
        <v>46216</v>
      </c>
      <c r="C983" s="8">
        <v>0.35119212962962965</v>
      </c>
      <c r="D983" t="s">
        <v>17</v>
      </c>
      <c r="E983" t="s">
        <v>2</v>
      </c>
      <c r="F983" t="s">
        <v>50</v>
      </c>
      <c r="G983" t="s">
        <v>51</v>
      </c>
      <c r="H983">
        <v>7.48</v>
      </c>
      <c r="I983" t="s">
        <v>52</v>
      </c>
      <c r="J983" t="s">
        <v>53</v>
      </c>
      <c r="K983" t="s">
        <v>54</v>
      </c>
      <c r="L983" t="s">
        <v>55</v>
      </c>
      <c r="O983" t="s">
        <v>56</v>
      </c>
      <c r="P983" t="s">
        <v>57</v>
      </c>
      <c r="Q983">
        <v>25213.57</v>
      </c>
      <c r="R983">
        <v>-7.48</v>
      </c>
      <c r="S983" t="s">
        <v>2895</v>
      </c>
      <c r="T983" t="s">
        <v>2896</v>
      </c>
      <c r="U983" t="s">
        <v>2897</v>
      </c>
    </row>
    <row r="984" spans="1:21">
      <c r="A984" t="s">
        <v>2084</v>
      </c>
      <c r="B984" s="7">
        <v>46216</v>
      </c>
      <c r="C984" s="8">
        <v>0.39193287037037039</v>
      </c>
      <c r="D984" t="s">
        <v>17</v>
      </c>
      <c r="E984" t="s">
        <v>2</v>
      </c>
      <c r="F984" t="s">
        <v>149</v>
      </c>
      <c r="G984" t="s">
        <v>1969</v>
      </c>
      <c r="H984">
        <v>9360</v>
      </c>
      <c r="I984" t="s">
        <v>52</v>
      </c>
      <c r="J984" t="s">
        <v>1969</v>
      </c>
      <c r="K984" t="s">
        <v>54</v>
      </c>
      <c r="L984" t="s">
        <v>1970</v>
      </c>
      <c r="M984" t="s">
        <v>2086</v>
      </c>
      <c r="N984" t="s">
        <v>12</v>
      </c>
      <c r="O984" t="s">
        <v>92</v>
      </c>
      <c r="P984" t="s">
        <v>1971</v>
      </c>
      <c r="Q984">
        <v>85688.61</v>
      </c>
      <c r="R984">
        <v>9360</v>
      </c>
      <c r="S984" t="s">
        <v>2895</v>
      </c>
      <c r="T984" t="s">
        <v>92</v>
      </c>
      <c r="U984" t="s">
        <v>2899</v>
      </c>
    </row>
    <row r="985" spans="1:21">
      <c r="A985" t="s">
        <v>2087</v>
      </c>
      <c r="B985" s="7">
        <v>46216</v>
      </c>
      <c r="C985" s="8">
        <v>0.57731481481481484</v>
      </c>
      <c r="D985" t="s">
        <v>17</v>
      </c>
      <c r="E985" t="s">
        <v>2</v>
      </c>
      <c r="F985" t="s">
        <v>50</v>
      </c>
      <c r="G985" t="s">
        <v>51</v>
      </c>
      <c r="H985">
        <v>132.49</v>
      </c>
      <c r="I985" t="s">
        <v>52</v>
      </c>
      <c r="J985" t="s">
        <v>196</v>
      </c>
      <c r="K985" t="s">
        <v>54</v>
      </c>
      <c r="L985" t="s">
        <v>55</v>
      </c>
      <c r="O985" t="s">
        <v>197</v>
      </c>
      <c r="P985" t="s">
        <v>198</v>
      </c>
      <c r="Q985">
        <v>25242.2</v>
      </c>
      <c r="R985">
        <v>-132.49</v>
      </c>
      <c r="S985" t="s">
        <v>2895</v>
      </c>
      <c r="T985" t="s">
        <v>2896</v>
      </c>
      <c r="U985" t="s">
        <v>2897</v>
      </c>
    </row>
    <row r="986" spans="1:21">
      <c r="A986" t="s">
        <v>2089</v>
      </c>
      <c r="B986" s="7">
        <v>46216</v>
      </c>
      <c r="C986" s="8">
        <v>0.58638888888888885</v>
      </c>
      <c r="D986" t="s">
        <v>17</v>
      </c>
      <c r="E986" t="s">
        <v>2</v>
      </c>
      <c r="F986" t="s">
        <v>50</v>
      </c>
      <c r="G986" t="s">
        <v>51</v>
      </c>
      <c r="H986">
        <v>79.209999999999994</v>
      </c>
      <c r="I986" t="s">
        <v>52</v>
      </c>
      <c r="J986" t="s">
        <v>65</v>
      </c>
      <c r="K986" t="s">
        <v>54</v>
      </c>
      <c r="L986" t="s">
        <v>55</v>
      </c>
      <c r="O986" t="s">
        <v>66</v>
      </c>
      <c r="P986" t="s">
        <v>67</v>
      </c>
      <c r="Q986">
        <v>25374.69</v>
      </c>
      <c r="R986">
        <v>-79.209999999999994</v>
      </c>
      <c r="S986" t="s">
        <v>2895</v>
      </c>
      <c r="T986" t="s">
        <v>2896</v>
      </c>
      <c r="U986" t="s">
        <v>2897</v>
      </c>
    </row>
    <row r="987" spans="1:21">
      <c r="A987" t="s">
        <v>2091</v>
      </c>
      <c r="B987" s="7">
        <v>46216</v>
      </c>
      <c r="C987" s="8">
        <v>0.62261574074074078</v>
      </c>
      <c r="D987" t="s">
        <v>17</v>
      </c>
      <c r="E987" t="s">
        <v>2</v>
      </c>
      <c r="F987" t="s">
        <v>50</v>
      </c>
      <c r="G987" t="s">
        <v>51</v>
      </c>
      <c r="H987">
        <v>62.15</v>
      </c>
      <c r="I987" t="s">
        <v>52</v>
      </c>
      <c r="J987" t="s">
        <v>60</v>
      </c>
      <c r="K987" t="s">
        <v>54</v>
      </c>
      <c r="L987" t="s">
        <v>55</v>
      </c>
      <c r="O987" t="s">
        <v>61</v>
      </c>
      <c r="P987" t="s">
        <v>62</v>
      </c>
      <c r="Q987">
        <v>25614.45</v>
      </c>
      <c r="R987">
        <v>-62.15</v>
      </c>
      <c r="S987" t="s">
        <v>2895</v>
      </c>
      <c r="T987" t="s">
        <v>2896</v>
      </c>
      <c r="U987" t="s">
        <v>2897</v>
      </c>
    </row>
    <row r="988" spans="1:21">
      <c r="A988" t="s">
        <v>2093</v>
      </c>
      <c r="B988" s="7">
        <v>46216</v>
      </c>
      <c r="C988" s="8">
        <v>0.77534722222222219</v>
      </c>
      <c r="D988" t="s">
        <v>17</v>
      </c>
      <c r="E988" t="s">
        <v>2</v>
      </c>
      <c r="F988" t="s">
        <v>50</v>
      </c>
      <c r="G988" t="s">
        <v>51</v>
      </c>
      <c r="H988">
        <v>13.72</v>
      </c>
      <c r="I988" t="s">
        <v>52</v>
      </c>
      <c r="J988" t="s">
        <v>53</v>
      </c>
      <c r="K988" t="s">
        <v>54</v>
      </c>
      <c r="L988" t="s">
        <v>55</v>
      </c>
      <c r="O988" t="s">
        <v>56</v>
      </c>
      <c r="P988" t="s">
        <v>57</v>
      </c>
      <c r="Q988">
        <v>25600.73</v>
      </c>
      <c r="R988">
        <v>-13.72</v>
      </c>
      <c r="S988" t="s">
        <v>2895</v>
      </c>
      <c r="T988" t="s">
        <v>2896</v>
      </c>
      <c r="U988" t="s">
        <v>2897</v>
      </c>
    </row>
    <row r="989" spans="1:21">
      <c r="A989" t="s">
        <v>2095</v>
      </c>
      <c r="B989" s="7">
        <v>46216</v>
      </c>
      <c r="C989" s="8">
        <v>0.86353009259259261</v>
      </c>
      <c r="D989" t="s">
        <v>17</v>
      </c>
      <c r="E989" t="s">
        <v>2</v>
      </c>
      <c r="F989" t="s">
        <v>50</v>
      </c>
      <c r="G989" t="s">
        <v>51</v>
      </c>
      <c r="H989">
        <v>146.83000000000001</v>
      </c>
      <c r="I989" t="s">
        <v>52</v>
      </c>
      <c r="J989" t="s">
        <v>196</v>
      </c>
      <c r="K989" t="s">
        <v>54</v>
      </c>
      <c r="L989" t="s">
        <v>55</v>
      </c>
      <c r="O989" t="s">
        <v>197</v>
      </c>
      <c r="P989" t="s">
        <v>198</v>
      </c>
      <c r="Q989">
        <v>25453.9</v>
      </c>
      <c r="R989">
        <v>-146.83000000000001</v>
      </c>
      <c r="S989" t="s">
        <v>2895</v>
      </c>
      <c r="T989" t="s">
        <v>2896</v>
      </c>
      <c r="U989" t="s">
        <v>2897</v>
      </c>
    </row>
    <row r="990" spans="1:21">
      <c r="A990" t="s">
        <v>2097</v>
      </c>
      <c r="B990" s="7">
        <v>46216</v>
      </c>
      <c r="C990" s="8">
        <v>0.94027777777777777</v>
      </c>
      <c r="D990" t="s">
        <v>17</v>
      </c>
      <c r="E990" t="s">
        <v>2</v>
      </c>
      <c r="F990" t="s">
        <v>50</v>
      </c>
      <c r="G990" t="s">
        <v>51</v>
      </c>
      <c r="H990">
        <v>21.15</v>
      </c>
      <c r="I990" t="s">
        <v>52</v>
      </c>
      <c r="J990" t="s">
        <v>121</v>
      </c>
      <c r="K990" t="s">
        <v>54</v>
      </c>
      <c r="L990" t="s">
        <v>55</v>
      </c>
      <c r="O990" t="s">
        <v>122</v>
      </c>
      <c r="P990" t="s">
        <v>123</v>
      </c>
      <c r="Q990">
        <v>25221.05</v>
      </c>
      <c r="R990">
        <v>-21.15</v>
      </c>
      <c r="S990" t="s">
        <v>2895</v>
      </c>
      <c r="T990" t="s">
        <v>2896</v>
      </c>
      <c r="U990" t="s">
        <v>2897</v>
      </c>
    </row>
    <row r="991" spans="1:21">
      <c r="A991" t="s">
        <v>2099</v>
      </c>
      <c r="B991" s="7">
        <v>46217</v>
      </c>
      <c r="C991" s="8">
        <v>0.3805324074074074</v>
      </c>
      <c r="D991" t="s">
        <v>17</v>
      </c>
      <c r="E991" t="s">
        <v>2</v>
      </c>
      <c r="F991" t="s">
        <v>50</v>
      </c>
      <c r="G991" t="s">
        <v>51</v>
      </c>
      <c r="H991">
        <v>16.11</v>
      </c>
      <c r="I991" t="s">
        <v>52</v>
      </c>
      <c r="J991" t="s">
        <v>81</v>
      </c>
      <c r="K991" t="s">
        <v>54</v>
      </c>
      <c r="L991" t="s">
        <v>55</v>
      </c>
      <c r="O991" t="s">
        <v>82</v>
      </c>
      <c r="P991" t="s">
        <v>83</v>
      </c>
      <c r="Q991">
        <v>25069.29</v>
      </c>
      <c r="R991">
        <v>-16.11</v>
      </c>
      <c r="S991" t="s">
        <v>2895</v>
      </c>
      <c r="T991" t="s">
        <v>2896</v>
      </c>
      <c r="U991" t="s">
        <v>2897</v>
      </c>
    </row>
    <row r="992" spans="1:21">
      <c r="A992" t="s">
        <v>2101</v>
      </c>
      <c r="B992" s="7">
        <v>46217</v>
      </c>
      <c r="C992" s="8">
        <v>0.5220717592592593</v>
      </c>
      <c r="D992" t="s">
        <v>17</v>
      </c>
      <c r="E992" t="s">
        <v>2</v>
      </c>
      <c r="F992" t="s">
        <v>50</v>
      </c>
      <c r="G992" t="s">
        <v>51</v>
      </c>
      <c r="H992">
        <v>6.56</v>
      </c>
      <c r="I992" t="s">
        <v>52</v>
      </c>
      <c r="J992" t="s">
        <v>53</v>
      </c>
      <c r="K992" t="s">
        <v>54</v>
      </c>
      <c r="L992" t="s">
        <v>55</v>
      </c>
      <c r="O992" t="s">
        <v>56</v>
      </c>
      <c r="P992" t="s">
        <v>57</v>
      </c>
      <c r="Q992">
        <v>25192.01</v>
      </c>
      <c r="R992">
        <v>-6.56</v>
      </c>
      <c r="S992" t="s">
        <v>2895</v>
      </c>
      <c r="T992" t="s">
        <v>2896</v>
      </c>
      <c r="U992" t="s">
        <v>2897</v>
      </c>
    </row>
    <row r="993" spans="1:21">
      <c r="A993" t="s">
        <v>2103</v>
      </c>
      <c r="B993" s="7">
        <v>46217</v>
      </c>
      <c r="C993" s="8">
        <v>0.54</v>
      </c>
      <c r="D993" t="s">
        <v>17</v>
      </c>
      <c r="E993" t="s">
        <v>2</v>
      </c>
      <c r="F993" t="s">
        <v>50</v>
      </c>
      <c r="G993" t="s">
        <v>100</v>
      </c>
      <c r="H993">
        <v>15</v>
      </c>
      <c r="I993" t="s">
        <v>52</v>
      </c>
      <c r="J993" t="s">
        <v>101</v>
      </c>
      <c r="K993" t="s">
        <v>54</v>
      </c>
      <c r="L993" t="s">
        <v>102</v>
      </c>
      <c r="O993" t="s">
        <v>103</v>
      </c>
      <c r="P993" t="s">
        <v>104</v>
      </c>
      <c r="Q993">
        <v>25198.57</v>
      </c>
      <c r="R993">
        <v>-15</v>
      </c>
      <c r="S993" t="s">
        <v>2895</v>
      </c>
      <c r="T993" t="s">
        <v>2896</v>
      </c>
      <c r="U993" t="s">
        <v>2897</v>
      </c>
    </row>
    <row r="994" spans="1:21">
      <c r="A994" t="s">
        <v>2105</v>
      </c>
      <c r="B994" s="7">
        <v>46217</v>
      </c>
      <c r="C994" s="8">
        <v>0.56535879629629626</v>
      </c>
      <c r="D994" t="s">
        <v>17</v>
      </c>
      <c r="E994" t="s">
        <v>2</v>
      </c>
      <c r="F994" t="s">
        <v>50</v>
      </c>
      <c r="G994" t="s">
        <v>1816</v>
      </c>
      <c r="H994">
        <v>8800</v>
      </c>
      <c r="I994" t="s">
        <v>52</v>
      </c>
      <c r="J994" t="s">
        <v>1984</v>
      </c>
      <c r="K994" t="s">
        <v>1985</v>
      </c>
      <c r="L994" t="s">
        <v>1819</v>
      </c>
      <c r="O994" t="s">
        <v>1820</v>
      </c>
      <c r="P994" t="s">
        <v>1821</v>
      </c>
      <c r="Q994">
        <v>80563.61</v>
      </c>
      <c r="R994">
        <v>-8800</v>
      </c>
      <c r="S994" t="s">
        <v>2895</v>
      </c>
      <c r="T994" t="s">
        <v>2896</v>
      </c>
      <c r="U994" t="s">
        <v>2899</v>
      </c>
    </row>
    <row r="995" spans="1:21">
      <c r="A995" t="s">
        <v>2107</v>
      </c>
      <c r="B995" s="7">
        <v>46217</v>
      </c>
      <c r="C995" s="8">
        <v>0.57892361111111112</v>
      </c>
      <c r="D995" t="s">
        <v>17</v>
      </c>
      <c r="E995" t="s">
        <v>2</v>
      </c>
      <c r="F995" t="s">
        <v>50</v>
      </c>
      <c r="G995" t="s">
        <v>51</v>
      </c>
      <c r="H995">
        <v>52.8</v>
      </c>
      <c r="I995" t="s">
        <v>52</v>
      </c>
      <c r="J995" t="s">
        <v>196</v>
      </c>
      <c r="K995" t="s">
        <v>54</v>
      </c>
      <c r="L995" t="s">
        <v>55</v>
      </c>
      <c r="O995" t="s">
        <v>197</v>
      </c>
      <c r="P995" t="s">
        <v>198</v>
      </c>
      <c r="Q995">
        <v>25085.4</v>
      </c>
      <c r="R995">
        <v>-52.8</v>
      </c>
      <c r="S995" t="s">
        <v>2895</v>
      </c>
      <c r="T995" t="s">
        <v>2896</v>
      </c>
      <c r="U995" t="s">
        <v>2897</v>
      </c>
    </row>
    <row r="996" spans="1:21">
      <c r="A996" t="s">
        <v>2109</v>
      </c>
      <c r="B996" s="7">
        <v>46217</v>
      </c>
      <c r="C996" s="8">
        <v>0.58004629629629634</v>
      </c>
      <c r="D996" t="s">
        <v>17</v>
      </c>
      <c r="E996" t="s">
        <v>2</v>
      </c>
      <c r="F996" t="s">
        <v>50</v>
      </c>
      <c r="G996" t="s">
        <v>51</v>
      </c>
      <c r="H996">
        <v>53.81</v>
      </c>
      <c r="I996" t="s">
        <v>52</v>
      </c>
      <c r="J996" t="s">
        <v>196</v>
      </c>
      <c r="K996" t="s">
        <v>54</v>
      </c>
      <c r="L996" t="s">
        <v>55</v>
      </c>
      <c r="O996" t="s">
        <v>197</v>
      </c>
      <c r="P996" t="s">
        <v>198</v>
      </c>
      <c r="Q996">
        <v>25138.2</v>
      </c>
      <c r="R996">
        <v>-53.81</v>
      </c>
      <c r="S996" t="s">
        <v>2895</v>
      </c>
      <c r="T996" t="s">
        <v>2896</v>
      </c>
      <c r="U996" t="s">
        <v>2897</v>
      </c>
    </row>
    <row r="997" spans="1:21">
      <c r="A997" t="s">
        <v>2111</v>
      </c>
      <c r="B997" s="7">
        <v>46217</v>
      </c>
      <c r="C997" s="8">
        <v>0.90208333333333335</v>
      </c>
      <c r="D997" t="s">
        <v>17</v>
      </c>
      <c r="E997" t="s">
        <v>2</v>
      </c>
      <c r="F997" t="s">
        <v>50</v>
      </c>
      <c r="G997" t="s">
        <v>51</v>
      </c>
      <c r="H997">
        <v>55.79</v>
      </c>
      <c r="I997" t="s">
        <v>52</v>
      </c>
      <c r="J997" t="s">
        <v>60</v>
      </c>
      <c r="K997" t="s">
        <v>54</v>
      </c>
      <c r="L997" t="s">
        <v>55</v>
      </c>
      <c r="O997" t="s">
        <v>61</v>
      </c>
      <c r="P997" t="s">
        <v>62</v>
      </c>
      <c r="Q997">
        <v>25013.5</v>
      </c>
      <c r="R997">
        <v>-55.79</v>
      </c>
      <c r="S997" t="s">
        <v>2895</v>
      </c>
      <c r="T997" t="s">
        <v>2896</v>
      </c>
      <c r="U997" t="s">
        <v>2897</v>
      </c>
    </row>
    <row r="998" spans="1:21">
      <c r="A998" t="s">
        <v>2113</v>
      </c>
      <c r="B998" s="7">
        <v>46218</v>
      </c>
      <c r="C998" s="8">
        <v>0.31414351851851852</v>
      </c>
      <c r="D998" t="s">
        <v>17</v>
      </c>
      <c r="E998" t="s">
        <v>2</v>
      </c>
      <c r="F998" t="s">
        <v>50</v>
      </c>
      <c r="G998" t="s">
        <v>51</v>
      </c>
      <c r="H998">
        <v>12.09</v>
      </c>
      <c r="I998" t="s">
        <v>52</v>
      </c>
      <c r="J998" t="s">
        <v>121</v>
      </c>
      <c r="K998" t="s">
        <v>54</v>
      </c>
      <c r="L998" t="s">
        <v>55</v>
      </c>
      <c r="O998" t="s">
        <v>122</v>
      </c>
      <c r="P998" t="s">
        <v>123</v>
      </c>
      <c r="Q998">
        <v>24830.01</v>
      </c>
      <c r="R998">
        <v>-12.09</v>
      </c>
      <c r="S998" t="s">
        <v>2895</v>
      </c>
      <c r="T998" t="s">
        <v>2896</v>
      </c>
      <c r="U998" t="s">
        <v>2897</v>
      </c>
    </row>
    <row r="999" spans="1:21">
      <c r="A999" t="s">
        <v>2115</v>
      </c>
      <c r="B999" s="7">
        <v>46218</v>
      </c>
      <c r="C999" s="8">
        <v>0.41913194444444446</v>
      </c>
      <c r="D999" t="s">
        <v>17</v>
      </c>
      <c r="E999" t="s">
        <v>2</v>
      </c>
      <c r="F999" t="s">
        <v>50</v>
      </c>
      <c r="G999" t="s">
        <v>51</v>
      </c>
      <c r="H999">
        <v>145.53</v>
      </c>
      <c r="I999" t="s">
        <v>52</v>
      </c>
      <c r="J999" t="s">
        <v>196</v>
      </c>
      <c r="K999" t="s">
        <v>54</v>
      </c>
      <c r="L999" t="s">
        <v>55</v>
      </c>
      <c r="O999" t="s">
        <v>197</v>
      </c>
      <c r="P999" t="s">
        <v>198</v>
      </c>
      <c r="Q999">
        <v>24842.1</v>
      </c>
      <c r="R999">
        <v>-145.53</v>
      </c>
      <c r="S999" t="s">
        <v>2895</v>
      </c>
      <c r="T999" t="s">
        <v>2896</v>
      </c>
      <c r="U999" t="s">
        <v>2897</v>
      </c>
    </row>
    <row r="1000" spans="1:21">
      <c r="A1000" t="s">
        <v>2117</v>
      </c>
      <c r="B1000" s="7">
        <v>46218</v>
      </c>
      <c r="C1000" s="8">
        <v>0.47855324074074074</v>
      </c>
      <c r="D1000" t="s">
        <v>17</v>
      </c>
      <c r="E1000" t="s">
        <v>2</v>
      </c>
      <c r="F1000" t="s">
        <v>50</v>
      </c>
      <c r="G1000" t="s">
        <v>51</v>
      </c>
      <c r="H1000">
        <v>19.350000000000001</v>
      </c>
      <c r="I1000" t="s">
        <v>52</v>
      </c>
      <c r="J1000" t="s">
        <v>121</v>
      </c>
      <c r="K1000" t="s">
        <v>54</v>
      </c>
      <c r="L1000" t="s">
        <v>55</v>
      </c>
      <c r="O1000" t="s">
        <v>122</v>
      </c>
      <c r="P1000" t="s">
        <v>123</v>
      </c>
      <c r="Q1000">
        <v>24810.66</v>
      </c>
      <c r="R1000">
        <v>-19.350000000000001</v>
      </c>
      <c r="S1000" t="s">
        <v>2895</v>
      </c>
      <c r="T1000" t="s">
        <v>2896</v>
      </c>
      <c r="U1000" t="s">
        <v>2897</v>
      </c>
    </row>
    <row r="1001" spans="1:21">
      <c r="A1001" t="s">
        <v>2119</v>
      </c>
      <c r="B1001" s="7">
        <v>46218</v>
      </c>
      <c r="C1001" s="8">
        <v>0.68885416666666666</v>
      </c>
      <c r="D1001" t="s">
        <v>17</v>
      </c>
      <c r="E1001" t="s">
        <v>2</v>
      </c>
      <c r="F1001" t="s">
        <v>50</v>
      </c>
      <c r="G1001" t="s">
        <v>100</v>
      </c>
      <c r="H1001">
        <v>15</v>
      </c>
      <c r="I1001" t="s">
        <v>52</v>
      </c>
      <c r="J1001" t="s">
        <v>101</v>
      </c>
      <c r="K1001" t="s">
        <v>54</v>
      </c>
      <c r="L1001" t="s">
        <v>102</v>
      </c>
      <c r="O1001" t="s">
        <v>103</v>
      </c>
      <c r="P1001" t="s">
        <v>104</v>
      </c>
      <c r="Q1001">
        <v>24998.5</v>
      </c>
      <c r="R1001">
        <v>-15</v>
      </c>
      <c r="S1001" t="s">
        <v>2895</v>
      </c>
      <c r="T1001" t="s">
        <v>2896</v>
      </c>
      <c r="U1001" t="s">
        <v>2897</v>
      </c>
    </row>
    <row r="1002" spans="1:21">
      <c r="A1002" t="s">
        <v>2121</v>
      </c>
      <c r="B1002" s="7">
        <v>46218</v>
      </c>
      <c r="C1002" s="8">
        <v>0.8604398148148148</v>
      </c>
      <c r="D1002" t="s">
        <v>17</v>
      </c>
      <c r="E1002" t="s">
        <v>2</v>
      </c>
      <c r="F1002" t="s">
        <v>149</v>
      </c>
      <c r="G1002" t="s">
        <v>1969</v>
      </c>
      <c r="H1002">
        <v>9650</v>
      </c>
      <c r="I1002" t="s">
        <v>52</v>
      </c>
      <c r="J1002" t="s">
        <v>1969</v>
      </c>
      <c r="K1002" t="s">
        <v>54</v>
      </c>
      <c r="L1002" t="s">
        <v>1970</v>
      </c>
      <c r="M1002" t="s">
        <v>2123</v>
      </c>
      <c r="N1002" t="s">
        <v>12</v>
      </c>
      <c r="O1002" t="s">
        <v>92</v>
      </c>
      <c r="P1002" t="s">
        <v>1971</v>
      </c>
      <c r="Q1002">
        <v>95338.61</v>
      </c>
      <c r="R1002">
        <v>9650</v>
      </c>
      <c r="S1002" t="s">
        <v>2895</v>
      </c>
      <c r="T1002" t="s">
        <v>92</v>
      </c>
      <c r="U1002" t="s">
        <v>2899</v>
      </c>
    </row>
    <row r="1003" spans="1:21">
      <c r="A1003" t="s">
        <v>2124</v>
      </c>
      <c r="B1003" s="7">
        <v>46218</v>
      </c>
      <c r="C1003" s="8">
        <v>0.90105324074074078</v>
      </c>
      <c r="D1003" t="s">
        <v>17</v>
      </c>
      <c r="E1003" t="s">
        <v>2</v>
      </c>
      <c r="F1003" t="s">
        <v>149</v>
      </c>
      <c r="G1003" t="s">
        <v>321</v>
      </c>
      <c r="H1003">
        <v>3094.13</v>
      </c>
      <c r="I1003" t="s">
        <v>52</v>
      </c>
      <c r="J1003" t="s">
        <v>9</v>
      </c>
      <c r="K1003" t="s">
        <v>54</v>
      </c>
      <c r="L1003" t="s">
        <v>102</v>
      </c>
      <c r="O1003" t="s">
        <v>322</v>
      </c>
      <c r="P1003" t="s">
        <v>323</v>
      </c>
      <c r="Q1003">
        <v>41628.080000000002</v>
      </c>
      <c r="R1003">
        <v>3094.13</v>
      </c>
      <c r="S1003" t="s">
        <v>2895</v>
      </c>
      <c r="T1003" t="s">
        <v>2896</v>
      </c>
      <c r="U1003" t="s">
        <v>2897</v>
      </c>
    </row>
    <row r="1004" spans="1:21">
      <c r="A1004" t="s">
        <v>2126</v>
      </c>
      <c r="B1004" s="7">
        <v>46218</v>
      </c>
      <c r="C1004" s="8">
        <v>0.92876157407407411</v>
      </c>
      <c r="D1004" t="s">
        <v>17</v>
      </c>
      <c r="E1004" t="s">
        <v>2</v>
      </c>
      <c r="F1004" t="s">
        <v>50</v>
      </c>
      <c r="G1004" t="s">
        <v>51</v>
      </c>
      <c r="H1004">
        <v>10.87</v>
      </c>
      <c r="I1004" t="s">
        <v>52</v>
      </c>
      <c r="J1004" t="s">
        <v>53</v>
      </c>
      <c r="K1004" t="s">
        <v>54</v>
      </c>
      <c r="L1004" t="s">
        <v>55</v>
      </c>
      <c r="O1004" t="s">
        <v>56</v>
      </c>
      <c r="P1004" t="s">
        <v>57</v>
      </c>
      <c r="Q1004">
        <v>24987.63</v>
      </c>
      <c r="R1004">
        <v>-10.87</v>
      </c>
      <c r="S1004" t="s">
        <v>2895</v>
      </c>
      <c r="T1004" t="s">
        <v>2896</v>
      </c>
      <c r="U1004" t="s">
        <v>2897</v>
      </c>
    </row>
    <row r="1005" spans="1:21">
      <c r="A1005" t="s">
        <v>2128</v>
      </c>
      <c r="B1005" s="7">
        <v>46219</v>
      </c>
      <c r="C1005" s="8">
        <v>0.40714120370370371</v>
      </c>
      <c r="D1005" t="s">
        <v>17</v>
      </c>
      <c r="E1005" t="s">
        <v>2</v>
      </c>
      <c r="F1005" t="s">
        <v>149</v>
      </c>
      <c r="G1005" t="s">
        <v>72</v>
      </c>
      <c r="H1005">
        <v>129.76</v>
      </c>
      <c r="I1005" t="s">
        <v>52</v>
      </c>
      <c r="J1005" t="s">
        <v>638</v>
      </c>
      <c r="K1005" t="s">
        <v>54</v>
      </c>
      <c r="L1005" t="s">
        <v>74</v>
      </c>
      <c r="O1005" t="s">
        <v>75</v>
      </c>
      <c r="P1005" t="s">
        <v>76</v>
      </c>
      <c r="Q1005">
        <v>24758.15</v>
      </c>
      <c r="R1005">
        <v>129.76</v>
      </c>
      <c r="S1005" t="s">
        <v>2895</v>
      </c>
      <c r="T1005" t="s">
        <v>2896</v>
      </c>
      <c r="U1005" t="s">
        <v>2897</v>
      </c>
    </row>
    <row r="1006" spans="1:21">
      <c r="A1006" t="s">
        <v>2130</v>
      </c>
      <c r="B1006" s="7">
        <v>46219</v>
      </c>
      <c r="C1006" s="8">
        <v>0.59137731481481481</v>
      </c>
      <c r="D1006" t="s">
        <v>17</v>
      </c>
      <c r="E1006" t="s">
        <v>2</v>
      </c>
      <c r="F1006" t="s">
        <v>50</v>
      </c>
      <c r="G1006" t="s">
        <v>51</v>
      </c>
      <c r="H1006">
        <v>26.8</v>
      </c>
      <c r="I1006" t="s">
        <v>52</v>
      </c>
      <c r="J1006" t="s">
        <v>81</v>
      </c>
      <c r="K1006" t="s">
        <v>54</v>
      </c>
      <c r="L1006" t="s">
        <v>55</v>
      </c>
      <c r="O1006" t="s">
        <v>82</v>
      </c>
      <c r="P1006" t="s">
        <v>83</v>
      </c>
      <c r="Q1006">
        <v>24680.25</v>
      </c>
      <c r="R1006">
        <v>-26.8</v>
      </c>
      <c r="S1006" t="s">
        <v>2895</v>
      </c>
      <c r="T1006" t="s">
        <v>2896</v>
      </c>
      <c r="U1006" t="s">
        <v>2897</v>
      </c>
    </row>
    <row r="1007" spans="1:21">
      <c r="A1007" t="s">
        <v>2132</v>
      </c>
      <c r="B1007" s="7">
        <v>46219</v>
      </c>
      <c r="C1007" s="8">
        <v>0.7621296296296296</v>
      </c>
      <c r="D1007" t="s">
        <v>17</v>
      </c>
      <c r="E1007" t="s">
        <v>2</v>
      </c>
      <c r="F1007" t="s">
        <v>50</v>
      </c>
      <c r="G1007" t="s">
        <v>51</v>
      </c>
      <c r="H1007">
        <v>26.98</v>
      </c>
      <c r="I1007" t="s">
        <v>52</v>
      </c>
      <c r="J1007" t="s">
        <v>81</v>
      </c>
      <c r="K1007" t="s">
        <v>54</v>
      </c>
      <c r="L1007" t="s">
        <v>55</v>
      </c>
      <c r="O1007" t="s">
        <v>82</v>
      </c>
      <c r="P1007" t="s">
        <v>83</v>
      </c>
      <c r="Q1007">
        <v>24628.39</v>
      </c>
      <c r="R1007">
        <v>-26.98</v>
      </c>
      <c r="S1007" t="s">
        <v>2895</v>
      </c>
      <c r="T1007" t="s">
        <v>2896</v>
      </c>
      <c r="U1007" t="s">
        <v>2897</v>
      </c>
    </row>
    <row r="1008" spans="1:21">
      <c r="A1008" t="s">
        <v>2134</v>
      </c>
      <c r="B1008" s="7">
        <v>46219</v>
      </c>
      <c r="C1008" s="8">
        <v>0.77576388888888892</v>
      </c>
      <c r="D1008" t="s">
        <v>17</v>
      </c>
      <c r="E1008" t="s">
        <v>2</v>
      </c>
      <c r="F1008" t="s">
        <v>50</v>
      </c>
      <c r="G1008" t="s">
        <v>51</v>
      </c>
      <c r="H1008">
        <v>103.61</v>
      </c>
      <c r="I1008" t="s">
        <v>52</v>
      </c>
      <c r="J1008" t="s">
        <v>65</v>
      </c>
      <c r="K1008" t="s">
        <v>54</v>
      </c>
      <c r="L1008" t="s">
        <v>55</v>
      </c>
      <c r="O1008" t="s">
        <v>66</v>
      </c>
      <c r="P1008" t="s">
        <v>67</v>
      </c>
      <c r="Q1008">
        <v>24707.05</v>
      </c>
      <c r="R1008">
        <v>-103.61</v>
      </c>
      <c r="S1008" t="s">
        <v>2895</v>
      </c>
      <c r="T1008" t="s">
        <v>2896</v>
      </c>
      <c r="U1008" t="s">
        <v>2897</v>
      </c>
    </row>
    <row r="1009" spans="1:21">
      <c r="A1009" t="s">
        <v>2135</v>
      </c>
      <c r="B1009" s="7">
        <v>46219</v>
      </c>
      <c r="C1009" s="8">
        <v>0.80099537037037039</v>
      </c>
      <c r="D1009" t="s">
        <v>17</v>
      </c>
      <c r="E1009" t="s">
        <v>2</v>
      </c>
      <c r="F1009" t="s">
        <v>50</v>
      </c>
      <c r="G1009" t="s">
        <v>51</v>
      </c>
      <c r="H1009">
        <v>17.559999999999999</v>
      </c>
      <c r="I1009" t="s">
        <v>52</v>
      </c>
      <c r="J1009" t="s">
        <v>81</v>
      </c>
      <c r="K1009" t="s">
        <v>54</v>
      </c>
      <c r="L1009" t="s">
        <v>55</v>
      </c>
      <c r="O1009" t="s">
        <v>82</v>
      </c>
      <c r="P1009" t="s">
        <v>83</v>
      </c>
      <c r="Q1009">
        <v>24655.37</v>
      </c>
      <c r="R1009">
        <v>-17.559999999999999</v>
      </c>
      <c r="S1009" t="s">
        <v>2895</v>
      </c>
      <c r="T1009" t="s">
        <v>2896</v>
      </c>
      <c r="U1009" t="s">
        <v>2897</v>
      </c>
    </row>
    <row r="1010" spans="1:21">
      <c r="A1010" t="s">
        <v>2137</v>
      </c>
      <c r="B1010" s="7">
        <v>46219</v>
      </c>
      <c r="C1010" s="8">
        <v>0.90232638888888894</v>
      </c>
      <c r="D1010" t="s">
        <v>17</v>
      </c>
      <c r="E1010" t="s">
        <v>2</v>
      </c>
      <c r="F1010" t="s">
        <v>50</v>
      </c>
      <c r="G1010" t="s">
        <v>51</v>
      </c>
      <c r="H1010">
        <v>7.32</v>
      </c>
      <c r="I1010" t="s">
        <v>52</v>
      </c>
      <c r="J1010" t="s">
        <v>53</v>
      </c>
      <c r="K1010" t="s">
        <v>54</v>
      </c>
      <c r="L1010" t="s">
        <v>55</v>
      </c>
      <c r="O1010" t="s">
        <v>56</v>
      </c>
      <c r="P1010" t="s">
        <v>57</v>
      </c>
      <c r="Q1010">
        <v>24672.93</v>
      </c>
      <c r="R1010">
        <v>-7.32</v>
      </c>
      <c r="S1010" t="s">
        <v>2895</v>
      </c>
      <c r="T1010" t="s">
        <v>2896</v>
      </c>
      <c r="U1010" t="s">
        <v>2897</v>
      </c>
    </row>
    <row r="1011" spans="1:21">
      <c r="A1011" t="s">
        <v>2139</v>
      </c>
      <c r="B1011" s="7">
        <v>46220</v>
      </c>
      <c r="C1011" s="8">
        <v>0.30909722222222225</v>
      </c>
      <c r="D1011" t="s">
        <v>17</v>
      </c>
      <c r="E1011" t="s">
        <v>2</v>
      </c>
      <c r="F1011" t="s">
        <v>50</v>
      </c>
      <c r="G1011" t="s">
        <v>51</v>
      </c>
      <c r="H1011">
        <v>7.51</v>
      </c>
      <c r="I1011" t="s">
        <v>52</v>
      </c>
      <c r="J1011" t="s">
        <v>53</v>
      </c>
      <c r="K1011" t="s">
        <v>54</v>
      </c>
      <c r="L1011" t="s">
        <v>55</v>
      </c>
      <c r="O1011" t="s">
        <v>56</v>
      </c>
      <c r="P1011" t="s">
        <v>57</v>
      </c>
      <c r="Q1011">
        <v>24685.47</v>
      </c>
      <c r="R1011">
        <v>-7.51</v>
      </c>
      <c r="S1011" t="s">
        <v>2895</v>
      </c>
      <c r="T1011" t="s">
        <v>2896</v>
      </c>
      <c r="U1011" t="s">
        <v>2897</v>
      </c>
    </row>
    <row r="1012" spans="1:21">
      <c r="A1012" t="s">
        <v>2141</v>
      </c>
      <c r="B1012" s="7">
        <v>46220</v>
      </c>
      <c r="C1012" s="8">
        <v>0.43809027777777776</v>
      </c>
      <c r="D1012" t="s">
        <v>17</v>
      </c>
      <c r="E1012" t="s">
        <v>2</v>
      </c>
      <c r="F1012" t="s">
        <v>50</v>
      </c>
      <c r="G1012" t="s">
        <v>51</v>
      </c>
      <c r="H1012">
        <v>6.73</v>
      </c>
      <c r="I1012" t="s">
        <v>52</v>
      </c>
      <c r="J1012" t="s">
        <v>121</v>
      </c>
      <c r="K1012" t="s">
        <v>54</v>
      </c>
      <c r="L1012" t="s">
        <v>55</v>
      </c>
      <c r="O1012" t="s">
        <v>122</v>
      </c>
      <c r="P1012" t="s">
        <v>123</v>
      </c>
      <c r="Q1012">
        <v>24751.42</v>
      </c>
      <c r="R1012">
        <v>-6.73</v>
      </c>
      <c r="S1012" t="s">
        <v>2895</v>
      </c>
      <c r="T1012" t="s">
        <v>2896</v>
      </c>
      <c r="U1012" t="s">
        <v>2897</v>
      </c>
    </row>
    <row r="1013" spans="1:21">
      <c r="A1013" t="s">
        <v>2143</v>
      </c>
      <c r="B1013" s="7">
        <v>46220</v>
      </c>
      <c r="C1013" s="8">
        <v>0.52541666666666664</v>
      </c>
      <c r="D1013" t="s">
        <v>17</v>
      </c>
      <c r="E1013" t="s">
        <v>2</v>
      </c>
      <c r="F1013" t="s">
        <v>50</v>
      </c>
      <c r="G1013" t="s">
        <v>51</v>
      </c>
      <c r="H1013">
        <v>5.3</v>
      </c>
      <c r="I1013" t="s">
        <v>52</v>
      </c>
      <c r="J1013" t="s">
        <v>121</v>
      </c>
      <c r="K1013" t="s">
        <v>54</v>
      </c>
      <c r="L1013" t="s">
        <v>55</v>
      </c>
      <c r="O1013" t="s">
        <v>122</v>
      </c>
      <c r="P1013" t="s">
        <v>123</v>
      </c>
      <c r="Q1013">
        <v>24588.14</v>
      </c>
      <c r="R1013">
        <v>-5.3</v>
      </c>
      <c r="S1013" t="s">
        <v>2895</v>
      </c>
      <c r="T1013" t="s">
        <v>2896</v>
      </c>
      <c r="U1013" t="s">
        <v>2897</v>
      </c>
    </row>
    <row r="1014" spans="1:21">
      <c r="A1014" t="s">
        <v>2145</v>
      </c>
      <c r="B1014" s="7">
        <v>46220</v>
      </c>
      <c r="C1014" s="8">
        <v>0.59862268518518513</v>
      </c>
      <c r="D1014" t="s">
        <v>17</v>
      </c>
      <c r="E1014" t="s">
        <v>2</v>
      </c>
      <c r="F1014" t="s">
        <v>50</v>
      </c>
      <c r="G1014" t="s">
        <v>51</v>
      </c>
      <c r="H1014">
        <v>37.14</v>
      </c>
      <c r="I1014" t="s">
        <v>52</v>
      </c>
      <c r="J1014" t="s">
        <v>81</v>
      </c>
      <c r="K1014" t="s">
        <v>54</v>
      </c>
      <c r="L1014" t="s">
        <v>55</v>
      </c>
      <c r="O1014" t="s">
        <v>82</v>
      </c>
      <c r="P1014" t="s">
        <v>83</v>
      </c>
      <c r="Q1014">
        <v>24593.439999999999</v>
      </c>
      <c r="R1014">
        <v>-37.14</v>
      </c>
      <c r="S1014" t="s">
        <v>2895</v>
      </c>
      <c r="T1014" t="s">
        <v>2896</v>
      </c>
      <c r="U1014" t="s">
        <v>2897</v>
      </c>
    </row>
    <row r="1015" spans="1:21">
      <c r="A1015" t="s">
        <v>2147</v>
      </c>
      <c r="B1015" s="7">
        <v>46220</v>
      </c>
      <c r="C1015" s="8">
        <v>0.60478009259259258</v>
      </c>
      <c r="D1015" t="s">
        <v>17</v>
      </c>
      <c r="E1015" t="s">
        <v>2</v>
      </c>
      <c r="F1015" t="s">
        <v>50</v>
      </c>
      <c r="G1015" t="s">
        <v>51</v>
      </c>
      <c r="H1015">
        <v>10.4</v>
      </c>
      <c r="I1015" t="s">
        <v>52</v>
      </c>
      <c r="J1015" t="s">
        <v>126</v>
      </c>
      <c r="K1015" t="s">
        <v>54</v>
      </c>
      <c r="L1015" t="s">
        <v>55</v>
      </c>
      <c r="O1015" t="s">
        <v>56</v>
      </c>
      <c r="P1015" t="s">
        <v>57</v>
      </c>
      <c r="Q1015">
        <v>24675.07</v>
      </c>
      <c r="R1015">
        <v>-10.4</v>
      </c>
      <c r="S1015" t="s">
        <v>2895</v>
      </c>
      <c r="T1015" t="s">
        <v>2896</v>
      </c>
      <c r="U1015" t="s">
        <v>2897</v>
      </c>
    </row>
    <row r="1016" spans="1:21">
      <c r="A1016" t="s">
        <v>2149</v>
      </c>
      <c r="B1016" s="7">
        <v>46220</v>
      </c>
      <c r="C1016" s="8">
        <v>0.67804398148148148</v>
      </c>
      <c r="D1016" t="s">
        <v>17</v>
      </c>
      <c r="E1016" t="s">
        <v>2</v>
      </c>
      <c r="F1016" t="s">
        <v>50</v>
      </c>
      <c r="G1016" t="s">
        <v>51</v>
      </c>
      <c r="H1016">
        <v>44.49</v>
      </c>
      <c r="I1016" t="s">
        <v>52</v>
      </c>
      <c r="J1016" t="s">
        <v>60</v>
      </c>
      <c r="K1016" t="s">
        <v>54</v>
      </c>
      <c r="L1016" t="s">
        <v>55</v>
      </c>
      <c r="O1016" t="s">
        <v>61</v>
      </c>
      <c r="P1016" t="s">
        <v>62</v>
      </c>
      <c r="Q1016">
        <v>24630.58</v>
      </c>
      <c r="R1016">
        <v>-44.49</v>
      </c>
      <c r="S1016" t="s">
        <v>2895</v>
      </c>
      <c r="T1016" t="s">
        <v>2896</v>
      </c>
      <c r="U1016" t="s">
        <v>2897</v>
      </c>
    </row>
    <row r="1017" spans="1:21">
      <c r="A1017" t="s">
        <v>2151</v>
      </c>
      <c r="B1017" s="7">
        <v>46220</v>
      </c>
      <c r="C1017" s="8">
        <v>0.70174768518518515</v>
      </c>
      <c r="D1017" t="s">
        <v>17</v>
      </c>
      <c r="E1017" t="s">
        <v>2</v>
      </c>
      <c r="F1017" t="s">
        <v>50</v>
      </c>
      <c r="G1017" t="s">
        <v>100</v>
      </c>
      <c r="H1017">
        <v>18.010000000000002</v>
      </c>
      <c r="I1017" t="s">
        <v>52</v>
      </c>
      <c r="J1017" t="s">
        <v>114</v>
      </c>
      <c r="K1017" t="s">
        <v>54</v>
      </c>
      <c r="L1017" t="s">
        <v>102</v>
      </c>
      <c r="O1017" t="s">
        <v>103</v>
      </c>
      <c r="P1017" t="s">
        <v>104</v>
      </c>
      <c r="Q1017">
        <v>24692.98</v>
      </c>
      <c r="R1017">
        <v>-18.010000000000002</v>
      </c>
      <c r="S1017" t="s">
        <v>2895</v>
      </c>
      <c r="T1017" t="s">
        <v>2896</v>
      </c>
      <c r="U1017" t="s">
        <v>2897</v>
      </c>
    </row>
    <row r="1018" spans="1:21">
      <c r="A1018" t="s">
        <v>2153</v>
      </c>
      <c r="B1018" s="7">
        <v>46220</v>
      </c>
      <c r="C1018" s="8">
        <v>0.72443287037037041</v>
      </c>
      <c r="D1018" t="s">
        <v>17</v>
      </c>
      <c r="E1018" t="s">
        <v>2</v>
      </c>
      <c r="F1018" t="s">
        <v>149</v>
      </c>
      <c r="G1018" t="s">
        <v>1969</v>
      </c>
      <c r="H1018">
        <v>9825</v>
      </c>
      <c r="I1018" t="s">
        <v>52</v>
      </c>
      <c r="J1018" t="s">
        <v>1969</v>
      </c>
      <c r="K1018" t="s">
        <v>54</v>
      </c>
      <c r="L1018" t="s">
        <v>1970</v>
      </c>
      <c r="M1018" t="s">
        <v>2155</v>
      </c>
      <c r="N1018" t="s">
        <v>12</v>
      </c>
      <c r="O1018" t="s">
        <v>92</v>
      </c>
      <c r="P1018" t="s">
        <v>1971</v>
      </c>
      <c r="Q1018">
        <v>105163.61</v>
      </c>
      <c r="R1018">
        <v>9825</v>
      </c>
      <c r="S1018" t="s">
        <v>2895</v>
      </c>
      <c r="T1018" t="s">
        <v>92</v>
      </c>
      <c r="U1018" t="s">
        <v>2899</v>
      </c>
    </row>
    <row r="1019" spans="1:21">
      <c r="A1019" t="s">
        <v>2156</v>
      </c>
      <c r="B1019" s="7">
        <v>46220</v>
      </c>
      <c r="C1019" s="8">
        <v>0.88121527777777775</v>
      </c>
      <c r="D1019" t="s">
        <v>17</v>
      </c>
      <c r="E1019" t="s">
        <v>2</v>
      </c>
      <c r="F1019" t="s">
        <v>50</v>
      </c>
      <c r="G1019" t="s">
        <v>51</v>
      </c>
      <c r="H1019">
        <v>40.43</v>
      </c>
      <c r="I1019" t="s">
        <v>52</v>
      </c>
      <c r="J1019" t="s">
        <v>65</v>
      </c>
      <c r="K1019" t="s">
        <v>54</v>
      </c>
      <c r="L1019" t="s">
        <v>55</v>
      </c>
      <c r="O1019" t="s">
        <v>66</v>
      </c>
      <c r="P1019" t="s">
        <v>67</v>
      </c>
      <c r="Q1019">
        <v>24710.99</v>
      </c>
      <c r="R1019">
        <v>-40.43</v>
      </c>
      <c r="S1019" t="s">
        <v>2895</v>
      </c>
      <c r="T1019" t="s">
        <v>2896</v>
      </c>
      <c r="U1019" t="s">
        <v>2897</v>
      </c>
    </row>
    <row r="1020" spans="1:21">
      <c r="A1020" t="s">
        <v>2158</v>
      </c>
      <c r="B1020" s="7">
        <v>46221</v>
      </c>
      <c r="C1020" s="8">
        <v>0.45497685185185183</v>
      </c>
      <c r="D1020" t="s">
        <v>17</v>
      </c>
      <c r="E1020" t="s">
        <v>2</v>
      </c>
      <c r="F1020" t="s">
        <v>50</v>
      </c>
      <c r="G1020" t="s">
        <v>100</v>
      </c>
      <c r="H1020">
        <v>15</v>
      </c>
      <c r="I1020" t="s">
        <v>52</v>
      </c>
      <c r="J1020" t="s">
        <v>101</v>
      </c>
      <c r="K1020" t="s">
        <v>54</v>
      </c>
      <c r="L1020" t="s">
        <v>102</v>
      </c>
      <c r="O1020" t="s">
        <v>103</v>
      </c>
      <c r="P1020" t="s">
        <v>104</v>
      </c>
      <c r="Q1020">
        <v>24533.24</v>
      </c>
      <c r="R1020">
        <v>-15</v>
      </c>
      <c r="S1020" t="s">
        <v>2895</v>
      </c>
      <c r="T1020" t="s">
        <v>2896</v>
      </c>
      <c r="U1020" t="s">
        <v>2897</v>
      </c>
    </row>
    <row r="1021" spans="1:21">
      <c r="A1021" t="s">
        <v>2160</v>
      </c>
      <c r="B1021" s="7">
        <v>46221</v>
      </c>
      <c r="C1021" s="8">
        <v>0.61019675925925931</v>
      </c>
      <c r="D1021" t="s">
        <v>17</v>
      </c>
      <c r="E1021" t="s">
        <v>2</v>
      </c>
      <c r="F1021" t="s">
        <v>50</v>
      </c>
      <c r="G1021" t="s">
        <v>51</v>
      </c>
      <c r="H1021">
        <v>41.96</v>
      </c>
      <c r="I1021" t="s">
        <v>52</v>
      </c>
      <c r="J1021" t="s">
        <v>81</v>
      </c>
      <c r="K1021" t="s">
        <v>54</v>
      </c>
      <c r="L1021" t="s">
        <v>55</v>
      </c>
      <c r="O1021" t="s">
        <v>82</v>
      </c>
      <c r="P1021" t="s">
        <v>83</v>
      </c>
      <c r="Q1021">
        <v>24435.39</v>
      </c>
      <c r="R1021">
        <v>-41.96</v>
      </c>
      <c r="S1021" t="s">
        <v>2895</v>
      </c>
      <c r="T1021" t="s">
        <v>2896</v>
      </c>
      <c r="U1021" t="s">
        <v>2897</v>
      </c>
    </row>
    <row r="1022" spans="1:21">
      <c r="A1022" t="s">
        <v>2162</v>
      </c>
      <c r="B1022" s="7">
        <v>46221</v>
      </c>
      <c r="C1022" s="8">
        <v>0.67662037037037037</v>
      </c>
      <c r="D1022" t="s">
        <v>17</v>
      </c>
      <c r="E1022" t="s">
        <v>2</v>
      </c>
      <c r="F1022" t="s">
        <v>50</v>
      </c>
      <c r="G1022" t="s">
        <v>51</v>
      </c>
      <c r="H1022">
        <v>25.96</v>
      </c>
      <c r="I1022" t="s">
        <v>52</v>
      </c>
      <c r="J1022" t="s">
        <v>60</v>
      </c>
      <c r="K1022" t="s">
        <v>54</v>
      </c>
      <c r="L1022" t="s">
        <v>55</v>
      </c>
      <c r="O1022" t="s">
        <v>61</v>
      </c>
      <c r="P1022" t="s">
        <v>62</v>
      </c>
      <c r="Q1022">
        <v>24477.35</v>
      </c>
      <c r="R1022">
        <v>-25.96</v>
      </c>
      <c r="S1022" t="s">
        <v>2895</v>
      </c>
      <c r="T1022" t="s">
        <v>2896</v>
      </c>
      <c r="U1022" t="s">
        <v>2897</v>
      </c>
    </row>
    <row r="1023" spans="1:21">
      <c r="A1023" t="s">
        <v>2164</v>
      </c>
      <c r="B1023" s="7">
        <v>46221</v>
      </c>
      <c r="C1023" s="8">
        <v>0.77729166666666671</v>
      </c>
      <c r="D1023" t="s">
        <v>17</v>
      </c>
      <c r="E1023" t="s">
        <v>2</v>
      </c>
      <c r="F1023" t="s">
        <v>50</v>
      </c>
      <c r="G1023" t="s">
        <v>100</v>
      </c>
      <c r="H1023">
        <v>15</v>
      </c>
      <c r="I1023" t="s">
        <v>52</v>
      </c>
      <c r="J1023" t="s">
        <v>101</v>
      </c>
      <c r="K1023" t="s">
        <v>54</v>
      </c>
      <c r="L1023" t="s">
        <v>102</v>
      </c>
      <c r="O1023" t="s">
        <v>103</v>
      </c>
      <c r="P1023" t="s">
        <v>104</v>
      </c>
      <c r="Q1023">
        <v>24548.240000000002</v>
      </c>
      <c r="R1023">
        <v>-15</v>
      </c>
      <c r="S1023" t="s">
        <v>2895</v>
      </c>
      <c r="T1023" t="s">
        <v>2896</v>
      </c>
      <c r="U1023" t="s">
        <v>2897</v>
      </c>
    </row>
    <row r="1024" spans="1:21">
      <c r="A1024" t="s">
        <v>2166</v>
      </c>
      <c r="B1024" s="7">
        <v>46221</v>
      </c>
      <c r="C1024" s="8">
        <v>0.78817129629629634</v>
      </c>
      <c r="D1024" t="s">
        <v>17</v>
      </c>
      <c r="E1024" t="s">
        <v>2</v>
      </c>
      <c r="F1024" t="s">
        <v>50</v>
      </c>
      <c r="G1024" t="s">
        <v>51</v>
      </c>
      <c r="H1024">
        <v>29.93</v>
      </c>
      <c r="I1024" t="s">
        <v>52</v>
      </c>
      <c r="J1024" t="s">
        <v>81</v>
      </c>
      <c r="K1024" t="s">
        <v>54</v>
      </c>
      <c r="L1024" t="s">
        <v>55</v>
      </c>
      <c r="O1024" t="s">
        <v>82</v>
      </c>
      <c r="P1024" t="s">
        <v>83</v>
      </c>
      <c r="Q1024">
        <v>24503.31</v>
      </c>
      <c r="R1024">
        <v>-29.93</v>
      </c>
      <c r="S1024" t="s">
        <v>2895</v>
      </c>
      <c r="T1024" t="s">
        <v>2896</v>
      </c>
      <c r="U1024" t="s">
        <v>2897</v>
      </c>
    </row>
    <row r="1025" spans="1:21">
      <c r="A1025" t="s">
        <v>2168</v>
      </c>
      <c r="B1025" s="7">
        <v>46221</v>
      </c>
      <c r="C1025" s="8">
        <v>0.86799768518518516</v>
      </c>
      <c r="D1025" t="s">
        <v>17</v>
      </c>
      <c r="E1025" t="s">
        <v>2</v>
      </c>
      <c r="F1025" t="s">
        <v>50</v>
      </c>
      <c r="G1025" t="s">
        <v>51</v>
      </c>
      <c r="H1025">
        <v>8.15</v>
      </c>
      <c r="I1025" t="s">
        <v>52</v>
      </c>
      <c r="J1025" t="s">
        <v>121</v>
      </c>
      <c r="K1025" t="s">
        <v>54</v>
      </c>
      <c r="L1025" t="s">
        <v>55</v>
      </c>
      <c r="O1025" t="s">
        <v>122</v>
      </c>
      <c r="P1025" t="s">
        <v>123</v>
      </c>
      <c r="Q1025">
        <v>24427.24</v>
      </c>
      <c r="R1025">
        <v>-8.15</v>
      </c>
      <c r="S1025" t="s">
        <v>2895</v>
      </c>
      <c r="T1025" t="s">
        <v>2896</v>
      </c>
      <c r="U1025" t="s">
        <v>2897</v>
      </c>
    </row>
    <row r="1026" spans="1:21">
      <c r="A1026" t="s">
        <v>2170</v>
      </c>
      <c r="B1026" s="7">
        <v>46221</v>
      </c>
      <c r="C1026" s="8">
        <v>0.90819444444444442</v>
      </c>
      <c r="D1026" t="s">
        <v>17</v>
      </c>
      <c r="E1026" t="s">
        <v>2</v>
      </c>
      <c r="F1026" t="s">
        <v>50</v>
      </c>
      <c r="G1026" t="s">
        <v>1816</v>
      </c>
      <c r="H1026">
        <v>9200</v>
      </c>
      <c r="I1026" t="s">
        <v>52</v>
      </c>
      <c r="J1026" t="s">
        <v>1984</v>
      </c>
      <c r="K1026" t="s">
        <v>1985</v>
      </c>
      <c r="L1026" t="s">
        <v>1819</v>
      </c>
      <c r="O1026" t="s">
        <v>1820</v>
      </c>
      <c r="P1026" t="s">
        <v>1821</v>
      </c>
      <c r="Q1026">
        <v>71363.61</v>
      </c>
      <c r="R1026">
        <v>-9200</v>
      </c>
      <c r="S1026" t="s">
        <v>2895</v>
      </c>
      <c r="T1026" t="s">
        <v>2896</v>
      </c>
      <c r="U1026" t="s">
        <v>2899</v>
      </c>
    </row>
    <row r="1027" spans="1:21">
      <c r="A1027" t="s">
        <v>2172</v>
      </c>
      <c r="B1027" s="7">
        <v>46221</v>
      </c>
      <c r="C1027" s="8">
        <v>0.93876157407407412</v>
      </c>
      <c r="D1027" t="s">
        <v>17</v>
      </c>
      <c r="E1027" t="s">
        <v>2</v>
      </c>
      <c r="F1027" t="s">
        <v>50</v>
      </c>
      <c r="G1027" t="s">
        <v>51</v>
      </c>
      <c r="H1027">
        <v>24.9</v>
      </c>
      <c r="I1027" t="s">
        <v>52</v>
      </c>
      <c r="J1027" t="s">
        <v>81</v>
      </c>
      <c r="K1027" t="s">
        <v>54</v>
      </c>
      <c r="L1027" t="s">
        <v>55</v>
      </c>
      <c r="O1027" t="s">
        <v>82</v>
      </c>
      <c r="P1027" t="s">
        <v>83</v>
      </c>
      <c r="Q1027">
        <v>24563.24</v>
      </c>
      <c r="R1027">
        <v>-24.9</v>
      </c>
      <c r="S1027" t="s">
        <v>2895</v>
      </c>
      <c r="T1027" t="s">
        <v>2896</v>
      </c>
      <c r="U1027" t="s">
        <v>2897</v>
      </c>
    </row>
    <row r="1028" spans="1:21">
      <c r="A1028" t="s">
        <v>2174</v>
      </c>
      <c r="B1028" s="7">
        <v>46222</v>
      </c>
      <c r="C1028" s="8">
        <v>0.25608796296296299</v>
      </c>
      <c r="D1028" t="s">
        <v>17</v>
      </c>
      <c r="E1028" t="s">
        <v>2</v>
      </c>
      <c r="F1028" t="s">
        <v>50</v>
      </c>
      <c r="G1028" t="s">
        <v>51</v>
      </c>
      <c r="H1028">
        <v>6.18</v>
      </c>
      <c r="I1028" t="s">
        <v>52</v>
      </c>
      <c r="J1028" t="s">
        <v>121</v>
      </c>
      <c r="K1028" t="s">
        <v>54</v>
      </c>
      <c r="L1028" t="s">
        <v>55</v>
      </c>
      <c r="O1028" t="s">
        <v>122</v>
      </c>
      <c r="P1028" t="s">
        <v>123</v>
      </c>
      <c r="Q1028">
        <v>24421.06</v>
      </c>
      <c r="R1028">
        <v>-6.18</v>
      </c>
      <c r="S1028" t="s">
        <v>2895</v>
      </c>
      <c r="T1028" t="s">
        <v>2896</v>
      </c>
      <c r="U1028" t="s">
        <v>2897</v>
      </c>
    </row>
    <row r="1029" spans="1:21">
      <c r="A1029" t="s">
        <v>2176</v>
      </c>
      <c r="B1029" s="7">
        <v>46222</v>
      </c>
      <c r="C1029" s="8">
        <v>0.28431712962962963</v>
      </c>
      <c r="D1029" t="s">
        <v>17</v>
      </c>
      <c r="E1029" t="s">
        <v>2</v>
      </c>
      <c r="F1029" t="s">
        <v>50</v>
      </c>
      <c r="G1029" t="s">
        <v>100</v>
      </c>
      <c r="H1029">
        <v>15</v>
      </c>
      <c r="I1029" t="s">
        <v>52</v>
      </c>
      <c r="J1029" t="s">
        <v>101</v>
      </c>
      <c r="K1029" t="s">
        <v>54</v>
      </c>
      <c r="L1029" t="s">
        <v>102</v>
      </c>
      <c r="O1029" t="s">
        <v>103</v>
      </c>
      <c r="P1029" t="s">
        <v>104</v>
      </c>
      <c r="Q1029">
        <v>24271.26</v>
      </c>
      <c r="R1029">
        <v>-15</v>
      </c>
      <c r="S1029" t="s">
        <v>2895</v>
      </c>
      <c r="T1029" t="s">
        <v>2896</v>
      </c>
      <c r="U1029" t="s">
        <v>2897</v>
      </c>
    </row>
    <row r="1030" spans="1:21">
      <c r="A1030" t="s">
        <v>2178</v>
      </c>
      <c r="B1030" s="7">
        <v>46222</v>
      </c>
      <c r="C1030" s="8">
        <v>0.3376851851851852</v>
      </c>
      <c r="D1030" t="s">
        <v>17</v>
      </c>
      <c r="E1030" t="s">
        <v>2</v>
      </c>
      <c r="F1030" t="s">
        <v>50</v>
      </c>
      <c r="G1030" t="s">
        <v>100</v>
      </c>
      <c r="H1030">
        <v>21.47</v>
      </c>
      <c r="I1030" t="s">
        <v>52</v>
      </c>
      <c r="J1030" t="s">
        <v>114</v>
      </c>
      <c r="K1030" t="s">
        <v>54</v>
      </c>
      <c r="L1030" t="s">
        <v>102</v>
      </c>
      <c r="O1030" t="s">
        <v>103</v>
      </c>
      <c r="P1030" t="s">
        <v>104</v>
      </c>
      <c r="Q1030">
        <v>24249.79</v>
      </c>
      <c r="R1030">
        <v>-21.47</v>
      </c>
      <c r="S1030" t="s">
        <v>2895</v>
      </c>
      <c r="T1030" t="s">
        <v>2896</v>
      </c>
      <c r="U1030" t="s">
        <v>2897</v>
      </c>
    </row>
    <row r="1031" spans="1:21">
      <c r="A1031" t="s">
        <v>2180</v>
      </c>
      <c r="B1031" s="7">
        <v>46222</v>
      </c>
      <c r="C1031" s="8">
        <v>0.34247685185185184</v>
      </c>
      <c r="D1031" t="s">
        <v>17</v>
      </c>
      <c r="E1031" t="s">
        <v>2</v>
      </c>
      <c r="F1031" t="s">
        <v>50</v>
      </c>
      <c r="G1031" t="s">
        <v>51</v>
      </c>
      <c r="H1031">
        <v>129.84</v>
      </c>
      <c r="I1031" t="s">
        <v>52</v>
      </c>
      <c r="J1031" t="s">
        <v>196</v>
      </c>
      <c r="K1031" t="s">
        <v>54</v>
      </c>
      <c r="L1031" t="s">
        <v>55</v>
      </c>
      <c r="O1031" t="s">
        <v>197</v>
      </c>
      <c r="P1031" t="s">
        <v>198</v>
      </c>
      <c r="Q1031">
        <v>24291.22</v>
      </c>
      <c r="R1031">
        <v>-129.84</v>
      </c>
      <c r="S1031" t="s">
        <v>2895</v>
      </c>
      <c r="T1031" t="s">
        <v>2896</v>
      </c>
      <c r="U1031" t="s">
        <v>2897</v>
      </c>
    </row>
    <row r="1032" spans="1:21">
      <c r="A1032" t="s">
        <v>2182</v>
      </c>
      <c r="B1032" s="7">
        <v>46222</v>
      </c>
      <c r="C1032" s="8">
        <v>0.37495370370370368</v>
      </c>
      <c r="D1032" t="s">
        <v>17</v>
      </c>
      <c r="E1032" t="s">
        <v>2</v>
      </c>
      <c r="F1032" t="s">
        <v>50</v>
      </c>
      <c r="G1032" t="s">
        <v>51</v>
      </c>
      <c r="H1032">
        <v>4.96</v>
      </c>
      <c r="I1032" t="s">
        <v>52</v>
      </c>
      <c r="J1032" t="s">
        <v>121</v>
      </c>
      <c r="K1032" t="s">
        <v>54</v>
      </c>
      <c r="L1032" t="s">
        <v>55</v>
      </c>
      <c r="O1032" t="s">
        <v>122</v>
      </c>
      <c r="P1032" t="s">
        <v>123</v>
      </c>
      <c r="Q1032">
        <v>24286.26</v>
      </c>
      <c r="R1032">
        <v>-4.96</v>
      </c>
      <c r="S1032" t="s">
        <v>2895</v>
      </c>
      <c r="T1032" t="s">
        <v>2896</v>
      </c>
      <c r="U1032" t="s">
        <v>2897</v>
      </c>
    </row>
    <row r="1033" spans="1:21">
      <c r="A1033" t="s">
        <v>2184</v>
      </c>
      <c r="B1033" s="7">
        <v>46222</v>
      </c>
      <c r="C1033" s="8">
        <v>0.45905092592592595</v>
      </c>
      <c r="D1033" t="s">
        <v>17</v>
      </c>
      <c r="E1033" t="s">
        <v>2</v>
      </c>
      <c r="F1033" t="s">
        <v>50</v>
      </c>
      <c r="G1033" t="s">
        <v>51</v>
      </c>
      <c r="H1033">
        <v>29.07</v>
      </c>
      <c r="I1033" t="s">
        <v>52</v>
      </c>
      <c r="J1033" t="s">
        <v>126</v>
      </c>
      <c r="K1033" t="s">
        <v>54</v>
      </c>
      <c r="L1033" t="s">
        <v>55</v>
      </c>
      <c r="O1033" t="s">
        <v>56</v>
      </c>
      <c r="P1033" t="s">
        <v>57</v>
      </c>
      <c r="Q1033">
        <v>24066.06</v>
      </c>
      <c r="R1033">
        <v>-29.07</v>
      </c>
      <c r="S1033" t="s">
        <v>2895</v>
      </c>
      <c r="T1033" t="s">
        <v>2896</v>
      </c>
      <c r="U1033" t="s">
        <v>2897</v>
      </c>
    </row>
    <row r="1034" spans="1:21">
      <c r="A1034" t="s">
        <v>2186</v>
      </c>
      <c r="B1034" s="7">
        <v>46222</v>
      </c>
      <c r="C1034" s="8">
        <v>0.75821759259259258</v>
      </c>
      <c r="D1034" t="s">
        <v>17</v>
      </c>
      <c r="E1034" t="s">
        <v>2</v>
      </c>
      <c r="F1034" t="s">
        <v>50</v>
      </c>
      <c r="G1034" t="s">
        <v>100</v>
      </c>
      <c r="H1034">
        <v>89.99</v>
      </c>
      <c r="I1034" t="s">
        <v>52</v>
      </c>
      <c r="J1034" t="s">
        <v>384</v>
      </c>
      <c r="K1034" t="s">
        <v>54</v>
      </c>
      <c r="L1034" t="s">
        <v>102</v>
      </c>
      <c r="O1034" t="s">
        <v>178</v>
      </c>
      <c r="P1034" t="s">
        <v>385</v>
      </c>
      <c r="Q1034">
        <v>40276.01</v>
      </c>
      <c r="R1034">
        <v>-89.99</v>
      </c>
      <c r="S1034" t="s">
        <v>2895</v>
      </c>
      <c r="T1034" t="s">
        <v>2896</v>
      </c>
      <c r="U1034" t="s">
        <v>2897</v>
      </c>
    </row>
    <row r="1035" spans="1:21">
      <c r="A1035" t="s">
        <v>2188</v>
      </c>
      <c r="B1035" s="7">
        <v>46222</v>
      </c>
      <c r="C1035" s="8">
        <v>0.7633564814814815</v>
      </c>
      <c r="D1035" t="s">
        <v>17</v>
      </c>
      <c r="E1035" t="s">
        <v>2</v>
      </c>
      <c r="F1035" t="s">
        <v>50</v>
      </c>
      <c r="G1035" t="s">
        <v>51</v>
      </c>
      <c r="H1035">
        <v>11.37</v>
      </c>
      <c r="I1035" t="s">
        <v>52</v>
      </c>
      <c r="J1035" t="s">
        <v>126</v>
      </c>
      <c r="K1035" t="s">
        <v>54</v>
      </c>
      <c r="L1035" t="s">
        <v>55</v>
      </c>
      <c r="O1035" t="s">
        <v>56</v>
      </c>
      <c r="P1035" t="s">
        <v>57</v>
      </c>
      <c r="Q1035">
        <v>24238.42</v>
      </c>
      <c r="R1035">
        <v>-11.37</v>
      </c>
      <c r="S1035" t="s">
        <v>2895</v>
      </c>
      <c r="T1035" t="s">
        <v>2896</v>
      </c>
      <c r="U1035" t="s">
        <v>2897</v>
      </c>
    </row>
    <row r="1036" spans="1:21">
      <c r="A1036" t="s">
        <v>2190</v>
      </c>
      <c r="B1036" s="7">
        <v>46222</v>
      </c>
      <c r="C1036" s="8">
        <v>0.86120370370370369</v>
      </c>
      <c r="D1036" t="s">
        <v>17</v>
      </c>
      <c r="E1036" t="s">
        <v>2</v>
      </c>
      <c r="F1036" t="s">
        <v>50</v>
      </c>
      <c r="G1036" t="s">
        <v>51</v>
      </c>
      <c r="H1036">
        <v>143.29</v>
      </c>
      <c r="I1036" t="s">
        <v>52</v>
      </c>
      <c r="J1036" t="s">
        <v>196</v>
      </c>
      <c r="K1036" t="s">
        <v>54</v>
      </c>
      <c r="L1036" t="s">
        <v>55</v>
      </c>
      <c r="O1036" t="s">
        <v>197</v>
      </c>
      <c r="P1036" t="s">
        <v>198</v>
      </c>
      <c r="Q1036">
        <v>24095.13</v>
      </c>
      <c r="R1036">
        <v>-143.29</v>
      </c>
      <c r="S1036" t="s">
        <v>2895</v>
      </c>
      <c r="T1036" t="s">
        <v>2896</v>
      </c>
      <c r="U1036" t="s">
        <v>2897</v>
      </c>
    </row>
    <row r="1037" spans="1:21">
      <c r="A1037" t="s">
        <v>2192</v>
      </c>
      <c r="B1037" s="7">
        <v>46223</v>
      </c>
      <c r="C1037" s="8">
        <v>0.43215277777777777</v>
      </c>
      <c r="D1037" t="s">
        <v>17</v>
      </c>
      <c r="E1037" t="s">
        <v>2</v>
      </c>
      <c r="F1037" t="s">
        <v>50</v>
      </c>
      <c r="G1037" t="s">
        <v>100</v>
      </c>
      <c r="H1037">
        <v>22.23</v>
      </c>
      <c r="I1037" t="s">
        <v>52</v>
      </c>
      <c r="J1037" t="s">
        <v>114</v>
      </c>
      <c r="K1037" t="s">
        <v>54</v>
      </c>
      <c r="L1037" t="s">
        <v>102</v>
      </c>
      <c r="O1037" t="s">
        <v>103</v>
      </c>
      <c r="P1037" t="s">
        <v>104</v>
      </c>
      <c r="Q1037">
        <v>23789.23</v>
      </c>
      <c r="R1037">
        <v>-22.23</v>
      </c>
      <c r="S1037" t="s">
        <v>2895</v>
      </c>
      <c r="T1037" t="s">
        <v>2896</v>
      </c>
      <c r="U1037" t="s">
        <v>2897</v>
      </c>
    </row>
    <row r="1038" spans="1:21">
      <c r="A1038" t="s">
        <v>2194</v>
      </c>
      <c r="B1038" s="7">
        <v>46223</v>
      </c>
      <c r="C1038" s="8">
        <v>0.48446759259259259</v>
      </c>
      <c r="D1038" t="s">
        <v>17</v>
      </c>
      <c r="E1038" t="s">
        <v>2</v>
      </c>
      <c r="F1038" t="s">
        <v>50</v>
      </c>
      <c r="G1038" t="s">
        <v>51</v>
      </c>
      <c r="H1038">
        <v>46.78</v>
      </c>
      <c r="I1038" t="s">
        <v>52</v>
      </c>
      <c r="J1038" t="s">
        <v>126</v>
      </c>
      <c r="K1038" t="s">
        <v>54</v>
      </c>
      <c r="L1038" t="s">
        <v>55</v>
      </c>
      <c r="O1038" t="s">
        <v>56</v>
      </c>
      <c r="P1038" t="s">
        <v>57</v>
      </c>
      <c r="Q1038">
        <v>24004.28</v>
      </c>
      <c r="R1038">
        <v>-46.78</v>
      </c>
      <c r="S1038" t="s">
        <v>2895</v>
      </c>
      <c r="T1038" t="s">
        <v>2896</v>
      </c>
      <c r="U1038" t="s">
        <v>2897</v>
      </c>
    </row>
    <row r="1039" spans="1:21">
      <c r="A1039" t="s">
        <v>2196</v>
      </c>
      <c r="B1039" s="7">
        <v>46223</v>
      </c>
      <c r="C1039" s="8">
        <v>0.60796296296296293</v>
      </c>
      <c r="D1039" t="s">
        <v>17</v>
      </c>
      <c r="E1039" t="s">
        <v>2</v>
      </c>
      <c r="F1039" t="s">
        <v>50</v>
      </c>
      <c r="G1039" t="s">
        <v>100</v>
      </c>
      <c r="H1039">
        <v>15</v>
      </c>
      <c r="I1039" t="s">
        <v>52</v>
      </c>
      <c r="J1039" t="s">
        <v>101</v>
      </c>
      <c r="K1039" t="s">
        <v>54</v>
      </c>
      <c r="L1039" t="s">
        <v>102</v>
      </c>
      <c r="O1039" t="s">
        <v>103</v>
      </c>
      <c r="P1039" t="s">
        <v>104</v>
      </c>
      <c r="Q1039">
        <v>24051.06</v>
      </c>
      <c r="R1039">
        <v>-15</v>
      </c>
      <c r="S1039" t="s">
        <v>2895</v>
      </c>
      <c r="T1039" t="s">
        <v>2896</v>
      </c>
      <c r="U1039" t="s">
        <v>2897</v>
      </c>
    </row>
    <row r="1040" spans="1:21">
      <c r="A1040" t="s">
        <v>2198</v>
      </c>
      <c r="B1040" s="7">
        <v>46223</v>
      </c>
      <c r="C1040" s="8">
        <v>0.625</v>
      </c>
      <c r="D1040" t="s">
        <v>17</v>
      </c>
      <c r="E1040" t="s">
        <v>2</v>
      </c>
      <c r="F1040" t="s">
        <v>50</v>
      </c>
      <c r="G1040" t="s">
        <v>51</v>
      </c>
      <c r="H1040">
        <v>7.94</v>
      </c>
      <c r="I1040" t="s">
        <v>52</v>
      </c>
      <c r="J1040" t="s">
        <v>121</v>
      </c>
      <c r="K1040" t="s">
        <v>54</v>
      </c>
      <c r="L1040" t="s">
        <v>55</v>
      </c>
      <c r="O1040" t="s">
        <v>122</v>
      </c>
      <c r="P1040" t="s">
        <v>123</v>
      </c>
      <c r="Q1040">
        <v>23811.46</v>
      </c>
      <c r="R1040">
        <v>-7.94</v>
      </c>
      <c r="S1040" t="s">
        <v>2895</v>
      </c>
      <c r="T1040" t="s">
        <v>2896</v>
      </c>
      <c r="U1040" t="s">
        <v>2897</v>
      </c>
    </row>
    <row r="1041" spans="1:21">
      <c r="A1041" t="s">
        <v>2200</v>
      </c>
      <c r="B1041" s="7">
        <v>46223</v>
      </c>
      <c r="C1041" s="8">
        <v>0.72956018518518517</v>
      </c>
      <c r="D1041" t="s">
        <v>17</v>
      </c>
      <c r="E1041" t="s">
        <v>2</v>
      </c>
      <c r="F1041" t="s">
        <v>50</v>
      </c>
      <c r="G1041" t="s">
        <v>100</v>
      </c>
      <c r="H1041">
        <v>14.64</v>
      </c>
      <c r="I1041" t="s">
        <v>52</v>
      </c>
      <c r="J1041" t="s">
        <v>114</v>
      </c>
      <c r="K1041" t="s">
        <v>54</v>
      </c>
      <c r="L1041" t="s">
        <v>102</v>
      </c>
      <c r="O1041" t="s">
        <v>103</v>
      </c>
      <c r="P1041" t="s">
        <v>104</v>
      </c>
      <c r="Q1041">
        <v>23974.639999999999</v>
      </c>
      <c r="R1041">
        <v>-14.64</v>
      </c>
      <c r="S1041" t="s">
        <v>2895</v>
      </c>
      <c r="T1041" t="s">
        <v>2896</v>
      </c>
      <c r="U1041" t="s">
        <v>2897</v>
      </c>
    </row>
    <row r="1042" spans="1:21">
      <c r="A1042" t="s">
        <v>2202</v>
      </c>
      <c r="B1042" s="7">
        <v>46223</v>
      </c>
      <c r="C1042" s="8">
        <v>0.81504629629629632</v>
      </c>
      <c r="D1042" t="s">
        <v>17</v>
      </c>
      <c r="E1042" t="s">
        <v>2</v>
      </c>
      <c r="F1042" t="s">
        <v>50</v>
      </c>
      <c r="G1042" t="s">
        <v>100</v>
      </c>
      <c r="H1042">
        <v>15</v>
      </c>
      <c r="I1042" t="s">
        <v>52</v>
      </c>
      <c r="J1042" t="s">
        <v>101</v>
      </c>
      <c r="K1042" t="s">
        <v>54</v>
      </c>
      <c r="L1042" t="s">
        <v>102</v>
      </c>
      <c r="O1042" t="s">
        <v>103</v>
      </c>
      <c r="P1042" t="s">
        <v>104</v>
      </c>
      <c r="Q1042">
        <v>23989.279999999999</v>
      </c>
      <c r="R1042">
        <v>-15</v>
      </c>
      <c r="S1042" t="s">
        <v>2895</v>
      </c>
      <c r="T1042" t="s">
        <v>2896</v>
      </c>
      <c r="U1042" t="s">
        <v>2897</v>
      </c>
    </row>
    <row r="1043" spans="1:21">
      <c r="A1043" t="s">
        <v>2204</v>
      </c>
      <c r="B1043" s="7">
        <v>46223</v>
      </c>
      <c r="C1043" s="8">
        <v>0.84679398148148144</v>
      </c>
      <c r="D1043" t="s">
        <v>17</v>
      </c>
      <c r="E1043" t="s">
        <v>2</v>
      </c>
      <c r="F1043" t="s">
        <v>50</v>
      </c>
      <c r="G1043" t="s">
        <v>51</v>
      </c>
      <c r="H1043">
        <v>155.24</v>
      </c>
      <c r="I1043" t="s">
        <v>52</v>
      </c>
      <c r="J1043" t="s">
        <v>196</v>
      </c>
      <c r="K1043" t="s">
        <v>54</v>
      </c>
      <c r="L1043" t="s">
        <v>55</v>
      </c>
      <c r="O1043" t="s">
        <v>197</v>
      </c>
      <c r="P1043" t="s">
        <v>198</v>
      </c>
      <c r="Q1043">
        <v>23819.4</v>
      </c>
      <c r="R1043">
        <v>-155.24</v>
      </c>
      <c r="S1043" t="s">
        <v>2895</v>
      </c>
      <c r="T1043" t="s">
        <v>2896</v>
      </c>
      <c r="U1043" t="s">
        <v>2897</v>
      </c>
    </row>
    <row r="1044" spans="1:21">
      <c r="A1044" t="s">
        <v>2206</v>
      </c>
      <c r="B1044" s="7">
        <v>46223</v>
      </c>
      <c r="C1044" s="8">
        <v>0.8881944444444444</v>
      </c>
      <c r="D1044" t="s">
        <v>17</v>
      </c>
      <c r="E1044" t="s">
        <v>2</v>
      </c>
      <c r="F1044" t="s">
        <v>50</v>
      </c>
      <c r="G1044" t="s">
        <v>88</v>
      </c>
      <c r="H1044">
        <v>100</v>
      </c>
      <c r="I1044" t="s">
        <v>52</v>
      </c>
      <c r="J1044" t="s">
        <v>89</v>
      </c>
      <c r="K1044" t="s">
        <v>54</v>
      </c>
      <c r="L1044" t="s">
        <v>90</v>
      </c>
      <c r="M1044" t="s">
        <v>91</v>
      </c>
      <c r="N1044" t="s">
        <v>12</v>
      </c>
      <c r="O1044" t="s">
        <v>92</v>
      </c>
      <c r="P1044" t="s">
        <v>93</v>
      </c>
      <c r="Q1044">
        <v>23689.23</v>
      </c>
      <c r="R1044">
        <v>-100</v>
      </c>
      <c r="S1044" t="s">
        <v>2895</v>
      </c>
      <c r="T1044" t="s">
        <v>2896</v>
      </c>
      <c r="U1044" t="s">
        <v>2897</v>
      </c>
    </row>
    <row r="1045" spans="1:21">
      <c r="A1045" t="s">
        <v>2208</v>
      </c>
      <c r="B1045" s="7">
        <v>46224</v>
      </c>
      <c r="C1045" s="8">
        <v>0.27457175925925925</v>
      </c>
      <c r="D1045" t="s">
        <v>17</v>
      </c>
      <c r="E1045" t="s">
        <v>2</v>
      </c>
      <c r="F1045" t="s">
        <v>50</v>
      </c>
      <c r="G1045" t="s">
        <v>51</v>
      </c>
      <c r="H1045">
        <v>12.36</v>
      </c>
      <c r="I1045" t="s">
        <v>52</v>
      </c>
      <c r="J1045" t="s">
        <v>53</v>
      </c>
      <c r="K1045" t="s">
        <v>54</v>
      </c>
      <c r="L1045" t="s">
        <v>55</v>
      </c>
      <c r="O1045" t="s">
        <v>56</v>
      </c>
      <c r="P1045" t="s">
        <v>57</v>
      </c>
      <c r="Q1045">
        <v>23676.87</v>
      </c>
      <c r="R1045">
        <v>-12.36</v>
      </c>
      <c r="S1045" t="s">
        <v>2895</v>
      </c>
      <c r="T1045" t="s">
        <v>2896</v>
      </c>
      <c r="U1045" t="s">
        <v>2897</v>
      </c>
    </row>
    <row r="1046" spans="1:21">
      <c r="A1046" t="s">
        <v>2210</v>
      </c>
      <c r="B1046" s="7">
        <v>46224</v>
      </c>
      <c r="C1046" s="8">
        <v>0.59630787037037036</v>
      </c>
      <c r="D1046" t="s">
        <v>17</v>
      </c>
      <c r="E1046" t="s">
        <v>2</v>
      </c>
      <c r="F1046" t="s">
        <v>50</v>
      </c>
      <c r="G1046" t="s">
        <v>100</v>
      </c>
      <c r="H1046">
        <v>21.47</v>
      </c>
      <c r="I1046" t="s">
        <v>52</v>
      </c>
      <c r="J1046" t="s">
        <v>114</v>
      </c>
      <c r="K1046" t="s">
        <v>54</v>
      </c>
      <c r="L1046" t="s">
        <v>102</v>
      </c>
      <c r="O1046" t="s">
        <v>103</v>
      </c>
      <c r="P1046" t="s">
        <v>104</v>
      </c>
      <c r="Q1046">
        <v>23474.7</v>
      </c>
      <c r="R1046">
        <v>-21.47</v>
      </c>
      <c r="S1046" t="s">
        <v>2895</v>
      </c>
      <c r="T1046" t="s">
        <v>2896</v>
      </c>
      <c r="U1046" t="s">
        <v>2897</v>
      </c>
    </row>
    <row r="1047" spans="1:21">
      <c r="A1047" t="s">
        <v>2212</v>
      </c>
      <c r="B1047" s="7">
        <v>46224</v>
      </c>
      <c r="C1047" s="8">
        <v>0.61434027777777778</v>
      </c>
      <c r="D1047" t="s">
        <v>17</v>
      </c>
      <c r="E1047" t="s">
        <v>2</v>
      </c>
      <c r="F1047" t="s">
        <v>50</v>
      </c>
      <c r="G1047" t="s">
        <v>100</v>
      </c>
      <c r="H1047">
        <v>15</v>
      </c>
      <c r="I1047" t="s">
        <v>52</v>
      </c>
      <c r="J1047" t="s">
        <v>101</v>
      </c>
      <c r="K1047" t="s">
        <v>54</v>
      </c>
      <c r="L1047" t="s">
        <v>102</v>
      </c>
      <c r="O1047" t="s">
        <v>103</v>
      </c>
      <c r="P1047" t="s">
        <v>104</v>
      </c>
      <c r="Q1047">
        <v>23406.45</v>
      </c>
      <c r="R1047">
        <v>-15</v>
      </c>
      <c r="S1047" t="s">
        <v>2895</v>
      </c>
      <c r="T1047" t="s">
        <v>2896</v>
      </c>
      <c r="U1047" t="s">
        <v>2897</v>
      </c>
    </row>
    <row r="1048" spans="1:21">
      <c r="A1048" t="s">
        <v>2214</v>
      </c>
      <c r="B1048" s="7">
        <v>46224</v>
      </c>
      <c r="C1048" s="8">
        <v>0.63032407407407409</v>
      </c>
      <c r="D1048" t="s">
        <v>17</v>
      </c>
      <c r="E1048" t="s">
        <v>2</v>
      </c>
      <c r="F1048" t="s">
        <v>50</v>
      </c>
      <c r="G1048" t="s">
        <v>51</v>
      </c>
      <c r="H1048">
        <v>31.12</v>
      </c>
      <c r="I1048" t="s">
        <v>52</v>
      </c>
      <c r="J1048" t="s">
        <v>60</v>
      </c>
      <c r="K1048" t="s">
        <v>54</v>
      </c>
      <c r="L1048" t="s">
        <v>55</v>
      </c>
      <c r="O1048" t="s">
        <v>61</v>
      </c>
      <c r="P1048" t="s">
        <v>62</v>
      </c>
      <c r="Q1048">
        <v>23421.45</v>
      </c>
      <c r="R1048">
        <v>-31.12</v>
      </c>
      <c r="S1048" t="s">
        <v>2895</v>
      </c>
      <c r="T1048" t="s">
        <v>2896</v>
      </c>
      <c r="U1048" t="s">
        <v>2897</v>
      </c>
    </row>
    <row r="1049" spans="1:21">
      <c r="A1049" t="s">
        <v>2216</v>
      </c>
      <c r="B1049" s="7">
        <v>46224</v>
      </c>
      <c r="C1049" s="8">
        <v>0.78708333333333336</v>
      </c>
      <c r="D1049" t="s">
        <v>17</v>
      </c>
      <c r="E1049" t="s">
        <v>2</v>
      </c>
      <c r="F1049" t="s">
        <v>50</v>
      </c>
      <c r="G1049" t="s">
        <v>51</v>
      </c>
      <c r="H1049">
        <v>36.6</v>
      </c>
      <c r="I1049" t="s">
        <v>52</v>
      </c>
      <c r="J1049" t="s">
        <v>126</v>
      </c>
      <c r="K1049" t="s">
        <v>54</v>
      </c>
      <c r="L1049" t="s">
        <v>55</v>
      </c>
      <c r="O1049" t="s">
        <v>56</v>
      </c>
      <c r="P1049" t="s">
        <v>57</v>
      </c>
      <c r="Q1049">
        <v>23554.98</v>
      </c>
      <c r="R1049">
        <v>-36.6</v>
      </c>
      <c r="S1049" t="s">
        <v>2895</v>
      </c>
      <c r="T1049" t="s">
        <v>2896</v>
      </c>
      <c r="U1049" t="s">
        <v>2897</v>
      </c>
    </row>
    <row r="1050" spans="1:21">
      <c r="A1050" t="s">
        <v>2218</v>
      </c>
      <c r="B1050" s="7">
        <v>46224</v>
      </c>
      <c r="C1050" s="8">
        <v>0.80062500000000003</v>
      </c>
      <c r="D1050" t="s">
        <v>17</v>
      </c>
      <c r="E1050" t="s">
        <v>2</v>
      </c>
      <c r="F1050" t="s">
        <v>50</v>
      </c>
      <c r="G1050" t="s">
        <v>100</v>
      </c>
      <c r="H1050">
        <v>22.13</v>
      </c>
      <c r="I1050" t="s">
        <v>52</v>
      </c>
      <c r="J1050" t="s">
        <v>114</v>
      </c>
      <c r="K1050" t="s">
        <v>54</v>
      </c>
      <c r="L1050" t="s">
        <v>102</v>
      </c>
      <c r="O1050" t="s">
        <v>103</v>
      </c>
      <c r="P1050" t="s">
        <v>104</v>
      </c>
      <c r="Q1050">
        <v>23452.57</v>
      </c>
      <c r="R1050">
        <v>-22.13</v>
      </c>
      <c r="S1050" t="s">
        <v>2895</v>
      </c>
      <c r="T1050" t="s">
        <v>2896</v>
      </c>
      <c r="U1050" t="s">
        <v>2897</v>
      </c>
    </row>
    <row r="1051" spans="1:21">
      <c r="A1051" t="s">
        <v>2220</v>
      </c>
      <c r="B1051" s="7">
        <v>46224</v>
      </c>
      <c r="C1051" s="8">
        <v>0.80920138888888893</v>
      </c>
      <c r="D1051" t="s">
        <v>17</v>
      </c>
      <c r="E1051" t="s">
        <v>2</v>
      </c>
      <c r="F1051" t="s">
        <v>50</v>
      </c>
      <c r="G1051" t="s">
        <v>51</v>
      </c>
      <c r="H1051">
        <v>85.29</v>
      </c>
      <c r="I1051" t="s">
        <v>52</v>
      </c>
      <c r="J1051" t="s">
        <v>196</v>
      </c>
      <c r="K1051" t="s">
        <v>54</v>
      </c>
      <c r="L1051" t="s">
        <v>55</v>
      </c>
      <c r="O1051" t="s">
        <v>197</v>
      </c>
      <c r="P1051" t="s">
        <v>198</v>
      </c>
      <c r="Q1051">
        <v>23591.58</v>
      </c>
      <c r="R1051">
        <v>-85.29</v>
      </c>
      <c r="S1051" t="s">
        <v>2895</v>
      </c>
      <c r="T1051" t="s">
        <v>2896</v>
      </c>
      <c r="U1051" t="s">
        <v>2897</v>
      </c>
    </row>
    <row r="1052" spans="1:21">
      <c r="A1052" t="s">
        <v>2222</v>
      </c>
      <c r="B1052" s="7">
        <v>46224</v>
      </c>
      <c r="C1052" s="8">
        <v>0.81961805555555556</v>
      </c>
      <c r="D1052" t="s">
        <v>17</v>
      </c>
      <c r="E1052" t="s">
        <v>2</v>
      </c>
      <c r="F1052" t="s">
        <v>50</v>
      </c>
      <c r="G1052" t="s">
        <v>51</v>
      </c>
      <c r="H1052">
        <v>58.81</v>
      </c>
      <c r="I1052" t="s">
        <v>52</v>
      </c>
      <c r="J1052" t="s">
        <v>196</v>
      </c>
      <c r="K1052" t="s">
        <v>54</v>
      </c>
      <c r="L1052" t="s">
        <v>55</v>
      </c>
      <c r="O1052" t="s">
        <v>197</v>
      </c>
      <c r="P1052" t="s">
        <v>198</v>
      </c>
      <c r="Q1052">
        <v>23496.17</v>
      </c>
      <c r="R1052">
        <v>-58.81</v>
      </c>
      <c r="S1052" t="s">
        <v>2895</v>
      </c>
      <c r="T1052" t="s">
        <v>2896</v>
      </c>
      <c r="U1052" t="s">
        <v>2897</v>
      </c>
    </row>
    <row r="1053" spans="1:21">
      <c r="A1053" t="s">
        <v>2224</v>
      </c>
      <c r="B1053" s="7">
        <v>46225</v>
      </c>
      <c r="C1053" s="8">
        <v>0.25770833333333332</v>
      </c>
      <c r="D1053" t="s">
        <v>17</v>
      </c>
      <c r="E1053" t="s">
        <v>2</v>
      </c>
      <c r="F1053" t="s">
        <v>50</v>
      </c>
      <c r="G1053" t="s">
        <v>51</v>
      </c>
      <c r="H1053">
        <v>141.15</v>
      </c>
      <c r="I1053" t="s">
        <v>52</v>
      </c>
      <c r="J1053" t="s">
        <v>65</v>
      </c>
      <c r="K1053" t="s">
        <v>54</v>
      </c>
      <c r="L1053" t="s">
        <v>55</v>
      </c>
      <c r="O1053" t="s">
        <v>66</v>
      </c>
      <c r="P1053" t="s">
        <v>67</v>
      </c>
      <c r="Q1053">
        <v>23265.3</v>
      </c>
      <c r="R1053">
        <v>-141.15</v>
      </c>
      <c r="S1053" t="s">
        <v>2895</v>
      </c>
      <c r="T1053" t="s">
        <v>2896</v>
      </c>
      <c r="U1053" t="s">
        <v>2897</v>
      </c>
    </row>
    <row r="1054" spans="1:21">
      <c r="A1054" t="s">
        <v>2226</v>
      </c>
      <c r="B1054" s="7">
        <v>46225</v>
      </c>
      <c r="C1054" s="8">
        <v>0.27167824074074076</v>
      </c>
      <c r="D1054" t="s">
        <v>17</v>
      </c>
      <c r="E1054" t="s">
        <v>2</v>
      </c>
      <c r="F1054" t="s">
        <v>50</v>
      </c>
      <c r="G1054" t="s">
        <v>51</v>
      </c>
      <c r="H1054">
        <v>28.06</v>
      </c>
      <c r="I1054" t="s">
        <v>52</v>
      </c>
      <c r="J1054" t="s">
        <v>196</v>
      </c>
      <c r="K1054" t="s">
        <v>54</v>
      </c>
      <c r="L1054" t="s">
        <v>55</v>
      </c>
      <c r="O1054" t="s">
        <v>197</v>
      </c>
      <c r="P1054" t="s">
        <v>198</v>
      </c>
      <c r="Q1054">
        <v>23229.47</v>
      </c>
      <c r="R1054">
        <v>-28.06</v>
      </c>
      <c r="S1054" t="s">
        <v>2895</v>
      </c>
      <c r="T1054" t="s">
        <v>2896</v>
      </c>
      <c r="U1054" t="s">
        <v>2897</v>
      </c>
    </row>
    <row r="1055" spans="1:21">
      <c r="A1055" t="s">
        <v>2228</v>
      </c>
      <c r="B1055" s="7">
        <v>46225</v>
      </c>
      <c r="C1055" s="8">
        <v>0.41894675925925928</v>
      </c>
      <c r="D1055" t="s">
        <v>17</v>
      </c>
      <c r="E1055" t="s">
        <v>2</v>
      </c>
      <c r="F1055" t="s">
        <v>50</v>
      </c>
      <c r="G1055" t="s">
        <v>51</v>
      </c>
      <c r="H1055">
        <v>59.94</v>
      </c>
      <c r="I1055" t="s">
        <v>52</v>
      </c>
      <c r="J1055" t="s">
        <v>65</v>
      </c>
      <c r="K1055" t="s">
        <v>54</v>
      </c>
      <c r="L1055" t="s">
        <v>55</v>
      </c>
      <c r="O1055" t="s">
        <v>66</v>
      </c>
      <c r="P1055" t="s">
        <v>67</v>
      </c>
      <c r="Q1055">
        <v>23139.68</v>
      </c>
      <c r="R1055">
        <v>-59.94</v>
      </c>
      <c r="S1055" t="s">
        <v>2895</v>
      </c>
      <c r="T1055" t="s">
        <v>2896</v>
      </c>
      <c r="U1055" t="s">
        <v>2897</v>
      </c>
    </row>
    <row r="1056" spans="1:21">
      <c r="A1056" t="s">
        <v>2230</v>
      </c>
      <c r="B1056" s="7">
        <v>46225</v>
      </c>
      <c r="C1056" s="8">
        <v>0.86527777777777781</v>
      </c>
      <c r="D1056" t="s">
        <v>17</v>
      </c>
      <c r="E1056" t="s">
        <v>2</v>
      </c>
      <c r="F1056" t="s">
        <v>50</v>
      </c>
      <c r="G1056" t="s">
        <v>51</v>
      </c>
      <c r="H1056">
        <v>7.77</v>
      </c>
      <c r="I1056" t="s">
        <v>52</v>
      </c>
      <c r="J1056" t="s">
        <v>53</v>
      </c>
      <c r="K1056" t="s">
        <v>54</v>
      </c>
      <c r="L1056" t="s">
        <v>55</v>
      </c>
      <c r="O1056" t="s">
        <v>56</v>
      </c>
      <c r="P1056" t="s">
        <v>57</v>
      </c>
      <c r="Q1056">
        <v>23257.53</v>
      </c>
      <c r="R1056">
        <v>-7.77</v>
      </c>
      <c r="S1056" t="s">
        <v>2895</v>
      </c>
      <c r="T1056" t="s">
        <v>2896</v>
      </c>
      <c r="U1056" t="s">
        <v>2897</v>
      </c>
    </row>
    <row r="1057" spans="1:21">
      <c r="A1057" t="s">
        <v>2232</v>
      </c>
      <c r="B1057" s="7">
        <v>46225</v>
      </c>
      <c r="C1057" s="8">
        <v>0.88277777777777777</v>
      </c>
      <c r="D1057" t="s">
        <v>17</v>
      </c>
      <c r="E1057" t="s">
        <v>2</v>
      </c>
      <c r="F1057" t="s">
        <v>50</v>
      </c>
      <c r="G1057" t="s">
        <v>51</v>
      </c>
      <c r="H1057">
        <v>4.3600000000000003</v>
      </c>
      <c r="I1057" t="s">
        <v>52</v>
      </c>
      <c r="J1057" t="s">
        <v>121</v>
      </c>
      <c r="K1057" t="s">
        <v>54</v>
      </c>
      <c r="L1057" t="s">
        <v>55</v>
      </c>
      <c r="O1057" t="s">
        <v>122</v>
      </c>
      <c r="P1057" t="s">
        <v>123</v>
      </c>
      <c r="Q1057">
        <v>23135.32</v>
      </c>
      <c r="R1057">
        <v>-4.3600000000000003</v>
      </c>
      <c r="S1057" t="s">
        <v>2895</v>
      </c>
      <c r="T1057" t="s">
        <v>2896</v>
      </c>
      <c r="U1057" t="s">
        <v>2897</v>
      </c>
    </row>
    <row r="1058" spans="1:21">
      <c r="A1058" t="s">
        <v>2234</v>
      </c>
      <c r="B1058" s="7">
        <v>46225</v>
      </c>
      <c r="C1058" s="8">
        <v>0.8913078703703704</v>
      </c>
      <c r="D1058" t="s">
        <v>17</v>
      </c>
      <c r="E1058" t="s">
        <v>2</v>
      </c>
      <c r="F1058" t="s">
        <v>50</v>
      </c>
      <c r="G1058" t="s">
        <v>51</v>
      </c>
      <c r="H1058">
        <v>29.85</v>
      </c>
      <c r="I1058" t="s">
        <v>52</v>
      </c>
      <c r="J1058" t="s">
        <v>81</v>
      </c>
      <c r="K1058" t="s">
        <v>54</v>
      </c>
      <c r="L1058" t="s">
        <v>55</v>
      </c>
      <c r="O1058" t="s">
        <v>82</v>
      </c>
      <c r="P1058" t="s">
        <v>83</v>
      </c>
      <c r="Q1058">
        <v>23199.62</v>
      </c>
      <c r="R1058">
        <v>-29.85</v>
      </c>
      <c r="S1058" t="s">
        <v>2895</v>
      </c>
      <c r="T1058" t="s">
        <v>2896</v>
      </c>
      <c r="U1058" t="s">
        <v>2897</v>
      </c>
    </row>
    <row r="1059" spans="1:21">
      <c r="A1059" t="s">
        <v>2236</v>
      </c>
      <c r="B1059" s="7">
        <v>46226</v>
      </c>
      <c r="C1059" s="8">
        <v>0.30033564814814817</v>
      </c>
      <c r="D1059" t="s">
        <v>17</v>
      </c>
      <c r="E1059" t="s">
        <v>2</v>
      </c>
      <c r="F1059" t="s">
        <v>50</v>
      </c>
      <c r="G1059" t="s">
        <v>100</v>
      </c>
      <c r="H1059">
        <v>15</v>
      </c>
      <c r="I1059" t="s">
        <v>52</v>
      </c>
      <c r="J1059" t="s">
        <v>101</v>
      </c>
      <c r="K1059" t="s">
        <v>54</v>
      </c>
      <c r="L1059" t="s">
        <v>102</v>
      </c>
      <c r="O1059" t="s">
        <v>103</v>
      </c>
      <c r="P1059" t="s">
        <v>104</v>
      </c>
      <c r="Q1059">
        <v>23086.83</v>
      </c>
      <c r="R1059">
        <v>-15</v>
      </c>
      <c r="S1059" t="s">
        <v>2895</v>
      </c>
      <c r="T1059" t="s">
        <v>2896</v>
      </c>
      <c r="U1059" t="s">
        <v>2897</v>
      </c>
    </row>
    <row r="1060" spans="1:21">
      <c r="A1060" t="s">
        <v>2238</v>
      </c>
      <c r="B1060" s="7">
        <v>46226</v>
      </c>
      <c r="C1060" s="8">
        <v>0.4866435185185185</v>
      </c>
      <c r="D1060" t="s">
        <v>17</v>
      </c>
      <c r="E1060" t="s">
        <v>2</v>
      </c>
      <c r="F1060" t="s">
        <v>50</v>
      </c>
      <c r="G1060" t="s">
        <v>51</v>
      </c>
      <c r="H1060">
        <v>17.11</v>
      </c>
      <c r="I1060" t="s">
        <v>52</v>
      </c>
      <c r="J1060" t="s">
        <v>53</v>
      </c>
      <c r="K1060" t="s">
        <v>54</v>
      </c>
      <c r="L1060" t="s">
        <v>55</v>
      </c>
      <c r="O1060" t="s">
        <v>56</v>
      </c>
      <c r="P1060" t="s">
        <v>57</v>
      </c>
      <c r="Q1060">
        <v>23021.66</v>
      </c>
      <c r="R1060">
        <v>-17.11</v>
      </c>
      <c r="S1060" t="s">
        <v>2895</v>
      </c>
      <c r="T1060" t="s">
        <v>2896</v>
      </c>
      <c r="U1060" t="s">
        <v>2897</v>
      </c>
    </row>
    <row r="1061" spans="1:21">
      <c r="A1061" t="s">
        <v>2240</v>
      </c>
      <c r="B1061" s="7">
        <v>46226</v>
      </c>
      <c r="C1061" s="8">
        <v>0.4932523148148148</v>
      </c>
      <c r="D1061" t="s">
        <v>17</v>
      </c>
      <c r="E1061" t="s">
        <v>2</v>
      </c>
      <c r="F1061" t="s">
        <v>50</v>
      </c>
      <c r="G1061" t="s">
        <v>51</v>
      </c>
      <c r="H1061">
        <v>9.17</v>
      </c>
      <c r="I1061" t="s">
        <v>52</v>
      </c>
      <c r="J1061" t="s">
        <v>121</v>
      </c>
      <c r="K1061" t="s">
        <v>54</v>
      </c>
      <c r="L1061" t="s">
        <v>55</v>
      </c>
      <c r="O1061" t="s">
        <v>122</v>
      </c>
      <c r="P1061" t="s">
        <v>123</v>
      </c>
      <c r="Q1061">
        <v>22757.23</v>
      </c>
      <c r="R1061">
        <v>-9.17</v>
      </c>
      <c r="S1061" t="s">
        <v>2895</v>
      </c>
      <c r="T1061" t="s">
        <v>2896</v>
      </c>
      <c r="U1061" t="s">
        <v>2897</v>
      </c>
    </row>
    <row r="1062" spans="1:21">
      <c r="A1062" t="s">
        <v>2242</v>
      </c>
      <c r="B1062" s="7">
        <v>46226</v>
      </c>
      <c r="C1062" s="8">
        <v>0.50503472222222223</v>
      </c>
      <c r="D1062" t="s">
        <v>17</v>
      </c>
      <c r="E1062" t="s">
        <v>2</v>
      </c>
      <c r="F1062" t="s">
        <v>50</v>
      </c>
      <c r="G1062" t="s">
        <v>51</v>
      </c>
      <c r="H1062">
        <v>127.68</v>
      </c>
      <c r="I1062" t="s">
        <v>52</v>
      </c>
      <c r="J1062" t="s">
        <v>65</v>
      </c>
      <c r="K1062" t="s">
        <v>54</v>
      </c>
      <c r="L1062" t="s">
        <v>55</v>
      </c>
      <c r="O1062" t="s">
        <v>66</v>
      </c>
      <c r="P1062" t="s">
        <v>67</v>
      </c>
      <c r="Q1062">
        <v>22766.400000000001</v>
      </c>
      <c r="R1062">
        <v>-127.68</v>
      </c>
      <c r="S1062" t="s">
        <v>2895</v>
      </c>
      <c r="T1062" t="s">
        <v>2896</v>
      </c>
      <c r="U1062" t="s">
        <v>2897</v>
      </c>
    </row>
    <row r="1063" spans="1:21">
      <c r="A1063" t="s">
        <v>2244</v>
      </c>
      <c r="B1063" s="7">
        <v>46226</v>
      </c>
      <c r="C1063" s="8">
        <v>0.51662037037037034</v>
      </c>
      <c r="D1063" t="s">
        <v>17</v>
      </c>
      <c r="E1063" t="s">
        <v>2</v>
      </c>
      <c r="F1063" t="s">
        <v>50</v>
      </c>
      <c r="G1063" t="s">
        <v>100</v>
      </c>
      <c r="H1063">
        <v>15</v>
      </c>
      <c r="I1063" t="s">
        <v>52</v>
      </c>
      <c r="J1063" t="s">
        <v>101</v>
      </c>
      <c r="K1063" t="s">
        <v>54</v>
      </c>
      <c r="L1063" t="s">
        <v>102</v>
      </c>
      <c r="O1063" t="s">
        <v>103</v>
      </c>
      <c r="P1063" t="s">
        <v>104</v>
      </c>
      <c r="Q1063">
        <v>22894.080000000002</v>
      </c>
      <c r="R1063">
        <v>-15</v>
      </c>
      <c r="S1063" t="s">
        <v>2895</v>
      </c>
      <c r="T1063" t="s">
        <v>2896</v>
      </c>
      <c r="U1063" t="s">
        <v>2897</v>
      </c>
    </row>
    <row r="1064" spans="1:21">
      <c r="A1064" t="s">
        <v>2246</v>
      </c>
      <c r="B1064" s="7">
        <v>46226</v>
      </c>
      <c r="C1064" s="8">
        <v>0.52111111111111108</v>
      </c>
      <c r="D1064" t="s">
        <v>17</v>
      </c>
      <c r="E1064" t="s">
        <v>2</v>
      </c>
      <c r="F1064" t="s">
        <v>50</v>
      </c>
      <c r="G1064" t="s">
        <v>51</v>
      </c>
      <c r="H1064">
        <v>48.06</v>
      </c>
      <c r="I1064" t="s">
        <v>52</v>
      </c>
      <c r="J1064" t="s">
        <v>60</v>
      </c>
      <c r="K1064" t="s">
        <v>54</v>
      </c>
      <c r="L1064" t="s">
        <v>55</v>
      </c>
      <c r="O1064" t="s">
        <v>61</v>
      </c>
      <c r="P1064" t="s">
        <v>62</v>
      </c>
      <c r="Q1064">
        <v>23038.77</v>
      </c>
      <c r="R1064">
        <v>-48.06</v>
      </c>
      <c r="S1064" t="s">
        <v>2895</v>
      </c>
      <c r="T1064" t="s">
        <v>2896</v>
      </c>
      <c r="U1064" t="s">
        <v>2897</v>
      </c>
    </row>
    <row r="1065" spans="1:21">
      <c r="A1065" t="s">
        <v>2248</v>
      </c>
      <c r="B1065" s="7">
        <v>46226</v>
      </c>
      <c r="C1065" s="8">
        <v>0.55890046296296292</v>
      </c>
      <c r="D1065" t="s">
        <v>17</v>
      </c>
      <c r="E1065" t="s">
        <v>2</v>
      </c>
      <c r="F1065" t="s">
        <v>50</v>
      </c>
      <c r="G1065" t="s">
        <v>51</v>
      </c>
      <c r="H1065">
        <v>33.49</v>
      </c>
      <c r="I1065" t="s">
        <v>52</v>
      </c>
      <c r="J1065" t="s">
        <v>65</v>
      </c>
      <c r="K1065" t="s">
        <v>54</v>
      </c>
      <c r="L1065" t="s">
        <v>55</v>
      </c>
      <c r="O1065" t="s">
        <v>66</v>
      </c>
      <c r="P1065" t="s">
        <v>67</v>
      </c>
      <c r="Q1065">
        <v>23101.83</v>
      </c>
      <c r="R1065">
        <v>-33.49</v>
      </c>
      <c r="S1065" t="s">
        <v>2895</v>
      </c>
      <c r="T1065" t="s">
        <v>2896</v>
      </c>
      <c r="U1065" t="s">
        <v>2897</v>
      </c>
    </row>
    <row r="1066" spans="1:21">
      <c r="A1066" t="s">
        <v>2250</v>
      </c>
      <c r="B1066" s="7">
        <v>46226</v>
      </c>
      <c r="C1066" s="8">
        <v>0.92171296296296301</v>
      </c>
      <c r="D1066" t="s">
        <v>17</v>
      </c>
      <c r="E1066" t="s">
        <v>2</v>
      </c>
      <c r="F1066" t="s">
        <v>50</v>
      </c>
      <c r="G1066" t="s">
        <v>51</v>
      </c>
      <c r="H1066">
        <v>112.58</v>
      </c>
      <c r="I1066" t="s">
        <v>52</v>
      </c>
      <c r="J1066" t="s">
        <v>65</v>
      </c>
      <c r="K1066" t="s">
        <v>54</v>
      </c>
      <c r="L1066" t="s">
        <v>55</v>
      </c>
      <c r="O1066" t="s">
        <v>66</v>
      </c>
      <c r="P1066" t="s">
        <v>67</v>
      </c>
      <c r="Q1066">
        <v>22909.08</v>
      </c>
      <c r="R1066">
        <v>-112.58</v>
      </c>
      <c r="S1066" t="s">
        <v>2895</v>
      </c>
      <c r="T1066" t="s">
        <v>2896</v>
      </c>
      <c r="U1066" t="s">
        <v>2897</v>
      </c>
    </row>
    <row r="1067" spans="1:21">
      <c r="A1067" t="s">
        <v>2252</v>
      </c>
      <c r="B1067" s="7">
        <v>46227</v>
      </c>
      <c r="C1067" s="8">
        <v>0.3137152777777778</v>
      </c>
      <c r="D1067" t="s">
        <v>17</v>
      </c>
      <c r="E1067" t="s">
        <v>2</v>
      </c>
      <c r="F1067" t="s">
        <v>50</v>
      </c>
      <c r="G1067" t="s">
        <v>72</v>
      </c>
      <c r="H1067">
        <v>41.56</v>
      </c>
      <c r="I1067" t="s">
        <v>52</v>
      </c>
      <c r="J1067" t="s">
        <v>73</v>
      </c>
      <c r="K1067" t="s">
        <v>54</v>
      </c>
      <c r="L1067" t="s">
        <v>74</v>
      </c>
      <c r="O1067" t="s">
        <v>75</v>
      </c>
      <c r="P1067" t="s">
        <v>76</v>
      </c>
      <c r="Q1067">
        <v>22433</v>
      </c>
      <c r="R1067">
        <v>-41.56</v>
      </c>
      <c r="S1067" t="s">
        <v>2895</v>
      </c>
      <c r="T1067" t="s">
        <v>2896</v>
      </c>
      <c r="U1067" t="s">
        <v>2897</v>
      </c>
    </row>
    <row r="1068" spans="1:21">
      <c r="A1068" t="s">
        <v>2254</v>
      </c>
      <c r="B1068" s="7">
        <v>46227</v>
      </c>
      <c r="C1068" s="8">
        <v>0.34386574074074072</v>
      </c>
      <c r="D1068" t="s">
        <v>17</v>
      </c>
      <c r="E1068" t="s">
        <v>2</v>
      </c>
      <c r="F1068" t="s">
        <v>50</v>
      </c>
      <c r="G1068" t="s">
        <v>51</v>
      </c>
      <c r="H1068">
        <v>22.86</v>
      </c>
      <c r="I1068" t="s">
        <v>52</v>
      </c>
      <c r="J1068" t="s">
        <v>126</v>
      </c>
      <c r="K1068" t="s">
        <v>54</v>
      </c>
      <c r="L1068" t="s">
        <v>55</v>
      </c>
      <c r="O1068" t="s">
        <v>56</v>
      </c>
      <c r="P1068" t="s">
        <v>57</v>
      </c>
      <c r="Q1068">
        <v>22593.33</v>
      </c>
      <c r="R1068">
        <v>-22.86</v>
      </c>
      <c r="S1068" t="s">
        <v>2895</v>
      </c>
      <c r="T1068" t="s">
        <v>2896</v>
      </c>
      <c r="U1068" t="s">
        <v>2897</v>
      </c>
    </row>
    <row r="1069" spans="1:21">
      <c r="A1069" t="s">
        <v>2256</v>
      </c>
      <c r="B1069" s="7">
        <v>46227</v>
      </c>
      <c r="C1069" s="8">
        <v>0.44761574074074073</v>
      </c>
      <c r="D1069" t="s">
        <v>17</v>
      </c>
      <c r="E1069" t="s">
        <v>2</v>
      </c>
      <c r="F1069" t="s">
        <v>50</v>
      </c>
      <c r="G1069" t="s">
        <v>51</v>
      </c>
      <c r="H1069">
        <v>25.59</v>
      </c>
      <c r="I1069" t="s">
        <v>52</v>
      </c>
      <c r="J1069" t="s">
        <v>65</v>
      </c>
      <c r="K1069" t="s">
        <v>54</v>
      </c>
      <c r="L1069" t="s">
        <v>55</v>
      </c>
      <c r="O1069" t="s">
        <v>66</v>
      </c>
      <c r="P1069" t="s">
        <v>67</v>
      </c>
      <c r="Q1069">
        <v>22552.74</v>
      </c>
      <c r="R1069">
        <v>-25.59</v>
      </c>
      <c r="S1069" t="s">
        <v>2895</v>
      </c>
      <c r="T1069" t="s">
        <v>2896</v>
      </c>
      <c r="U1069" t="s">
        <v>2897</v>
      </c>
    </row>
    <row r="1070" spans="1:21">
      <c r="A1070" t="s">
        <v>2258</v>
      </c>
      <c r="B1070" s="7">
        <v>46227</v>
      </c>
      <c r="C1070" s="8">
        <v>0.55596064814814816</v>
      </c>
      <c r="D1070" t="s">
        <v>17</v>
      </c>
      <c r="E1070" t="s">
        <v>2</v>
      </c>
      <c r="F1070" t="s">
        <v>50</v>
      </c>
      <c r="G1070" t="s">
        <v>51</v>
      </c>
      <c r="H1070">
        <v>28.29</v>
      </c>
      <c r="I1070" t="s">
        <v>52</v>
      </c>
      <c r="J1070" t="s">
        <v>60</v>
      </c>
      <c r="K1070" t="s">
        <v>54</v>
      </c>
      <c r="L1070" t="s">
        <v>55</v>
      </c>
      <c r="O1070" t="s">
        <v>61</v>
      </c>
      <c r="P1070" t="s">
        <v>62</v>
      </c>
      <c r="Q1070">
        <v>22524.45</v>
      </c>
      <c r="R1070">
        <v>-28.29</v>
      </c>
      <c r="S1070" t="s">
        <v>2895</v>
      </c>
      <c r="T1070" t="s">
        <v>2896</v>
      </c>
      <c r="U1070" t="s">
        <v>2897</v>
      </c>
    </row>
    <row r="1071" spans="1:21">
      <c r="A1071" t="s">
        <v>2260</v>
      </c>
      <c r="B1071" s="7">
        <v>46227</v>
      </c>
      <c r="C1071" s="8">
        <v>0.70819444444444446</v>
      </c>
      <c r="D1071" t="s">
        <v>17</v>
      </c>
      <c r="E1071" t="s">
        <v>2</v>
      </c>
      <c r="F1071" t="s">
        <v>50</v>
      </c>
      <c r="G1071" t="s">
        <v>100</v>
      </c>
      <c r="H1071">
        <v>15</v>
      </c>
      <c r="I1071" t="s">
        <v>52</v>
      </c>
      <c r="J1071" t="s">
        <v>101</v>
      </c>
      <c r="K1071" t="s">
        <v>54</v>
      </c>
      <c r="L1071" t="s">
        <v>102</v>
      </c>
      <c r="O1071" t="s">
        <v>103</v>
      </c>
      <c r="P1071" t="s">
        <v>104</v>
      </c>
      <c r="Q1071">
        <v>22578.33</v>
      </c>
      <c r="R1071">
        <v>-15</v>
      </c>
      <c r="S1071" t="s">
        <v>2895</v>
      </c>
      <c r="T1071" t="s">
        <v>2896</v>
      </c>
      <c r="U1071" t="s">
        <v>2897</v>
      </c>
    </row>
    <row r="1072" spans="1:21">
      <c r="A1072" t="s">
        <v>2262</v>
      </c>
      <c r="B1072" s="7">
        <v>46227</v>
      </c>
      <c r="C1072" s="8">
        <v>0.86541666666666661</v>
      </c>
      <c r="D1072" t="s">
        <v>17</v>
      </c>
      <c r="E1072" t="s">
        <v>2</v>
      </c>
      <c r="F1072" t="s">
        <v>50</v>
      </c>
      <c r="G1072" t="s">
        <v>51</v>
      </c>
      <c r="H1072">
        <v>49.89</v>
      </c>
      <c r="I1072" t="s">
        <v>52</v>
      </c>
      <c r="J1072" t="s">
        <v>81</v>
      </c>
      <c r="K1072" t="s">
        <v>54</v>
      </c>
      <c r="L1072" t="s">
        <v>55</v>
      </c>
      <c r="O1072" t="s">
        <v>82</v>
      </c>
      <c r="P1072" t="s">
        <v>83</v>
      </c>
      <c r="Q1072">
        <v>22474.560000000001</v>
      </c>
      <c r="R1072">
        <v>-49.89</v>
      </c>
      <c r="S1072" t="s">
        <v>2895</v>
      </c>
      <c r="T1072" t="s">
        <v>2896</v>
      </c>
      <c r="U1072" t="s">
        <v>2897</v>
      </c>
    </row>
    <row r="1073" spans="1:21">
      <c r="A1073" t="s">
        <v>2264</v>
      </c>
      <c r="B1073" s="7">
        <v>46227</v>
      </c>
      <c r="C1073" s="8">
        <v>0.90599537037037037</v>
      </c>
      <c r="D1073" t="s">
        <v>17</v>
      </c>
      <c r="E1073" t="s">
        <v>2</v>
      </c>
      <c r="F1073" t="s">
        <v>50</v>
      </c>
      <c r="G1073" t="s">
        <v>51</v>
      </c>
      <c r="H1073">
        <v>141.04</v>
      </c>
      <c r="I1073" t="s">
        <v>52</v>
      </c>
      <c r="J1073" t="s">
        <v>65</v>
      </c>
      <c r="K1073" t="s">
        <v>54</v>
      </c>
      <c r="L1073" t="s">
        <v>55</v>
      </c>
      <c r="O1073" t="s">
        <v>66</v>
      </c>
      <c r="P1073" t="s">
        <v>67</v>
      </c>
      <c r="Q1073">
        <v>22616.19</v>
      </c>
      <c r="R1073">
        <v>-141.04</v>
      </c>
      <c r="S1073" t="s">
        <v>2895</v>
      </c>
      <c r="T1073" t="s">
        <v>2896</v>
      </c>
      <c r="U1073" t="s">
        <v>2897</v>
      </c>
    </row>
    <row r="1074" spans="1:21">
      <c r="A1074" t="s">
        <v>2266</v>
      </c>
      <c r="B1074" s="7">
        <v>46228</v>
      </c>
      <c r="C1074" s="8">
        <v>0.49723379629629627</v>
      </c>
      <c r="D1074" t="s">
        <v>17</v>
      </c>
      <c r="E1074" t="s">
        <v>2</v>
      </c>
      <c r="F1074" t="s">
        <v>50</v>
      </c>
      <c r="G1074" t="s">
        <v>100</v>
      </c>
      <c r="H1074">
        <v>15.69</v>
      </c>
      <c r="I1074" t="s">
        <v>52</v>
      </c>
      <c r="J1074" t="s">
        <v>114</v>
      </c>
      <c r="K1074" t="s">
        <v>54</v>
      </c>
      <c r="L1074" t="s">
        <v>102</v>
      </c>
      <c r="O1074" t="s">
        <v>103</v>
      </c>
      <c r="P1074" t="s">
        <v>104</v>
      </c>
      <c r="Q1074">
        <v>22353.759999999998</v>
      </c>
      <c r="R1074">
        <v>-15.69</v>
      </c>
      <c r="S1074" t="s">
        <v>2895</v>
      </c>
      <c r="T1074" t="s">
        <v>2896</v>
      </c>
      <c r="U1074" t="s">
        <v>2897</v>
      </c>
    </row>
    <row r="1075" spans="1:21">
      <c r="A1075" t="s">
        <v>2268</v>
      </c>
      <c r="B1075" s="7">
        <v>46228</v>
      </c>
      <c r="C1075" s="8">
        <v>0.52512731481481478</v>
      </c>
      <c r="D1075" t="s">
        <v>17</v>
      </c>
      <c r="E1075" t="s">
        <v>2</v>
      </c>
      <c r="F1075" t="s">
        <v>50</v>
      </c>
      <c r="G1075" t="s">
        <v>100</v>
      </c>
      <c r="H1075">
        <v>20.46</v>
      </c>
      <c r="I1075" t="s">
        <v>52</v>
      </c>
      <c r="J1075" t="s">
        <v>114</v>
      </c>
      <c r="K1075" t="s">
        <v>54</v>
      </c>
      <c r="L1075" t="s">
        <v>102</v>
      </c>
      <c r="O1075" t="s">
        <v>103</v>
      </c>
      <c r="P1075" t="s">
        <v>104</v>
      </c>
      <c r="Q1075">
        <v>22412.54</v>
      </c>
      <c r="R1075">
        <v>-20.46</v>
      </c>
      <c r="S1075" t="s">
        <v>2895</v>
      </c>
      <c r="T1075" t="s">
        <v>2896</v>
      </c>
      <c r="U1075" t="s">
        <v>2897</v>
      </c>
    </row>
    <row r="1076" spans="1:21">
      <c r="A1076" t="s">
        <v>2270</v>
      </c>
      <c r="B1076" s="7">
        <v>46228</v>
      </c>
      <c r="C1076" s="8">
        <v>0.55608796296296292</v>
      </c>
      <c r="D1076" t="s">
        <v>17</v>
      </c>
      <c r="E1076" t="s">
        <v>2</v>
      </c>
      <c r="F1076" t="s">
        <v>50</v>
      </c>
      <c r="G1076" t="s">
        <v>51</v>
      </c>
      <c r="H1076">
        <v>48.35</v>
      </c>
      <c r="I1076" t="s">
        <v>52</v>
      </c>
      <c r="J1076" t="s">
        <v>81</v>
      </c>
      <c r="K1076" t="s">
        <v>54</v>
      </c>
      <c r="L1076" t="s">
        <v>55</v>
      </c>
      <c r="O1076" t="s">
        <v>82</v>
      </c>
      <c r="P1076" t="s">
        <v>83</v>
      </c>
      <c r="Q1076">
        <v>22305.41</v>
      </c>
      <c r="R1076">
        <v>-48.35</v>
      </c>
      <c r="S1076" t="s">
        <v>2895</v>
      </c>
      <c r="T1076" t="s">
        <v>2896</v>
      </c>
      <c r="U1076" t="s">
        <v>2897</v>
      </c>
    </row>
    <row r="1077" spans="1:21">
      <c r="A1077" t="s">
        <v>2272</v>
      </c>
      <c r="B1077" s="7">
        <v>46228</v>
      </c>
      <c r="C1077" s="8">
        <v>0.72847222222222219</v>
      </c>
      <c r="D1077" t="s">
        <v>17</v>
      </c>
      <c r="E1077" t="s">
        <v>2</v>
      </c>
      <c r="F1077" t="s">
        <v>50</v>
      </c>
      <c r="G1077" t="s">
        <v>51</v>
      </c>
      <c r="H1077">
        <v>15.47</v>
      </c>
      <c r="I1077" t="s">
        <v>52</v>
      </c>
      <c r="J1077" t="s">
        <v>53</v>
      </c>
      <c r="K1077" t="s">
        <v>54</v>
      </c>
      <c r="L1077" t="s">
        <v>55</v>
      </c>
      <c r="O1077" t="s">
        <v>56</v>
      </c>
      <c r="P1077" t="s">
        <v>57</v>
      </c>
      <c r="Q1077">
        <v>22369.45</v>
      </c>
      <c r="R1077">
        <v>-15.47</v>
      </c>
      <c r="S1077" t="s">
        <v>2895</v>
      </c>
      <c r="T1077" t="s">
        <v>2896</v>
      </c>
      <c r="U1077" t="s">
        <v>2897</v>
      </c>
    </row>
    <row r="1078" spans="1:21">
      <c r="A1078" t="s">
        <v>2274</v>
      </c>
      <c r="B1078" s="7">
        <v>46228</v>
      </c>
      <c r="C1078" s="8">
        <v>0.75871527777777781</v>
      </c>
      <c r="D1078" t="s">
        <v>17</v>
      </c>
      <c r="E1078" t="s">
        <v>2</v>
      </c>
      <c r="F1078" t="s">
        <v>50</v>
      </c>
      <c r="G1078" t="s">
        <v>51</v>
      </c>
      <c r="H1078">
        <v>54.91</v>
      </c>
      <c r="I1078" t="s">
        <v>52</v>
      </c>
      <c r="J1078" t="s">
        <v>60</v>
      </c>
      <c r="K1078" t="s">
        <v>54</v>
      </c>
      <c r="L1078" t="s">
        <v>55</v>
      </c>
      <c r="O1078" t="s">
        <v>61</v>
      </c>
      <c r="P1078" t="s">
        <v>62</v>
      </c>
      <c r="Q1078">
        <v>22250.5</v>
      </c>
      <c r="R1078">
        <v>-54.91</v>
      </c>
      <c r="S1078" t="s">
        <v>2895</v>
      </c>
      <c r="T1078" t="s">
        <v>2896</v>
      </c>
      <c r="U1078" t="s">
        <v>2897</v>
      </c>
    </row>
    <row r="1079" spans="1:21">
      <c r="A1079" t="s">
        <v>2276</v>
      </c>
      <c r="B1079" s="7">
        <v>46228</v>
      </c>
      <c r="C1079" s="8">
        <v>0.84577546296296291</v>
      </c>
      <c r="D1079" t="s">
        <v>17</v>
      </c>
      <c r="E1079" t="s">
        <v>2</v>
      </c>
      <c r="F1079" t="s">
        <v>50</v>
      </c>
      <c r="G1079" t="s">
        <v>100</v>
      </c>
      <c r="H1079">
        <v>15.21</v>
      </c>
      <c r="I1079" t="s">
        <v>52</v>
      </c>
      <c r="J1079" t="s">
        <v>114</v>
      </c>
      <c r="K1079" t="s">
        <v>54</v>
      </c>
      <c r="L1079" t="s">
        <v>102</v>
      </c>
      <c r="O1079" t="s">
        <v>103</v>
      </c>
      <c r="P1079" t="s">
        <v>104</v>
      </c>
      <c r="Q1079">
        <v>22397.33</v>
      </c>
      <c r="R1079">
        <v>-15.21</v>
      </c>
      <c r="S1079" t="s">
        <v>2895</v>
      </c>
      <c r="T1079" t="s">
        <v>2896</v>
      </c>
      <c r="U1079" t="s">
        <v>2897</v>
      </c>
    </row>
    <row r="1080" spans="1:21">
      <c r="A1080" t="s">
        <v>2278</v>
      </c>
      <c r="B1080" s="7">
        <v>46228</v>
      </c>
      <c r="C1080" s="8">
        <v>0.9232407407407407</v>
      </c>
      <c r="D1080" t="s">
        <v>17</v>
      </c>
      <c r="E1080" t="s">
        <v>2</v>
      </c>
      <c r="F1080" t="s">
        <v>50</v>
      </c>
      <c r="G1080" t="s">
        <v>100</v>
      </c>
      <c r="H1080">
        <v>12.41</v>
      </c>
      <c r="I1080" t="s">
        <v>52</v>
      </c>
      <c r="J1080" t="s">
        <v>114</v>
      </c>
      <c r="K1080" t="s">
        <v>54</v>
      </c>
      <c r="L1080" t="s">
        <v>102</v>
      </c>
      <c r="O1080" t="s">
        <v>103</v>
      </c>
      <c r="P1080" t="s">
        <v>104</v>
      </c>
      <c r="Q1080">
        <v>22384.92</v>
      </c>
      <c r="R1080">
        <v>-12.41</v>
      </c>
      <c r="S1080" t="s">
        <v>2895</v>
      </c>
      <c r="T1080" t="s">
        <v>2896</v>
      </c>
      <c r="U1080" t="s">
        <v>2897</v>
      </c>
    </row>
    <row r="1081" spans="1:21">
      <c r="A1081" t="s">
        <v>2280</v>
      </c>
      <c r="B1081" s="7">
        <v>46229</v>
      </c>
      <c r="C1081" s="8">
        <v>0.32856481481481481</v>
      </c>
      <c r="D1081" t="s">
        <v>17</v>
      </c>
      <c r="E1081" t="s">
        <v>2</v>
      </c>
      <c r="F1081" t="s">
        <v>50</v>
      </c>
      <c r="G1081" t="s">
        <v>100</v>
      </c>
      <c r="H1081">
        <v>19.88</v>
      </c>
      <c r="I1081" t="s">
        <v>52</v>
      </c>
      <c r="J1081" t="s">
        <v>114</v>
      </c>
      <c r="K1081" t="s">
        <v>54</v>
      </c>
      <c r="L1081" t="s">
        <v>102</v>
      </c>
      <c r="O1081" t="s">
        <v>103</v>
      </c>
      <c r="P1081" t="s">
        <v>104</v>
      </c>
      <c r="Q1081">
        <v>22222.1</v>
      </c>
      <c r="R1081">
        <v>-19.88</v>
      </c>
      <c r="S1081" t="s">
        <v>2895</v>
      </c>
      <c r="T1081" t="s">
        <v>2896</v>
      </c>
      <c r="U1081" t="s">
        <v>2897</v>
      </c>
    </row>
    <row r="1082" spans="1:21">
      <c r="A1082" t="s">
        <v>2282</v>
      </c>
      <c r="B1082" s="7">
        <v>46229</v>
      </c>
      <c r="C1082" s="8">
        <v>0.33401620370370372</v>
      </c>
      <c r="D1082" t="s">
        <v>17</v>
      </c>
      <c r="E1082" t="s">
        <v>2</v>
      </c>
      <c r="F1082" t="s">
        <v>50</v>
      </c>
      <c r="G1082" t="s">
        <v>51</v>
      </c>
      <c r="H1082">
        <v>119.86</v>
      </c>
      <c r="I1082" t="s">
        <v>52</v>
      </c>
      <c r="J1082" t="s">
        <v>196</v>
      </c>
      <c r="K1082" t="s">
        <v>54</v>
      </c>
      <c r="L1082" t="s">
        <v>55</v>
      </c>
      <c r="O1082" t="s">
        <v>197</v>
      </c>
      <c r="P1082" t="s">
        <v>198</v>
      </c>
      <c r="Q1082">
        <v>22010.36</v>
      </c>
      <c r="R1082">
        <v>-119.86</v>
      </c>
      <c r="S1082" t="s">
        <v>2895</v>
      </c>
      <c r="T1082" t="s">
        <v>2896</v>
      </c>
      <c r="U1082" t="s">
        <v>2897</v>
      </c>
    </row>
    <row r="1083" spans="1:21">
      <c r="A1083" t="s">
        <v>2284</v>
      </c>
      <c r="B1083" s="7">
        <v>46229</v>
      </c>
      <c r="C1083" s="8">
        <v>0.50452546296296297</v>
      </c>
      <c r="D1083" t="s">
        <v>17</v>
      </c>
      <c r="E1083" t="s">
        <v>2</v>
      </c>
      <c r="F1083" t="s">
        <v>50</v>
      </c>
      <c r="G1083" t="s">
        <v>51</v>
      </c>
      <c r="H1083">
        <v>42.94</v>
      </c>
      <c r="I1083" t="s">
        <v>52</v>
      </c>
      <c r="J1083" t="s">
        <v>126</v>
      </c>
      <c r="K1083" t="s">
        <v>54</v>
      </c>
      <c r="L1083" t="s">
        <v>55</v>
      </c>
      <c r="O1083" t="s">
        <v>56</v>
      </c>
      <c r="P1083" t="s">
        <v>57</v>
      </c>
      <c r="Q1083">
        <v>22179.16</v>
      </c>
      <c r="R1083">
        <v>-42.94</v>
      </c>
      <c r="S1083" t="s">
        <v>2895</v>
      </c>
      <c r="T1083" t="s">
        <v>2896</v>
      </c>
      <c r="U1083" t="s">
        <v>2897</v>
      </c>
    </row>
    <row r="1084" spans="1:21">
      <c r="A1084" t="s">
        <v>2286</v>
      </c>
      <c r="B1084" s="7">
        <v>46229</v>
      </c>
      <c r="C1084" s="8">
        <v>0.58568287037037037</v>
      </c>
      <c r="D1084" t="s">
        <v>17</v>
      </c>
      <c r="E1084" t="s">
        <v>2</v>
      </c>
      <c r="F1084" t="s">
        <v>50</v>
      </c>
      <c r="G1084" t="s">
        <v>100</v>
      </c>
      <c r="H1084">
        <v>19.36</v>
      </c>
      <c r="I1084" t="s">
        <v>52</v>
      </c>
      <c r="J1084" t="s">
        <v>114</v>
      </c>
      <c r="K1084" t="s">
        <v>54</v>
      </c>
      <c r="L1084" t="s">
        <v>102</v>
      </c>
      <c r="O1084" t="s">
        <v>103</v>
      </c>
      <c r="P1084" t="s">
        <v>104</v>
      </c>
      <c r="Q1084">
        <v>22130.22</v>
      </c>
      <c r="R1084">
        <v>-19.36</v>
      </c>
      <c r="S1084" t="s">
        <v>2895</v>
      </c>
      <c r="T1084" t="s">
        <v>2896</v>
      </c>
      <c r="U1084" t="s">
        <v>2897</v>
      </c>
    </row>
    <row r="1085" spans="1:21">
      <c r="A1085" t="s">
        <v>2288</v>
      </c>
      <c r="B1085" s="7">
        <v>46229</v>
      </c>
      <c r="C1085" s="8">
        <v>0.67159722222222218</v>
      </c>
      <c r="D1085" t="s">
        <v>17</v>
      </c>
      <c r="E1085" t="s">
        <v>2</v>
      </c>
      <c r="F1085" t="s">
        <v>50</v>
      </c>
      <c r="G1085" t="s">
        <v>51</v>
      </c>
      <c r="H1085">
        <v>8.52</v>
      </c>
      <c r="I1085" t="s">
        <v>52</v>
      </c>
      <c r="J1085" t="s">
        <v>53</v>
      </c>
      <c r="K1085" t="s">
        <v>54</v>
      </c>
      <c r="L1085" t="s">
        <v>55</v>
      </c>
      <c r="O1085" t="s">
        <v>56</v>
      </c>
      <c r="P1085" t="s">
        <v>57</v>
      </c>
      <c r="Q1085">
        <v>22241.98</v>
      </c>
      <c r="R1085">
        <v>-8.52</v>
      </c>
      <c r="S1085" t="s">
        <v>2895</v>
      </c>
      <c r="T1085" t="s">
        <v>2896</v>
      </c>
      <c r="U1085" t="s">
        <v>2897</v>
      </c>
    </row>
    <row r="1086" spans="1:21">
      <c r="A1086" t="s">
        <v>2290</v>
      </c>
      <c r="B1086" s="7">
        <v>46229</v>
      </c>
      <c r="C1086" s="8">
        <v>0.77952546296296299</v>
      </c>
      <c r="D1086" t="s">
        <v>17</v>
      </c>
      <c r="E1086" t="s">
        <v>2</v>
      </c>
      <c r="F1086" t="s">
        <v>50</v>
      </c>
      <c r="G1086" t="s">
        <v>51</v>
      </c>
      <c r="H1086">
        <v>29.58</v>
      </c>
      <c r="I1086" t="s">
        <v>52</v>
      </c>
      <c r="J1086" t="s">
        <v>196</v>
      </c>
      <c r="K1086" t="s">
        <v>54</v>
      </c>
      <c r="L1086" t="s">
        <v>55</v>
      </c>
      <c r="O1086" t="s">
        <v>197</v>
      </c>
      <c r="P1086" t="s">
        <v>198</v>
      </c>
      <c r="Q1086">
        <v>22149.58</v>
      </c>
      <c r="R1086">
        <v>-29.58</v>
      </c>
      <c r="S1086" t="s">
        <v>2895</v>
      </c>
      <c r="T1086" t="s">
        <v>2896</v>
      </c>
      <c r="U1086" t="s">
        <v>2897</v>
      </c>
    </row>
    <row r="1087" spans="1:21">
      <c r="A1087" t="s">
        <v>2292</v>
      </c>
      <c r="B1087" s="7">
        <v>46230</v>
      </c>
      <c r="C1087" s="8">
        <v>0.30804398148148149</v>
      </c>
      <c r="D1087" t="s">
        <v>17</v>
      </c>
      <c r="E1087" t="s">
        <v>2</v>
      </c>
      <c r="F1087" t="s">
        <v>50</v>
      </c>
      <c r="G1087" t="s">
        <v>100</v>
      </c>
      <c r="H1087">
        <v>15</v>
      </c>
      <c r="I1087" t="s">
        <v>52</v>
      </c>
      <c r="J1087" t="s">
        <v>101</v>
      </c>
      <c r="K1087" t="s">
        <v>54</v>
      </c>
      <c r="L1087" t="s">
        <v>102</v>
      </c>
      <c r="O1087" t="s">
        <v>103</v>
      </c>
      <c r="P1087" t="s">
        <v>104</v>
      </c>
      <c r="Q1087">
        <v>21995.360000000001</v>
      </c>
      <c r="R1087">
        <v>-15</v>
      </c>
      <c r="S1087" t="s">
        <v>2895</v>
      </c>
      <c r="T1087" t="s">
        <v>2896</v>
      </c>
      <c r="U1087" t="s">
        <v>2897</v>
      </c>
    </row>
    <row r="1088" spans="1:21">
      <c r="A1088" t="s">
        <v>2294</v>
      </c>
      <c r="B1088" s="7">
        <v>46230</v>
      </c>
      <c r="C1088" s="8">
        <v>0.32822916666666668</v>
      </c>
      <c r="D1088" t="s">
        <v>17</v>
      </c>
      <c r="E1088" t="s">
        <v>2</v>
      </c>
      <c r="F1088" t="s">
        <v>50</v>
      </c>
      <c r="G1088" t="s">
        <v>51</v>
      </c>
      <c r="H1088">
        <v>18.62</v>
      </c>
      <c r="I1088" t="s">
        <v>52</v>
      </c>
      <c r="J1088" t="s">
        <v>121</v>
      </c>
      <c r="K1088" t="s">
        <v>54</v>
      </c>
      <c r="L1088" t="s">
        <v>55</v>
      </c>
      <c r="O1088" t="s">
        <v>122</v>
      </c>
      <c r="P1088" t="s">
        <v>123</v>
      </c>
      <c r="Q1088">
        <v>21976.74</v>
      </c>
      <c r="R1088">
        <v>-18.62</v>
      </c>
      <c r="S1088" t="s">
        <v>2895</v>
      </c>
      <c r="T1088" t="s">
        <v>2896</v>
      </c>
      <c r="U1088" t="s">
        <v>2897</v>
      </c>
    </row>
    <row r="1089" spans="1:21">
      <c r="A1089" t="s">
        <v>2296</v>
      </c>
      <c r="B1089" s="7">
        <v>46230</v>
      </c>
      <c r="C1089" s="8">
        <v>0.37035879629629631</v>
      </c>
      <c r="D1089" t="s">
        <v>17</v>
      </c>
      <c r="E1089" t="s">
        <v>2</v>
      </c>
      <c r="F1089" t="s">
        <v>50</v>
      </c>
      <c r="G1089" t="s">
        <v>51</v>
      </c>
      <c r="H1089">
        <v>11.41</v>
      </c>
      <c r="I1089" t="s">
        <v>52</v>
      </c>
      <c r="J1089" t="s">
        <v>53</v>
      </c>
      <c r="K1089" t="s">
        <v>54</v>
      </c>
      <c r="L1089" t="s">
        <v>55</v>
      </c>
      <c r="O1089" t="s">
        <v>56</v>
      </c>
      <c r="P1089" t="s">
        <v>57</v>
      </c>
      <c r="Q1089">
        <v>21965.33</v>
      </c>
      <c r="R1089">
        <v>-11.41</v>
      </c>
      <c r="S1089" t="s">
        <v>2895</v>
      </c>
      <c r="T1089" t="s">
        <v>2896</v>
      </c>
      <c r="U1089" t="s">
        <v>2897</v>
      </c>
    </row>
    <row r="1090" spans="1:21">
      <c r="A1090" t="s">
        <v>2298</v>
      </c>
      <c r="B1090" s="7">
        <v>46230</v>
      </c>
      <c r="C1090" s="8">
        <v>0.50871527777777781</v>
      </c>
      <c r="D1090" t="s">
        <v>17</v>
      </c>
      <c r="E1090" t="s">
        <v>2</v>
      </c>
      <c r="F1090" t="s">
        <v>50</v>
      </c>
      <c r="G1090" t="s">
        <v>51</v>
      </c>
      <c r="H1090">
        <v>106.64</v>
      </c>
      <c r="I1090" t="s">
        <v>52</v>
      </c>
      <c r="J1090" t="s">
        <v>196</v>
      </c>
      <c r="K1090" t="s">
        <v>54</v>
      </c>
      <c r="L1090" t="s">
        <v>55</v>
      </c>
      <c r="O1090" t="s">
        <v>197</v>
      </c>
      <c r="P1090" t="s">
        <v>198</v>
      </c>
      <c r="Q1090">
        <v>21789.46</v>
      </c>
      <c r="R1090">
        <v>-106.64</v>
      </c>
      <c r="S1090" t="s">
        <v>2895</v>
      </c>
      <c r="T1090" t="s">
        <v>2896</v>
      </c>
      <c r="U1090" t="s">
        <v>2897</v>
      </c>
    </row>
    <row r="1091" spans="1:21">
      <c r="A1091" t="s">
        <v>2300</v>
      </c>
      <c r="B1091" s="7">
        <v>46230</v>
      </c>
      <c r="C1091" s="8">
        <v>0.92090277777777774</v>
      </c>
      <c r="D1091" t="s">
        <v>17</v>
      </c>
      <c r="E1091" t="s">
        <v>2</v>
      </c>
      <c r="F1091" t="s">
        <v>50</v>
      </c>
      <c r="G1091" t="s">
        <v>51</v>
      </c>
      <c r="H1091">
        <v>69.23</v>
      </c>
      <c r="I1091" t="s">
        <v>52</v>
      </c>
      <c r="J1091" t="s">
        <v>60</v>
      </c>
      <c r="K1091" t="s">
        <v>54</v>
      </c>
      <c r="L1091" t="s">
        <v>55</v>
      </c>
      <c r="O1091" t="s">
        <v>61</v>
      </c>
      <c r="P1091" t="s">
        <v>62</v>
      </c>
      <c r="Q1091">
        <v>21896.1</v>
      </c>
      <c r="R1091">
        <v>-69.23</v>
      </c>
      <c r="S1091" t="s">
        <v>2895</v>
      </c>
      <c r="T1091" t="s">
        <v>2896</v>
      </c>
      <c r="U1091" t="s">
        <v>2897</v>
      </c>
    </row>
    <row r="1092" spans="1:21">
      <c r="A1092" t="s">
        <v>2302</v>
      </c>
      <c r="B1092" s="7">
        <v>46231</v>
      </c>
      <c r="C1092" s="8">
        <v>0.59962962962962962</v>
      </c>
      <c r="D1092" t="s">
        <v>17</v>
      </c>
      <c r="E1092" t="s">
        <v>2</v>
      </c>
      <c r="F1092" t="s">
        <v>149</v>
      </c>
      <c r="G1092" t="s">
        <v>72</v>
      </c>
      <c r="H1092">
        <v>54.23</v>
      </c>
      <c r="I1092" t="s">
        <v>52</v>
      </c>
      <c r="J1092" t="s">
        <v>638</v>
      </c>
      <c r="K1092" t="s">
        <v>54</v>
      </c>
      <c r="L1092" t="s">
        <v>74</v>
      </c>
      <c r="O1092" t="s">
        <v>75</v>
      </c>
      <c r="P1092" t="s">
        <v>76</v>
      </c>
      <c r="Q1092">
        <v>21656.2</v>
      </c>
      <c r="R1092">
        <v>54.23</v>
      </c>
      <c r="S1092" t="s">
        <v>2895</v>
      </c>
      <c r="T1092" t="s">
        <v>2896</v>
      </c>
      <c r="U1092" t="s">
        <v>2897</v>
      </c>
    </row>
    <row r="1093" spans="1:21">
      <c r="A1093" t="s">
        <v>2304</v>
      </c>
      <c r="B1093" s="7">
        <v>46231</v>
      </c>
      <c r="C1093" s="8">
        <v>0.70443287037037039</v>
      </c>
      <c r="D1093" t="s">
        <v>17</v>
      </c>
      <c r="E1093" t="s">
        <v>2</v>
      </c>
      <c r="F1093" t="s">
        <v>50</v>
      </c>
      <c r="G1093" t="s">
        <v>51</v>
      </c>
      <c r="H1093">
        <v>36.6</v>
      </c>
      <c r="I1093" t="s">
        <v>52</v>
      </c>
      <c r="J1093" t="s">
        <v>81</v>
      </c>
      <c r="K1093" t="s">
        <v>54</v>
      </c>
      <c r="L1093" t="s">
        <v>55</v>
      </c>
      <c r="O1093" t="s">
        <v>82</v>
      </c>
      <c r="P1093" t="s">
        <v>83</v>
      </c>
      <c r="Q1093">
        <v>21619.49</v>
      </c>
      <c r="R1093">
        <v>-36.6</v>
      </c>
      <c r="S1093" t="s">
        <v>2895</v>
      </c>
      <c r="T1093" t="s">
        <v>2896</v>
      </c>
      <c r="U1093" t="s">
        <v>2897</v>
      </c>
    </row>
    <row r="1094" spans="1:21">
      <c r="A1094" t="s">
        <v>2306</v>
      </c>
      <c r="B1094" s="7">
        <v>46231</v>
      </c>
      <c r="C1094" s="8">
        <v>0.77246527777777774</v>
      </c>
      <c r="D1094" t="s">
        <v>17</v>
      </c>
      <c r="E1094" t="s">
        <v>2</v>
      </c>
      <c r="F1094" t="s">
        <v>50</v>
      </c>
      <c r="G1094" t="s">
        <v>51</v>
      </c>
      <c r="H1094">
        <v>39.700000000000003</v>
      </c>
      <c r="I1094" t="s">
        <v>52</v>
      </c>
      <c r="J1094" t="s">
        <v>126</v>
      </c>
      <c r="K1094" t="s">
        <v>54</v>
      </c>
      <c r="L1094" t="s">
        <v>55</v>
      </c>
      <c r="O1094" t="s">
        <v>56</v>
      </c>
      <c r="P1094" t="s">
        <v>57</v>
      </c>
      <c r="Q1094">
        <v>21685.45</v>
      </c>
      <c r="R1094">
        <v>-39.700000000000003</v>
      </c>
      <c r="S1094" t="s">
        <v>2895</v>
      </c>
      <c r="T1094" t="s">
        <v>2896</v>
      </c>
      <c r="U1094" t="s">
        <v>2897</v>
      </c>
    </row>
    <row r="1095" spans="1:21">
      <c r="A1095" t="s">
        <v>2308</v>
      </c>
      <c r="B1095" s="7">
        <v>46231</v>
      </c>
      <c r="C1095" s="8">
        <v>0.79806712962962967</v>
      </c>
      <c r="D1095" t="s">
        <v>17</v>
      </c>
      <c r="E1095" t="s">
        <v>2</v>
      </c>
      <c r="F1095" t="s">
        <v>149</v>
      </c>
      <c r="G1095" t="s">
        <v>321</v>
      </c>
      <c r="H1095">
        <v>3060.87</v>
      </c>
      <c r="I1095" t="s">
        <v>52</v>
      </c>
      <c r="J1095" t="s">
        <v>9</v>
      </c>
      <c r="K1095" t="s">
        <v>54</v>
      </c>
      <c r="L1095" t="s">
        <v>102</v>
      </c>
      <c r="O1095" t="s">
        <v>322</v>
      </c>
      <c r="P1095" t="s">
        <v>323</v>
      </c>
      <c r="Q1095">
        <v>44688.95</v>
      </c>
      <c r="R1095">
        <v>3060.87</v>
      </c>
      <c r="S1095" t="s">
        <v>2895</v>
      </c>
      <c r="T1095" t="s">
        <v>2896</v>
      </c>
      <c r="U1095" t="s">
        <v>2897</v>
      </c>
    </row>
    <row r="1096" spans="1:21">
      <c r="A1096" t="s">
        <v>2310</v>
      </c>
      <c r="B1096" s="7">
        <v>46231</v>
      </c>
      <c r="C1096" s="8">
        <v>0.82437499999999997</v>
      </c>
      <c r="D1096" t="s">
        <v>17</v>
      </c>
      <c r="E1096" t="s">
        <v>2</v>
      </c>
      <c r="F1096" t="s">
        <v>50</v>
      </c>
      <c r="G1096" t="s">
        <v>100</v>
      </c>
      <c r="H1096">
        <v>21.24</v>
      </c>
      <c r="I1096" t="s">
        <v>52</v>
      </c>
      <c r="J1096" t="s">
        <v>114</v>
      </c>
      <c r="K1096" t="s">
        <v>54</v>
      </c>
      <c r="L1096" t="s">
        <v>102</v>
      </c>
      <c r="O1096" t="s">
        <v>103</v>
      </c>
      <c r="P1096" t="s">
        <v>104</v>
      </c>
      <c r="Q1096">
        <v>21768.22</v>
      </c>
      <c r="R1096">
        <v>-21.24</v>
      </c>
      <c r="S1096" t="s">
        <v>2895</v>
      </c>
      <c r="T1096" t="s">
        <v>2896</v>
      </c>
      <c r="U1096" t="s">
        <v>2897</v>
      </c>
    </row>
    <row r="1097" spans="1:21">
      <c r="A1097" t="s">
        <v>2312</v>
      </c>
      <c r="B1097" s="7">
        <v>46231</v>
      </c>
      <c r="C1097" s="8">
        <v>0.82831018518518518</v>
      </c>
      <c r="D1097" t="s">
        <v>17</v>
      </c>
      <c r="E1097" t="s">
        <v>2</v>
      </c>
      <c r="F1097" t="s">
        <v>50</v>
      </c>
      <c r="G1097" t="s">
        <v>51</v>
      </c>
      <c r="H1097">
        <v>17.52</v>
      </c>
      <c r="I1097" t="s">
        <v>52</v>
      </c>
      <c r="J1097" t="s">
        <v>121</v>
      </c>
      <c r="K1097" t="s">
        <v>54</v>
      </c>
      <c r="L1097" t="s">
        <v>55</v>
      </c>
      <c r="O1097" t="s">
        <v>122</v>
      </c>
      <c r="P1097" t="s">
        <v>123</v>
      </c>
      <c r="Q1097">
        <v>21601.97</v>
      </c>
      <c r="R1097">
        <v>-17.52</v>
      </c>
      <c r="S1097" t="s">
        <v>2895</v>
      </c>
      <c r="T1097" t="s">
        <v>2896</v>
      </c>
      <c r="U1097" t="s">
        <v>2897</v>
      </c>
    </row>
    <row r="1098" spans="1:21">
      <c r="A1098" t="s">
        <v>2313</v>
      </c>
      <c r="B1098" s="7">
        <v>46231</v>
      </c>
      <c r="C1098" s="8">
        <v>0.83062499999999995</v>
      </c>
      <c r="D1098" t="s">
        <v>17</v>
      </c>
      <c r="E1098" t="s">
        <v>2</v>
      </c>
      <c r="F1098" t="s">
        <v>50</v>
      </c>
      <c r="G1098" t="s">
        <v>51</v>
      </c>
      <c r="H1098">
        <v>43.07</v>
      </c>
      <c r="I1098" t="s">
        <v>52</v>
      </c>
      <c r="J1098" t="s">
        <v>81</v>
      </c>
      <c r="K1098" t="s">
        <v>54</v>
      </c>
      <c r="L1098" t="s">
        <v>55</v>
      </c>
      <c r="O1098" t="s">
        <v>82</v>
      </c>
      <c r="P1098" t="s">
        <v>83</v>
      </c>
      <c r="Q1098">
        <v>21725.15</v>
      </c>
      <c r="R1098">
        <v>-43.07</v>
      </c>
      <c r="S1098" t="s">
        <v>2895</v>
      </c>
      <c r="T1098" t="s">
        <v>2896</v>
      </c>
      <c r="U1098" t="s">
        <v>2897</v>
      </c>
    </row>
    <row r="1099" spans="1:21">
      <c r="A1099" t="s">
        <v>2315</v>
      </c>
      <c r="B1099" s="7">
        <v>46231</v>
      </c>
      <c r="C1099" s="8">
        <v>0.87456018518518519</v>
      </c>
      <c r="D1099" t="s">
        <v>17</v>
      </c>
      <c r="E1099" t="s">
        <v>2</v>
      </c>
      <c r="F1099" t="s">
        <v>50</v>
      </c>
      <c r="G1099" t="s">
        <v>51</v>
      </c>
      <c r="H1099">
        <v>29.36</v>
      </c>
      <c r="I1099" t="s">
        <v>52</v>
      </c>
      <c r="J1099" t="s">
        <v>126</v>
      </c>
      <c r="K1099" t="s">
        <v>54</v>
      </c>
      <c r="L1099" t="s">
        <v>55</v>
      </c>
      <c r="O1099" t="s">
        <v>56</v>
      </c>
      <c r="P1099" t="s">
        <v>57</v>
      </c>
      <c r="Q1099">
        <v>21656.09</v>
      </c>
      <c r="R1099">
        <v>-29.36</v>
      </c>
      <c r="S1099" t="s">
        <v>2895</v>
      </c>
      <c r="T1099" t="s">
        <v>2896</v>
      </c>
      <c r="U1099" t="s">
        <v>2897</v>
      </c>
    </row>
    <row r="1100" spans="1:21">
      <c r="A1100" t="s">
        <v>2317</v>
      </c>
      <c r="B1100" s="7">
        <v>46232</v>
      </c>
      <c r="C1100" s="8">
        <v>0.40186342592592594</v>
      </c>
      <c r="D1100" t="s">
        <v>17</v>
      </c>
      <c r="E1100" t="s">
        <v>2</v>
      </c>
      <c r="F1100" t="s">
        <v>149</v>
      </c>
      <c r="G1100" t="s">
        <v>72</v>
      </c>
      <c r="H1100">
        <v>132.46</v>
      </c>
      <c r="I1100" t="s">
        <v>52</v>
      </c>
      <c r="J1100" t="s">
        <v>316</v>
      </c>
      <c r="K1100" t="s">
        <v>54</v>
      </c>
      <c r="L1100" t="s">
        <v>74</v>
      </c>
      <c r="O1100" t="s">
        <v>75</v>
      </c>
      <c r="P1100" t="s">
        <v>76</v>
      </c>
      <c r="Q1100">
        <v>21420.92</v>
      </c>
      <c r="R1100">
        <v>132.46</v>
      </c>
      <c r="S1100" t="s">
        <v>2895</v>
      </c>
      <c r="T1100" t="s">
        <v>2896</v>
      </c>
      <c r="U1100" t="s">
        <v>2897</v>
      </c>
    </row>
    <row r="1101" spans="1:21">
      <c r="A1101" t="s">
        <v>2319</v>
      </c>
      <c r="B1101" s="7">
        <v>46232</v>
      </c>
      <c r="C1101" s="8">
        <v>0.55157407407407411</v>
      </c>
      <c r="D1101" t="s">
        <v>17</v>
      </c>
      <c r="E1101" t="s">
        <v>2</v>
      </c>
      <c r="F1101" t="s">
        <v>50</v>
      </c>
      <c r="G1101" t="s">
        <v>51</v>
      </c>
      <c r="H1101">
        <v>18.600000000000001</v>
      </c>
      <c r="I1101" t="s">
        <v>52</v>
      </c>
      <c r="J1101" t="s">
        <v>126</v>
      </c>
      <c r="K1101" t="s">
        <v>54</v>
      </c>
      <c r="L1101" t="s">
        <v>55</v>
      </c>
      <c r="O1101" t="s">
        <v>56</v>
      </c>
      <c r="P1101" t="s">
        <v>57</v>
      </c>
      <c r="Q1101">
        <v>21436.45</v>
      </c>
      <c r="R1101">
        <v>-18.600000000000001</v>
      </c>
      <c r="S1101" t="s">
        <v>2895</v>
      </c>
      <c r="T1101" t="s">
        <v>2896</v>
      </c>
      <c r="U1101" t="s">
        <v>2897</v>
      </c>
    </row>
    <row r="1102" spans="1:21">
      <c r="A1102" t="s">
        <v>2321</v>
      </c>
      <c r="B1102" s="7">
        <v>46232</v>
      </c>
      <c r="C1102" s="8">
        <v>0.6252199074074074</v>
      </c>
      <c r="D1102" t="s">
        <v>17</v>
      </c>
      <c r="E1102" t="s">
        <v>2</v>
      </c>
      <c r="F1102" t="s">
        <v>50</v>
      </c>
      <c r="G1102" t="s">
        <v>100</v>
      </c>
      <c r="H1102">
        <v>12.03</v>
      </c>
      <c r="I1102" t="s">
        <v>52</v>
      </c>
      <c r="J1102" t="s">
        <v>114</v>
      </c>
      <c r="K1102" t="s">
        <v>54</v>
      </c>
      <c r="L1102" t="s">
        <v>102</v>
      </c>
      <c r="O1102" t="s">
        <v>103</v>
      </c>
      <c r="P1102" t="s">
        <v>104</v>
      </c>
      <c r="Q1102">
        <v>21533.93</v>
      </c>
      <c r="R1102">
        <v>-12.03</v>
      </c>
      <c r="S1102" t="s">
        <v>2895</v>
      </c>
      <c r="T1102" t="s">
        <v>2896</v>
      </c>
      <c r="U1102" t="s">
        <v>2897</v>
      </c>
    </row>
    <row r="1103" spans="1:21">
      <c r="A1103" t="s">
        <v>2323</v>
      </c>
      <c r="B1103" s="7">
        <v>46232</v>
      </c>
      <c r="C1103" s="8">
        <v>0.65140046296296295</v>
      </c>
      <c r="D1103" t="s">
        <v>17</v>
      </c>
      <c r="E1103" t="s">
        <v>2</v>
      </c>
      <c r="F1103" t="s">
        <v>50</v>
      </c>
      <c r="G1103" t="s">
        <v>51</v>
      </c>
      <c r="H1103">
        <v>110.24</v>
      </c>
      <c r="I1103" t="s">
        <v>52</v>
      </c>
      <c r="J1103" t="s">
        <v>65</v>
      </c>
      <c r="K1103" t="s">
        <v>54</v>
      </c>
      <c r="L1103" t="s">
        <v>55</v>
      </c>
      <c r="O1103" t="s">
        <v>66</v>
      </c>
      <c r="P1103" t="s">
        <v>67</v>
      </c>
      <c r="Q1103">
        <v>21545.96</v>
      </c>
      <c r="R1103">
        <v>-110.24</v>
      </c>
      <c r="S1103" t="s">
        <v>2895</v>
      </c>
      <c r="T1103" t="s">
        <v>2896</v>
      </c>
      <c r="U1103" t="s">
        <v>2897</v>
      </c>
    </row>
    <row r="1104" spans="1:21">
      <c r="A1104" t="s">
        <v>2325</v>
      </c>
      <c r="B1104" s="7">
        <v>46232</v>
      </c>
      <c r="C1104" s="8">
        <v>0.66792824074074075</v>
      </c>
      <c r="D1104" t="s">
        <v>17</v>
      </c>
      <c r="E1104" t="s">
        <v>2</v>
      </c>
      <c r="F1104" t="s">
        <v>50</v>
      </c>
      <c r="G1104" t="s">
        <v>51</v>
      </c>
      <c r="H1104">
        <v>50.24</v>
      </c>
      <c r="I1104" t="s">
        <v>52</v>
      </c>
      <c r="J1104" t="s">
        <v>196</v>
      </c>
      <c r="K1104" t="s">
        <v>54</v>
      </c>
      <c r="L1104" t="s">
        <v>55</v>
      </c>
      <c r="O1104" t="s">
        <v>197</v>
      </c>
      <c r="P1104" t="s">
        <v>198</v>
      </c>
      <c r="Q1104">
        <v>21483.69</v>
      </c>
      <c r="R1104">
        <v>-50.24</v>
      </c>
      <c r="S1104" t="s">
        <v>2895</v>
      </c>
      <c r="T1104" t="s">
        <v>2896</v>
      </c>
      <c r="U1104" t="s">
        <v>2897</v>
      </c>
    </row>
    <row r="1105" spans="1:21">
      <c r="A1105" t="s">
        <v>2327</v>
      </c>
      <c r="B1105" s="7">
        <v>46232</v>
      </c>
      <c r="C1105" s="8">
        <v>0.70173611111111112</v>
      </c>
      <c r="D1105" t="s">
        <v>17</v>
      </c>
      <c r="E1105" t="s">
        <v>2</v>
      </c>
      <c r="F1105" t="s">
        <v>50</v>
      </c>
      <c r="G1105" t="s">
        <v>51</v>
      </c>
      <c r="H1105">
        <v>142.69999999999999</v>
      </c>
      <c r="I1105" t="s">
        <v>52</v>
      </c>
      <c r="J1105" t="s">
        <v>196</v>
      </c>
      <c r="K1105" t="s">
        <v>54</v>
      </c>
      <c r="L1105" t="s">
        <v>55</v>
      </c>
      <c r="O1105" t="s">
        <v>197</v>
      </c>
      <c r="P1105" t="s">
        <v>198</v>
      </c>
      <c r="Q1105">
        <v>21288.46</v>
      </c>
      <c r="R1105">
        <v>-142.69999999999999</v>
      </c>
      <c r="S1105" t="s">
        <v>2895</v>
      </c>
      <c r="T1105" t="s">
        <v>2896</v>
      </c>
      <c r="U1105" t="s">
        <v>2897</v>
      </c>
    </row>
    <row r="1106" spans="1:21">
      <c r="A1106" t="s">
        <v>2329</v>
      </c>
      <c r="B1106" s="7">
        <v>46232</v>
      </c>
      <c r="C1106" s="8">
        <v>0.77567129629629628</v>
      </c>
      <c r="D1106" t="s">
        <v>17</v>
      </c>
      <c r="E1106" t="s">
        <v>2</v>
      </c>
      <c r="F1106" t="s">
        <v>50</v>
      </c>
      <c r="G1106" t="s">
        <v>51</v>
      </c>
      <c r="H1106">
        <v>5.29</v>
      </c>
      <c r="I1106" t="s">
        <v>52</v>
      </c>
      <c r="J1106" t="s">
        <v>53</v>
      </c>
      <c r="K1106" t="s">
        <v>54</v>
      </c>
      <c r="L1106" t="s">
        <v>55</v>
      </c>
      <c r="O1106" t="s">
        <v>56</v>
      </c>
      <c r="P1106" t="s">
        <v>57</v>
      </c>
      <c r="Q1106">
        <v>21431.16</v>
      </c>
      <c r="R1106">
        <v>-5.29</v>
      </c>
      <c r="S1106" t="s">
        <v>2895</v>
      </c>
      <c r="T1106" t="s">
        <v>2896</v>
      </c>
      <c r="U1106" t="s">
        <v>2897</v>
      </c>
    </row>
    <row r="1107" spans="1:21">
      <c r="A1107" t="s">
        <v>2331</v>
      </c>
      <c r="B1107" s="7">
        <v>46232</v>
      </c>
      <c r="C1107" s="8">
        <v>0.84871527777777778</v>
      </c>
      <c r="D1107" t="s">
        <v>17</v>
      </c>
      <c r="E1107" t="s">
        <v>2</v>
      </c>
      <c r="F1107" t="s">
        <v>50</v>
      </c>
      <c r="G1107" t="s">
        <v>51</v>
      </c>
      <c r="H1107">
        <v>11.77</v>
      </c>
      <c r="I1107" t="s">
        <v>52</v>
      </c>
      <c r="J1107" t="s">
        <v>126</v>
      </c>
      <c r="K1107" t="s">
        <v>54</v>
      </c>
      <c r="L1107" t="s">
        <v>55</v>
      </c>
      <c r="O1107" t="s">
        <v>56</v>
      </c>
      <c r="P1107" t="s">
        <v>57</v>
      </c>
      <c r="Q1107">
        <v>21455.05</v>
      </c>
      <c r="R1107">
        <v>-11.77</v>
      </c>
      <c r="S1107" t="s">
        <v>2895</v>
      </c>
      <c r="T1107" t="s">
        <v>2896</v>
      </c>
      <c r="U1107" t="s">
        <v>2897</v>
      </c>
    </row>
    <row r="1108" spans="1:21">
      <c r="A1108" t="s">
        <v>2333</v>
      </c>
      <c r="B1108" s="7">
        <v>46232</v>
      </c>
      <c r="C1108" s="8">
        <v>0.94138888888888894</v>
      </c>
      <c r="D1108" t="s">
        <v>17</v>
      </c>
      <c r="E1108" t="s">
        <v>2</v>
      </c>
      <c r="F1108" t="s">
        <v>50</v>
      </c>
      <c r="G1108" t="s">
        <v>51</v>
      </c>
      <c r="H1108">
        <v>16.87</v>
      </c>
      <c r="I1108" t="s">
        <v>52</v>
      </c>
      <c r="J1108" t="s">
        <v>53</v>
      </c>
      <c r="K1108" t="s">
        <v>54</v>
      </c>
      <c r="L1108" t="s">
        <v>55</v>
      </c>
      <c r="O1108" t="s">
        <v>56</v>
      </c>
      <c r="P1108" t="s">
        <v>57</v>
      </c>
      <c r="Q1108">
        <v>21466.82</v>
      </c>
      <c r="R1108">
        <v>-16.87</v>
      </c>
      <c r="S1108" t="s">
        <v>2895</v>
      </c>
      <c r="T1108" t="s">
        <v>2896</v>
      </c>
      <c r="U1108" t="s">
        <v>2897</v>
      </c>
    </row>
    <row r="1109" spans="1:21">
      <c r="A1109" t="s">
        <v>2335</v>
      </c>
      <c r="B1109" s="7">
        <v>46233</v>
      </c>
      <c r="C1109" s="8">
        <v>0.27834490740740742</v>
      </c>
      <c r="D1109" t="s">
        <v>17</v>
      </c>
      <c r="E1109" t="s">
        <v>2</v>
      </c>
      <c r="F1109" t="s">
        <v>50</v>
      </c>
      <c r="G1109" t="s">
        <v>51</v>
      </c>
      <c r="H1109">
        <v>145.09</v>
      </c>
      <c r="I1109" t="s">
        <v>52</v>
      </c>
      <c r="J1109" t="s">
        <v>196</v>
      </c>
      <c r="K1109" t="s">
        <v>54</v>
      </c>
      <c r="L1109" t="s">
        <v>55</v>
      </c>
      <c r="O1109" t="s">
        <v>197</v>
      </c>
      <c r="P1109" t="s">
        <v>198</v>
      </c>
      <c r="Q1109">
        <v>21203.91</v>
      </c>
      <c r="R1109">
        <v>-145.09</v>
      </c>
      <c r="S1109" t="s">
        <v>2895</v>
      </c>
      <c r="T1109" t="s">
        <v>2896</v>
      </c>
      <c r="U1109" t="s">
        <v>2897</v>
      </c>
    </row>
    <row r="1110" spans="1:21">
      <c r="A1110" t="s">
        <v>2337</v>
      </c>
      <c r="B1110" s="7">
        <v>46233</v>
      </c>
      <c r="C1110" s="8">
        <v>0.4137615740740741</v>
      </c>
      <c r="D1110" t="s">
        <v>17</v>
      </c>
      <c r="E1110" t="s">
        <v>2</v>
      </c>
      <c r="F1110" t="s">
        <v>50</v>
      </c>
      <c r="G1110" t="s">
        <v>51</v>
      </c>
      <c r="H1110">
        <v>10.91</v>
      </c>
      <c r="I1110" t="s">
        <v>52</v>
      </c>
      <c r="J1110" t="s">
        <v>121</v>
      </c>
      <c r="K1110" t="s">
        <v>54</v>
      </c>
      <c r="L1110" t="s">
        <v>55</v>
      </c>
      <c r="O1110" t="s">
        <v>122</v>
      </c>
      <c r="P1110" t="s">
        <v>123</v>
      </c>
      <c r="Q1110">
        <v>21349</v>
      </c>
      <c r="R1110">
        <v>-10.91</v>
      </c>
      <c r="S1110" t="s">
        <v>2895</v>
      </c>
      <c r="T1110" t="s">
        <v>2896</v>
      </c>
      <c r="U1110" t="s">
        <v>2897</v>
      </c>
    </row>
    <row r="1111" spans="1:21">
      <c r="A1111" t="s">
        <v>2339</v>
      </c>
      <c r="B1111" s="7">
        <v>46233</v>
      </c>
      <c r="C1111" s="8">
        <v>0.58709490740740744</v>
      </c>
      <c r="D1111" t="s">
        <v>17</v>
      </c>
      <c r="E1111" t="s">
        <v>2</v>
      </c>
      <c r="F1111" t="s">
        <v>50</v>
      </c>
      <c r="G1111" t="s">
        <v>88</v>
      </c>
      <c r="H1111">
        <v>100</v>
      </c>
      <c r="I1111" t="s">
        <v>52</v>
      </c>
      <c r="J1111" t="s">
        <v>89</v>
      </c>
      <c r="K1111" t="s">
        <v>54</v>
      </c>
      <c r="L1111" t="s">
        <v>90</v>
      </c>
      <c r="M1111" t="s">
        <v>91</v>
      </c>
      <c r="N1111" t="s">
        <v>12</v>
      </c>
      <c r="O1111" t="s">
        <v>92</v>
      </c>
      <c r="P1111" t="s">
        <v>93</v>
      </c>
      <c r="Q1111">
        <v>21024.98</v>
      </c>
      <c r="R1111">
        <v>-100</v>
      </c>
      <c r="S1111" t="s">
        <v>2895</v>
      </c>
      <c r="T1111" t="s">
        <v>2896</v>
      </c>
      <c r="U1111" t="s">
        <v>2897</v>
      </c>
    </row>
    <row r="1112" spans="1:21">
      <c r="A1112" t="s">
        <v>2341</v>
      </c>
      <c r="B1112" s="7">
        <v>46233</v>
      </c>
      <c r="C1112" s="8">
        <v>0.67048611111111112</v>
      </c>
      <c r="D1112" t="s">
        <v>17</v>
      </c>
      <c r="E1112" t="s">
        <v>2</v>
      </c>
      <c r="F1112" t="s">
        <v>50</v>
      </c>
      <c r="G1112" t="s">
        <v>51</v>
      </c>
      <c r="H1112">
        <v>5.81</v>
      </c>
      <c r="I1112" t="s">
        <v>52</v>
      </c>
      <c r="J1112" t="s">
        <v>121</v>
      </c>
      <c r="K1112" t="s">
        <v>54</v>
      </c>
      <c r="L1112" t="s">
        <v>55</v>
      </c>
      <c r="O1112" t="s">
        <v>122</v>
      </c>
      <c r="P1112" t="s">
        <v>123</v>
      </c>
      <c r="Q1112">
        <v>21124.98</v>
      </c>
      <c r="R1112">
        <v>-5.81</v>
      </c>
      <c r="S1112" t="s">
        <v>2895</v>
      </c>
      <c r="T1112" t="s">
        <v>2896</v>
      </c>
      <c r="U1112" t="s">
        <v>2897</v>
      </c>
    </row>
    <row r="1113" spans="1:21">
      <c r="A1113" t="s">
        <v>2343</v>
      </c>
      <c r="B1113" s="7">
        <v>46233</v>
      </c>
      <c r="C1113" s="8">
        <v>0.68259259259259264</v>
      </c>
      <c r="D1113" t="s">
        <v>17</v>
      </c>
      <c r="E1113" t="s">
        <v>2</v>
      </c>
      <c r="F1113" t="s">
        <v>50</v>
      </c>
      <c r="G1113" t="s">
        <v>51</v>
      </c>
      <c r="H1113">
        <v>61.01</v>
      </c>
      <c r="I1113" t="s">
        <v>52</v>
      </c>
      <c r="J1113" t="s">
        <v>60</v>
      </c>
      <c r="K1113" t="s">
        <v>54</v>
      </c>
      <c r="L1113" t="s">
        <v>55</v>
      </c>
      <c r="O1113" t="s">
        <v>61</v>
      </c>
      <c r="P1113" t="s">
        <v>62</v>
      </c>
      <c r="Q1113">
        <v>21359.91</v>
      </c>
      <c r="R1113">
        <v>-61.01</v>
      </c>
      <c r="S1113" t="s">
        <v>2895</v>
      </c>
      <c r="T1113" t="s">
        <v>2896</v>
      </c>
      <c r="U1113" t="s">
        <v>2897</v>
      </c>
    </row>
    <row r="1114" spans="1:21">
      <c r="A1114" t="s">
        <v>2345</v>
      </c>
      <c r="B1114" s="7">
        <v>46233</v>
      </c>
      <c r="C1114" s="8">
        <v>0.68939814814814815</v>
      </c>
      <c r="D1114" t="s">
        <v>17</v>
      </c>
      <c r="E1114" t="s">
        <v>2</v>
      </c>
      <c r="F1114" t="s">
        <v>50</v>
      </c>
      <c r="G1114" t="s">
        <v>100</v>
      </c>
      <c r="H1114">
        <v>18.47</v>
      </c>
      <c r="I1114" t="s">
        <v>52</v>
      </c>
      <c r="J1114" t="s">
        <v>114</v>
      </c>
      <c r="K1114" t="s">
        <v>54</v>
      </c>
      <c r="L1114" t="s">
        <v>102</v>
      </c>
      <c r="O1114" t="s">
        <v>103</v>
      </c>
      <c r="P1114" t="s">
        <v>104</v>
      </c>
      <c r="Q1114">
        <v>21181.41</v>
      </c>
      <c r="R1114">
        <v>-18.47</v>
      </c>
      <c r="S1114" t="s">
        <v>2895</v>
      </c>
      <c r="T1114" t="s">
        <v>2896</v>
      </c>
      <c r="U1114" t="s">
        <v>2897</v>
      </c>
    </row>
    <row r="1115" spans="1:21">
      <c r="A1115" t="s">
        <v>2347</v>
      </c>
      <c r="B1115" s="7">
        <v>46233</v>
      </c>
      <c r="C1115" s="8">
        <v>0.77</v>
      </c>
      <c r="D1115" t="s">
        <v>17</v>
      </c>
      <c r="E1115" t="s">
        <v>2</v>
      </c>
      <c r="F1115" t="s">
        <v>50</v>
      </c>
      <c r="G1115" t="s">
        <v>51</v>
      </c>
      <c r="H1115">
        <v>39.270000000000003</v>
      </c>
      <c r="I1115" t="s">
        <v>52</v>
      </c>
      <c r="J1115" t="s">
        <v>196</v>
      </c>
      <c r="K1115" t="s">
        <v>54</v>
      </c>
      <c r="L1115" t="s">
        <v>55</v>
      </c>
      <c r="O1115" t="s">
        <v>197</v>
      </c>
      <c r="P1115" t="s">
        <v>198</v>
      </c>
      <c r="Q1115">
        <v>21142.14</v>
      </c>
      <c r="R1115">
        <v>-39.270000000000003</v>
      </c>
      <c r="S1115" t="s">
        <v>2895</v>
      </c>
      <c r="T1115" t="s">
        <v>2896</v>
      </c>
      <c r="U1115" t="s">
        <v>2897</v>
      </c>
    </row>
    <row r="1116" spans="1:21">
      <c r="A1116" t="s">
        <v>2349</v>
      </c>
      <c r="B1116" s="7">
        <v>46233</v>
      </c>
      <c r="C1116" s="8">
        <v>0.80474537037037042</v>
      </c>
      <c r="D1116" t="s">
        <v>17</v>
      </c>
      <c r="E1116" t="s">
        <v>2</v>
      </c>
      <c r="F1116" t="s">
        <v>50</v>
      </c>
      <c r="G1116" t="s">
        <v>100</v>
      </c>
      <c r="H1116">
        <v>11.35</v>
      </c>
      <c r="I1116" t="s">
        <v>52</v>
      </c>
      <c r="J1116" t="s">
        <v>114</v>
      </c>
      <c r="K1116" t="s">
        <v>54</v>
      </c>
      <c r="L1116" t="s">
        <v>102</v>
      </c>
      <c r="O1116" t="s">
        <v>103</v>
      </c>
      <c r="P1116" t="s">
        <v>104</v>
      </c>
      <c r="Q1116">
        <v>21130.79</v>
      </c>
      <c r="R1116">
        <v>-11.35</v>
      </c>
      <c r="S1116" t="s">
        <v>2895</v>
      </c>
      <c r="T1116" t="s">
        <v>2896</v>
      </c>
      <c r="U1116" t="s">
        <v>2897</v>
      </c>
    </row>
    <row r="1117" spans="1:21">
      <c r="A1117" t="s">
        <v>2351</v>
      </c>
      <c r="B1117" s="7">
        <v>46233</v>
      </c>
      <c r="C1117" s="8">
        <v>0.91828703703703707</v>
      </c>
      <c r="D1117" t="s">
        <v>17</v>
      </c>
      <c r="E1117" t="s">
        <v>2</v>
      </c>
      <c r="F1117" t="s">
        <v>50</v>
      </c>
      <c r="G1117" t="s">
        <v>51</v>
      </c>
      <c r="H1117">
        <v>4.03</v>
      </c>
      <c r="I1117" t="s">
        <v>52</v>
      </c>
      <c r="J1117" t="s">
        <v>121</v>
      </c>
      <c r="K1117" t="s">
        <v>54</v>
      </c>
      <c r="L1117" t="s">
        <v>55</v>
      </c>
      <c r="O1117" t="s">
        <v>122</v>
      </c>
      <c r="P1117" t="s">
        <v>123</v>
      </c>
      <c r="Q1117">
        <v>21199.88</v>
      </c>
      <c r="R1117">
        <v>-4.03</v>
      </c>
      <c r="S1117" t="s">
        <v>2895</v>
      </c>
      <c r="T1117" t="s">
        <v>2896</v>
      </c>
      <c r="U1117" t="s">
        <v>2897</v>
      </c>
    </row>
    <row r="1118" spans="1:21">
      <c r="A1118" t="s">
        <v>2353</v>
      </c>
      <c r="B1118" s="7">
        <v>46234</v>
      </c>
      <c r="C1118" s="8">
        <v>0.28424768518518517</v>
      </c>
      <c r="D1118" t="s">
        <v>17</v>
      </c>
      <c r="E1118" t="s">
        <v>2</v>
      </c>
      <c r="F1118" t="s">
        <v>50</v>
      </c>
      <c r="G1118" t="s">
        <v>51</v>
      </c>
      <c r="H1118">
        <v>38.880000000000003</v>
      </c>
      <c r="I1118" t="s">
        <v>52</v>
      </c>
      <c r="J1118" t="s">
        <v>81</v>
      </c>
      <c r="K1118" t="s">
        <v>54</v>
      </c>
      <c r="L1118" t="s">
        <v>55</v>
      </c>
      <c r="O1118" t="s">
        <v>82</v>
      </c>
      <c r="P1118" t="s">
        <v>83</v>
      </c>
      <c r="Q1118">
        <v>20898.740000000002</v>
      </c>
      <c r="R1118">
        <v>-38.880000000000003</v>
      </c>
      <c r="S1118" t="s">
        <v>2895</v>
      </c>
      <c r="T1118" t="s">
        <v>2896</v>
      </c>
      <c r="U1118" t="s">
        <v>2897</v>
      </c>
    </row>
    <row r="1119" spans="1:21">
      <c r="A1119" t="s">
        <v>2355</v>
      </c>
      <c r="B1119" s="7">
        <v>46234</v>
      </c>
      <c r="C1119" s="8">
        <v>0.30253472222222222</v>
      </c>
      <c r="D1119" t="s">
        <v>17</v>
      </c>
      <c r="E1119" t="s">
        <v>2</v>
      </c>
      <c r="F1119" t="s">
        <v>149</v>
      </c>
      <c r="G1119" t="s">
        <v>72</v>
      </c>
      <c r="H1119">
        <v>33.729999999999997</v>
      </c>
      <c r="I1119" t="s">
        <v>52</v>
      </c>
      <c r="J1119" t="s">
        <v>316</v>
      </c>
      <c r="K1119" t="s">
        <v>54</v>
      </c>
      <c r="L1119" t="s">
        <v>74</v>
      </c>
      <c r="O1119" t="s">
        <v>75</v>
      </c>
      <c r="P1119" t="s">
        <v>76</v>
      </c>
      <c r="Q1119">
        <v>20869.96</v>
      </c>
      <c r="R1119">
        <v>33.729999999999997</v>
      </c>
      <c r="S1119" t="s">
        <v>2895</v>
      </c>
      <c r="T1119" t="s">
        <v>2896</v>
      </c>
      <c r="U1119" t="s">
        <v>2897</v>
      </c>
    </row>
    <row r="1120" spans="1:21">
      <c r="A1120" t="s">
        <v>2357</v>
      </c>
      <c r="B1120" s="7">
        <v>46234</v>
      </c>
      <c r="C1120" s="8">
        <v>0.33868055555555554</v>
      </c>
      <c r="D1120" t="s">
        <v>17</v>
      </c>
      <c r="E1120" t="s">
        <v>2</v>
      </c>
      <c r="F1120" t="s">
        <v>50</v>
      </c>
      <c r="G1120" t="s">
        <v>51</v>
      </c>
      <c r="H1120">
        <v>9.14</v>
      </c>
      <c r="I1120" t="s">
        <v>52</v>
      </c>
      <c r="J1120" t="s">
        <v>121</v>
      </c>
      <c r="K1120" t="s">
        <v>54</v>
      </c>
      <c r="L1120" t="s">
        <v>55</v>
      </c>
      <c r="O1120" t="s">
        <v>122</v>
      </c>
      <c r="P1120" t="s">
        <v>123</v>
      </c>
      <c r="Q1120">
        <v>20948.669999999998</v>
      </c>
      <c r="R1120">
        <v>-9.14</v>
      </c>
      <c r="S1120" t="s">
        <v>2895</v>
      </c>
      <c r="T1120" t="s">
        <v>2896</v>
      </c>
      <c r="U1120" t="s">
        <v>2897</v>
      </c>
    </row>
    <row r="1121" spans="1:21">
      <c r="A1121" t="s">
        <v>2359</v>
      </c>
      <c r="B1121" s="7">
        <v>46234</v>
      </c>
      <c r="C1121" s="8">
        <v>0.34570601851851851</v>
      </c>
      <c r="D1121" t="s">
        <v>17</v>
      </c>
      <c r="E1121" t="s">
        <v>2</v>
      </c>
      <c r="F1121" t="s">
        <v>50</v>
      </c>
      <c r="G1121" t="s">
        <v>100</v>
      </c>
      <c r="H1121">
        <v>13.69</v>
      </c>
      <c r="I1121" t="s">
        <v>52</v>
      </c>
      <c r="J1121" t="s">
        <v>114</v>
      </c>
      <c r="K1121" t="s">
        <v>54</v>
      </c>
      <c r="L1121" t="s">
        <v>102</v>
      </c>
      <c r="O1121" t="s">
        <v>103</v>
      </c>
      <c r="P1121" t="s">
        <v>104</v>
      </c>
      <c r="Q1121">
        <v>20957.810000000001</v>
      </c>
      <c r="R1121">
        <v>-13.69</v>
      </c>
      <c r="S1121" t="s">
        <v>2895</v>
      </c>
      <c r="T1121" t="s">
        <v>2896</v>
      </c>
      <c r="U1121" t="s">
        <v>2897</v>
      </c>
    </row>
    <row r="1122" spans="1:21">
      <c r="A1122" t="s">
        <v>2360</v>
      </c>
      <c r="B1122" s="7">
        <v>46234</v>
      </c>
      <c r="C1122" s="8">
        <v>0.52475694444444443</v>
      </c>
      <c r="D1122" t="s">
        <v>17</v>
      </c>
      <c r="E1122" t="s">
        <v>2</v>
      </c>
      <c r="F1122" t="s">
        <v>50</v>
      </c>
      <c r="G1122" t="s">
        <v>100</v>
      </c>
      <c r="H1122">
        <v>15</v>
      </c>
      <c r="I1122" t="s">
        <v>52</v>
      </c>
      <c r="J1122" t="s">
        <v>101</v>
      </c>
      <c r="K1122" t="s">
        <v>54</v>
      </c>
      <c r="L1122" t="s">
        <v>102</v>
      </c>
      <c r="O1122" t="s">
        <v>103</v>
      </c>
      <c r="P1122" t="s">
        <v>104</v>
      </c>
      <c r="Q1122">
        <v>20971.5</v>
      </c>
      <c r="R1122">
        <v>-15</v>
      </c>
      <c r="S1122" t="s">
        <v>2895</v>
      </c>
      <c r="T1122" t="s">
        <v>2896</v>
      </c>
      <c r="U1122" t="s">
        <v>2897</v>
      </c>
    </row>
    <row r="1123" spans="1:21">
      <c r="A1123" t="s">
        <v>2362</v>
      </c>
      <c r="B1123" s="7">
        <v>46234</v>
      </c>
      <c r="C1123" s="8">
        <v>0.55049768518518516</v>
      </c>
      <c r="D1123" t="s">
        <v>17</v>
      </c>
      <c r="E1123" t="s">
        <v>2</v>
      </c>
      <c r="F1123" t="s">
        <v>50</v>
      </c>
      <c r="G1123" t="s">
        <v>100</v>
      </c>
      <c r="H1123">
        <v>15</v>
      </c>
      <c r="I1123" t="s">
        <v>52</v>
      </c>
      <c r="J1123" t="s">
        <v>101</v>
      </c>
      <c r="K1123" t="s">
        <v>54</v>
      </c>
      <c r="L1123" t="s">
        <v>102</v>
      </c>
      <c r="O1123" t="s">
        <v>103</v>
      </c>
      <c r="P1123" t="s">
        <v>104</v>
      </c>
      <c r="Q1123">
        <v>20836.23</v>
      </c>
      <c r="R1123">
        <v>-15</v>
      </c>
      <c r="S1123" t="s">
        <v>2895</v>
      </c>
      <c r="T1123" t="s">
        <v>2896</v>
      </c>
      <c r="U1123" t="s">
        <v>2897</v>
      </c>
    </row>
    <row r="1124" spans="1:21">
      <c r="A1124" t="s">
        <v>2364</v>
      </c>
      <c r="B1124" s="7">
        <v>46234</v>
      </c>
      <c r="C1124" s="8">
        <v>0.71689814814814812</v>
      </c>
      <c r="D1124" t="s">
        <v>17</v>
      </c>
      <c r="E1124" t="s">
        <v>2</v>
      </c>
      <c r="F1124" t="s">
        <v>50</v>
      </c>
      <c r="G1124" t="s">
        <v>51</v>
      </c>
      <c r="H1124">
        <v>11.05</v>
      </c>
      <c r="I1124" t="s">
        <v>52</v>
      </c>
      <c r="J1124" t="s">
        <v>121</v>
      </c>
      <c r="K1124" t="s">
        <v>54</v>
      </c>
      <c r="L1124" t="s">
        <v>55</v>
      </c>
      <c r="O1124" t="s">
        <v>122</v>
      </c>
      <c r="P1124" t="s">
        <v>123</v>
      </c>
      <c r="Q1124">
        <v>20937.62</v>
      </c>
      <c r="R1124">
        <v>-11.05</v>
      </c>
      <c r="S1124" t="s">
        <v>2895</v>
      </c>
      <c r="T1124" t="s">
        <v>2896</v>
      </c>
      <c r="U1124" t="s">
        <v>2897</v>
      </c>
    </row>
    <row r="1125" spans="1:21">
      <c r="A1125" t="s">
        <v>2366</v>
      </c>
      <c r="B1125" s="7">
        <v>46234</v>
      </c>
      <c r="C1125" s="8">
        <v>0.86052083333333329</v>
      </c>
      <c r="D1125" t="s">
        <v>17</v>
      </c>
      <c r="E1125" t="s">
        <v>2</v>
      </c>
      <c r="F1125" t="s">
        <v>50</v>
      </c>
      <c r="G1125" t="s">
        <v>51</v>
      </c>
      <c r="H1125">
        <v>47.51</v>
      </c>
      <c r="I1125" t="s">
        <v>52</v>
      </c>
      <c r="J1125" t="s">
        <v>126</v>
      </c>
      <c r="K1125" t="s">
        <v>54</v>
      </c>
      <c r="L1125" t="s">
        <v>55</v>
      </c>
      <c r="O1125" t="s">
        <v>56</v>
      </c>
      <c r="P1125" t="s">
        <v>57</v>
      </c>
      <c r="Q1125">
        <v>20851.23</v>
      </c>
      <c r="R1125">
        <v>-47.51</v>
      </c>
      <c r="S1125" t="s">
        <v>2895</v>
      </c>
      <c r="T1125" t="s">
        <v>2896</v>
      </c>
      <c r="U1125" t="s">
        <v>2897</v>
      </c>
    </row>
    <row r="1126" spans="1:21">
      <c r="A1126" t="s">
        <v>2368</v>
      </c>
      <c r="B1126" s="7">
        <v>46234</v>
      </c>
      <c r="C1126" s="8">
        <v>0.89944444444444449</v>
      </c>
      <c r="D1126" t="s">
        <v>17</v>
      </c>
      <c r="E1126" t="s">
        <v>2</v>
      </c>
      <c r="F1126" t="s">
        <v>50</v>
      </c>
      <c r="G1126" t="s">
        <v>51</v>
      </c>
      <c r="H1126">
        <v>38.479999999999997</v>
      </c>
      <c r="I1126" t="s">
        <v>52</v>
      </c>
      <c r="J1126" t="s">
        <v>126</v>
      </c>
      <c r="K1126" t="s">
        <v>54</v>
      </c>
      <c r="L1126" t="s">
        <v>55</v>
      </c>
      <c r="O1126" t="s">
        <v>56</v>
      </c>
      <c r="P1126" t="s">
        <v>57</v>
      </c>
      <c r="Q1126">
        <v>20986.5</v>
      </c>
      <c r="R1126">
        <v>-38.479999999999997</v>
      </c>
      <c r="S1126" t="s">
        <v>2895</v>
      </c>
      <c r="T1126" t="s">
        <v>2896</v>
      </c>
      <c r="U1126" t="s">
        <v>2897</v>
      </c>
    </row>
    <row r="1127" spans="1:21">
      <c r="A1127" t="s">
        <v>2370</v>
      </c>
      <c r="B1127" s="7">
        <v>46235</v>
      </c>
      <c r="C1127" s="8">
        <v>0.25305555555555553</v>
      </c>
      <c r="D1127" t="s">
        <v>17</v>
      </c>
      <c r="E1127" t="s">
        <v>2</v>
      </c>
      <c r="F1127" t="s">
        <v>50</v>
      </c>
      <c r="G1127" t="s">
        <v>51</v>
      </c>
      <c r="H1127">
        <v>4.74</v>
      </c>
      <c r="I1127" t="s">
        <v>52</v>
      </c>
      <c r="J1127" t="s">
        <v>53</v>
      </c>
      <c r="K1127" t="s">
        <v>54</v>
      </c>
      <c r="L1127" t="s">
        <v>55</v>
      </c>
      <c r="O1127" t="s">
        <v>56</v>
      </c>
      <c r="P1127" t="s">
        <v>57</v>
      </c>
      <c r="Q1127">
        <v>20646.86</v>
      </c>
      <c r="R1127">
        <v>-4.74</v>
      </c>
      <c r="S1127" t="s">
        <v>2895</v>
      </c>
      <c r="T1127" t="s">
        <v>2896</v>
      </c>
      <c r="U1127" t="s">
        <v>2897</v>
      </c>
    </row>
    <row r="1128" spans="1:21">
      <c r="A1128" t="s">
        <v>2372</v>
      </c>
      <c r="B1128" s="7">
        <v>46235</v>
      </c>
      <c r="C1128" s="8">
        <v>0.38851851851851854</v>
      </c>
      <c r="D1128" t="s">
        <v>17</v>
      </c>
      <c r="E1128" t="s">
        <v>2</v>
      </c>
      <c r="F1128" t="s">
        <v>50</v>
      </c>
      <c r="G1128" t="s">
        <v>51</v>
      </c>
      <c r="H1128">
        <v>61.6</v>
      </c>
      <c r="I1128" t="s">
        <v>52</v>
      </c>
      <c r="J1128" t="s">
        <v>65</v>
      </c>
      <c r="K1128" t="s">
        <v>54</v>
      </c>
      <c r="L1128" t="s">
        <v>55</v>
      </c>
      <c r="O1128" t="s">
        <v>66</v>
      </c>
      <c r="P1128" t="s">
        <v>67</v>
      </c>
      <c r="Q1128">
        <v>20808.36</v>
      </c>
      <c r="R1128">
        <v>-61.6</v>
      </c>
      <c r="S1128" t="s">
        <v>2895</v>
      </c>
      <c r="T1128" t="s">
        <v>2896</v>
      </c>
      <c r="U1128" t="s">
        <v>2897</v>
      </c>
    </row>
    <row r="1129" spans="1:21">
      <c r="A1129" t="s">
        <v>2374</v>
      </c>
      <c r="B1129" s="7">
        <v>46235</v>
      </c>
      <c r="C1129" s="8">
        <v>0.44773148148148151</v>
      </c>
      <c r="D1129" t="s">
        <v>17</v>
      </c>
      <c r="E1129" t="s">
        <v>2</v>
      </c>
      <c r="F1129" t="s">
        <v>50</v>
      </c>
      <c r="G1129" t="s">
        <v>100</v>
      </c>
      <c r="H1129">
        <v>17.25</v>
      </c>
      <c r="I1129" t="s">
        <v>52</v>
      </c>
      <c r="J1129" t="s">
        <v>114</v>
      </c>
      <c r="K1129" t="s">
        <v>54</v>
      </c>
      <c r="L1129" t="s">
        <v>102</v>
      </c>
      <c r="O1129" t="s">
        <v>103</v>
      </c>
      <c r="P1129" t="s">
        <v>104</v>
      </c>
      <c r="Q1129">
        <v>20727.830000000002</v>
      </c>
      <c r="R1129">
        <v>-17.25</v>
      </c>
      <c r="S1129" t="s">
        <v>2895</v>
      </c>
      <c r="T1129" t="s">
        <v>2896</v>
      </c>
      <c r="U1129" t="s">
        <v>2897</v>
      </c>
    </row>
    <row r="1130" spans="1:21">
      <c r="A1130" t="s">
        <v>2376</v>
      </c>
      <c r="B1130" s="7">
        <v>46235</v>
      </c>
      <c r="C1130" s="8">
        <v>0.53303240740740743</v>
      </c>
      <c r="D1130" t="s">
        <v>17</v>
      </c>
      <c r="E1130" t="s">
        <v>2</v>
      </c>
      <c r="F1130" t="s">
        <v>50</v>
      </c>
      <c r="G1130" t="s">
        <v>100</v>
      </c>
      <c r="H1130">
        <v>15</v>
      </c>
      <c r="I1130" t="s">
        <v>52</v>
      </c>
      <c r="J1130" t="s">
        <v>101</v>
      </c>
      <c r="K1130" t="s">
        <v>54</v>
      </c>
      <c r="L1130" t="s">
        <v>102</v>
      </c>
      <c r="O1130" t="s">
        <v>103</v>
      </c>
      <c r="P1130" t="s">
        <v>104</v>
      </c>
      <c r="Q1130">
        <v>20793.36</v>
      </c>
      <c r="R1130">
        <v>-15</v>
      </c>
      <c r="S1130" t="s">
        <v>2895</v>
      </c>
      <c r="T1130" t="s">
        <v>2896</v>
      </c>
      <c r="U1130" t="s">
        <v>2897</v>
      </c>
    </row>
    <row r="1131" spans="1:21">
      <c r="A1131" t="s">
        <v>2378</v>
      </c>
      <c r="B1131" s="7">
        <v>46235</v>
      </c>
      <c r="C1131" s="8">
        <v>0.53523148148148147</v>
      </c>
      <c r="D1131" t="s">
        <v>17</v>
      </c>
      <c r="E1131" t="s">
        <v>2</v>
      </c>
      <c r="F1131" t="s">
        <v>50</v>
      </c>
      <c r="G1131" t="s">
        <v>51</v>
      </c>
      <c r="H1131">
        <v>10.4</v>
      </c>
      <c r="I1131" t="s">
        <v>52</v>
      </c>
      <c r="J1131" t="s">
        <v>126</v>
      </c>
      <c r="K1131" t="s">
        <v>54</v>
      </c>
      <c r="L1131" t="s">
        <v>55</v>
      </c>
      <c r="O1131" t="s">
        <v>56</v>
      </c>
      <c r="P1131" t="s">
        <v>57</v>
      </c>
      <c r="Q1131">
        <v>20651.599999999999</v>
      </c>
      <c r="R1131">
        <v>-10.4</v>
      </c>
      <c r="S1131" t="s">
        <v>2895</v>
      </c>
      <c r="T1131" t="s">
        <v>2896</v>
      </c>
      <c r="U1131" t="s">
        <v>2897</v>
      </c>
    </row>
    <row r="1132" spans="1:21">
      <c r="A1132" t="s">
        <v>2380</v>
      </c>
      <c r="B1132" s="7">
        <v>46235</v>
      </c>
      <c r="C1132" s="8">
        <v>0.91824074074074069</v>
      </c>
      <c r="D1132" t="s">
        <v>17</v>
      </c>
      <c r="E1132" t="s">
        <v>2</v>
      </c>
      <c r="F1132" t="s">
        <v>50</v>
      </c>
      <c r="G1132" t="s">
        <v>51</v>
      </c>
      <c r="H1132">
        <v>65.83</v>
      </c>
      <c r="I1132" t="s">
        <v>52</v>
      </c>
      <c r="J1132" t="s">
        <v>65</v>
      </c>
      <c r="K1132" t="s">
        <v>54</v>
      </c>
      <c r="L1132" t="s">
        <v>55</v>
      </c>
      <c r="O1132" t="s">
        <v>66</v>
      </c>
      <c r="P1132" t="s">
        <v>67</v>
      </c>
      <c r="Q1132">
        <v>20662</v>
      </c>
      <c r="R1132">
        <v>-65.83</v>
      </c>
      <c r="S1132" t="s">
        <v>2895</v>
      </c>
      <c r="T1132" t="s">
        <v>2896</v>
      </c>
      <c r="U1132" t="s">
        <v>2897</v>
      </c>
    </row>
    <row r="1133" spans="1:21">
      <c r="A1133" t="s">
        <v>2382</v>
      </c>
      <c r="B1133" s="7">
        <v>46235</v>
      </c>
      <c r="C1133" s="8">
        <v>0.95018518518518513</v>
      </c>
      <c r="D1133" t="s">
        <v>17</v>
      </c>
      <c r="E1133" t="s">
        <v>2</v>
      </c>
      <c r="F1133" t="s">
        <v>50</v>
      </c>
      <c r="G1133" t="s">
        <v>51</v>
      </c>
      <c r="H1133">
        <v>48.28</v>
      </c>
      <c r="I1133" t="s">
        <v>52</v>
      </c>
      <c r="J1133" t="s">
        <v>196</v>
      </c>
      <c r="K1133" t="s">
        <v>54</v>
      </c>
      <c r="L1133" t="s">
        <v>55</v>
      </c>
      <c r="O1133" t="s">
        <v>197</v>
      </c>
      <c r="P1133" t="s">
        <v>198</v>
      </c>
      <c r="Q1133">
        <v>20745.080000000002</v>
      </c>
      <c r="R1133">
        <v>-48.28</v>
      </c>
      <c r="S1133" t="s">
        <v>2895</v>
      </c>
      <c r="T1133" t="s">
        <v>2896</v>
      </c>
      <c r="U1133" t="s">
        <v>2897</v>
      </c>
    </row>
    <row r="1134" spans="1:21">
      <c r="A1134" t="s">
        <v>2384</v>
      </c>
      <c r="B1134" s="7">
        <v>46236</v>
      </c>
      <c r="C1134" s="8">
        <v>0.25156250000000002</v>
      </c>
      <c r="D1134" t="s">
        <v>17</v>
      </c>
      <c r="E1134" t="s">
        <v>2</v>
      </c>
      <c r="F1134" t="s">
        <v>50</v>
      </c>
      <c r="G1134" t="s">
        <v>100</v>
      </c>
      <c r="H1134">
        <v>24.5</v>
      </c>
      <c r="I1134" t="s">
        <v>52</v>
      </c>
      <c r="J1134" t="s">
        <v>114</v>
      </c>
      <c r="K1134" t="s">
        <v>54</v>
      </c>
      <c r="L1134" t="s">
        <v>102</v>
      </c>
      <c r="O1134" t="s">
        <v>103</v>
      </c>
      <c r="P1134" t="s">
        <v>104</v>
      </c>
      <c r="Q1134">
        <v>20559.759999999998</v>
      </c>
      <c r="R1134">
        <v>-24.5</v>
      </c>
      <c r="S1134" t="s">
        <v>2895</v>
      </c>
      <c r="T1134" t="s">
        <v>2896</v>
      </c>
      <c r="U1134" t="s">
        <v>2897</v>
      </c>
    </row>
    <row r="1135" spans="1:21">
      <c r="A1135" t="s">
        <v>2386</v>
      </c>
      <c r="B1135" s="7">
        <v>46236</v>
      </c>
      <c r="C1135" s="8">
        <v>0.2745023148148148</v>
      </c>
      <c r="D1135" t="s">
        <v>17</v>
      </c>
      <c r="E1135" t="s">
        <v>2</v>
      </c>
      <c r="F1135" t="s">
        <v>149</v>
      </c>
      <c r="G1135" t="s">
        <v>72</v>
      </c>
      <c r="H1135">
        <v>162.46</v>
      </c>
      <c r="I1135" t="s">
        <v>52</v>
      </c>
      <c r="J1135" t="s">
        <v>233</v>
      </c>
      <c r="K1135" t="s">
        <v>54</v>
      </c>
      <c r="L1135" t="s">
        <v>74</v>
      </c>
      <c r="O1135" t="s">
        <v>75</v>
      </c>
      <c r="P1135" t="s">
        <v>76</v>
      </c>
      <c r="Q1135">
        <v>20691.61</v>
      </c>
      <c r="R1135">
        <v>162.46</v>
      </c>
      <c r="S1135" t="s">
        <v>2895</v>
      </c>
      <c r="T1135" t="s">
        <v>2896</v>
      </c>
      <c r="U1135" t="s">
        <v>2897</v>
      </c>
    </row>
    <row r="1136" spans="1:21">
      <c r="A1136" t="s">
        <v>2388</v>
      </c>
      <c r="B1136" s="7">
        <v>46236</v>
      </c>
      <c r="C1136" s="8">
        <v>0.34111111111111109</v>
      </c>
      <c r="D1136" t="s">
        <v>17</v>
      </c>
      <c r="E1136" t="s">
        <v>2</v>
      </c>
      <c r="F1136" t="s">
        <v>50</v>
      </c>
      <c r="G1136" t="s">
        <v>100</v>
      </c>
      <c r="H1136">
        <v>15</v>
      </c>
      <c r="I1136" t="s">
        <v>52</v>
      </c>
      <c r="J1136" t="s">
        <v>101</v>
      </c>
      <c r="K1136" t="s">
        <v>54</v>
      </c>
      <c r="L1136" t="s">
        <v>102</v>
      </c>
      <c r="O1136" t="s">
        <v>103</v>
      </c>
      <c r="P1136" t="s">
        <v>104</v>
      </c>
      <c r="Q1136">
        <v>20584.259999999998</v>
      </c>
      <c r="R1136">
        <v>-15</v>
      </c>
      <c r="S1136" t="s">
        <v>2895</v>
      </c>
      <c r="T1136" t="s">
        <v>2896</v>
      </c>
      <c r="U1136" t="s">
        <v>2897</v>
      </c>
    </row>
    <row r="1137" spans="1:21">
      <c r="A1137" t="s">
        <v>2390</v>
      </c>
      <c r="B1137" s="7">
        <v>46236</v>
      </c>
      <c r="C1137" s="8">
        <v>0.4148148148148148</v>
      </c>
      <c r="D1137" t="s">
        <v>17</v>
      </c>
      <c r="E1137" t="s">
        <v>2</v>
      </c>
      <c r="F1137" t="s">
        <v>50</v>
      </c>
      <c r="G1137" t="s">
        <v>100</v>
      </c>
      <c r="H1137">
        <v>24.65</v>
      </c>
      <c r="I1137" t="s">
        <v>52</v>
      </c>
      <c r="J1137" t="s">
        <v>114</v>
      </c>
      <c r="K1137" t="s">
        <v>54</v>
      </c>
      <c r="L1137" t="s">
        <v>102</v>
      </c>
      <c r="O1137" t="s">
        <v>103</v>
      </c>
      <c r="P1137" t="s">
        <v>104</v>
      </c>
      <c r="Q1137">
        <v>20599.259999999998</v>
      </c>
      <c r="R1137">
        <v>-24.65</v>
      </c>
      <c r="S1137" t="s">
        <v>2895</v>
      </c>
      <c r="T1137" t="s">
        <v>2896</v>
      </c>
      <c r="U1137" t="s">
        <v>2897</v>
      </c>
    </row>
    <row r="1138" spans="1:21">
      <c r="A1138" t="s">
        <v>2392</v>
      </c>
      <c r="B1138" s="7">
        <v>46236</v>
      </c>
      <c r="C1138" s="8">
        <v>0.72407407407407409</v>
      </c>
      <c r="D1138" t="s">
        <v>17</v>
      </c>
      <c r="E1138" t="s">
        <v>2</v>
      </c>
      <c r="F1138" t="s">
        <v>50</v>
      </c>
      <c r="G1138" t="s">
        <v>51</v>
      </c>
      <c r="H1138">
        <v>8.73</v>
      </c>
      <c r="I1138" t="s">
        <v>52</v>
      </c>
      <c r="J1138" t="s">
        <v>126</v>
      </c>
      <c r="K1138" t="s">
        <v>54</v>
      </c>
      <c r="L1138" t="s">
        <v>55</v>
      </c>
      <c r="O1138" t="s">
        <v>56</v>
      </c>
      <c r="P1138" t="s">
        <v>57</v>
      </c>
      <c r="Q1138">
        <v>20536.46</v>
      </c>
      <c r="R1138">
        <v>-8.73</v>
      </c>
      <c r="S1138" t="s">
        <v>2895</v>
      </c>
      <c r="T1138" t="s">
        <v>2896</v>
      </c>
      <c r="U1138" t="s">
        <v>2897</v>
      </c>
    </row>
    <row r="1139" spans="1:21">
      <c r="A1139" t="s">
        <v>2394</v>
      </c>
      <c r="B1139" s="7">
        <v>46236</v>
      </c>
      <c r="C1139" s="8">
        <v>0.73644675925925929</v>
      </c>
      <c r="D1139" t="s">
        <v>17</v>
      </c>
      <c r="E1139" t="s">
        <v>2</v>
      </c>
      <c r="F1139" t="s">
        <v>50</v>
      </c>
      <c r="G1139" t="s">
        <v>100</v>
      </c>
      <c r="H1139">
        <v>1850</v>
      </c>
      <c r="I1139" t="s">
        <v>52</v>
      </c>
      <c r="J1139" t="s">
        <v>107</v>
      </c>
      <c r="K1139" t="s">
        <v>54</v>
      </c>
      <c r="L1139" t="s">
        <v>102</v>
      </c>
      <c r="O1139" t="s">
        <v>108</v>
      </c>
      <c r="P1139" t="s">
        <v>109</v>
      </c>
      <c r="Q1139">
        <v>38426.01</v>
      </c>
      <c r="R1139">
        <v>-1850</v>
      </c>
      <c r="S1139" t="s">
        <v>2895</v>
      </c>
      <c r="T1139" t="s">
        <v>2896</v>
      </c>
      <c r="U1139" t="s">
        <v>2897</v>
      </c>
    </row>
    <row r="1140" spans="1:21">
      <c r="A1140" t="s">
        <v>2396</v>
      </c>
      <c r="B1140" s="7">
        <v>46236</v>
      </c>
      <c r="C1140" s="8">
        <v>0.76</v>
      </c>
      <c r="D1140" t="s">
        <v>17</v>
      </c>
      <c r="E1140" t="s">
        <v>2</v>
      </c>
      <c r="F1140" t="s">
        <v>50</v>
      </c>
      <c r="G1140" t="s">
        <v>51</v>
      </c>
      <c r="H1140">
        <v>22.95</v>
      </c>
      <c r="I1140" t="s">
        <v>52</v>
      </c>
      <c r="J1140" t="s">
        <v>60</v>
      </c>
      <c r="K1140" t="s">
        <v>54</v>
      </c>
      <c r="L1140" t="s">
        <v>55</v>
      </c>
      <c r="O1140" t="s">
        <v>61</v>
      </c>
      <c r="P1140" t="s">
        <v>62</v>
      </c>
      <c r="Q1140">
        <v>20623.91</v>
      </c>
      <c r="R1140">
        <v>-22.95</v>
      </c>
      <c r="S1140" t="s">
        <v>2895</v>
      </c>
      <c r="T1140" t="s">
        <v>2896</v>
      </c>
      <c r="U1140" t="s">
        <v>2897</v>
      </c>
    </row>
    <row r="1141" spans="1:21">
      <c r="A1141" t="s">
        <v>2398</v>
      </c>
      <c r="B1141" s="7">
        <v>46236</v>
      </c>
      <c r="C1141" s="8">
        <v>0.89290509259259254</v>
      </c>
      <c r="D1141" t="s">
        <v>17</v>
      </c>
      <c r="E1141" t="s">
        <v>2</v>
      </c>
      <c r="F1141" t="s">
        <v>50</v>
      </c>
      <c r="G1141" t="s">
        <v>100</v>
      </c>
      <c r="H1141">
        <v>14.57</v>
      </c>
      <c r="I1141" t="s">
        <v>52</v>
      </c>
      <c r="J1141" t="s">
        <v>114</v>
      </c>
      <c r="K1141" t="s">
        <v>54</v>
      </c>
      <c r="L1141" t="s">
        <v>102</v>
      </c>
      <c r="O1141" t="s">
        <v>103</v>
      </c>
      <c r="P1141" t="s">
        <v>104</v>
      </c>
      <c r="Q1141">
        <v>20545.189999999999</v>
      </c>
      <c r="R1141">
        <v>-14.57</v>
      </c>
      <c r="S1141" t="s">
        <v>2895</v>
      </c>
      <c r="T1141" t="s">
        <v>2896</v>
      </c>
      <c r="U1141" t="s">
        <v>2897</v>
      </c>
    </row>
    <row r="1142" spans="1:21">
      <c r="A1142" t="s">
        <v>2400</v>
      </c>
      <c r="B1142" s="7">
        <v>46236</v>
      </c>
      <c r="C1142" s="8">
        <v>0.92906250000000001</v>
      </c>
      <c r="D1142" t="s">
        <v>17</v>
      </c>
      <c r="E1142" t="s">
        <v>2</v>
      </c>
      <c r="F1142" t="s">
        <v>50</v>
      </c>
      <c r="G1142" t="s">
        <v>51</v>
      </c>
      <c r="H1142">
        <v>7.31</v>
      </c>
      <c r="I1142" t="s">
        <v>52</v>
      </c>
      <c r="J1142" t="s">
        <v>53</v>
      </c>
      <c r="K1142" t="s">
        <v>54</v>
      </c>
      <c r="L1142" t="s">
        <v>55</v>
      </c>
      <c r="O1142" t="s">
        <v>56</v>
      </c>
      <c r="P1142" t="s">
        <v>57</v>
      </c>
      <c r="Q1142">
        <v>20529.150000000001</v>
      </c>
      <c r="R1142">
        <v>-7.31</v>
      </c>
      <c r="S1142" t="s">
        <v>2895</v>
      </c>
      <c r="T1142" t="s">
        <v>2896</v>
      </c>
      <c r="U1142" t="s">
        <v>2897</v>
      </c>
    </row>
    <row r="1143" spans="1:21">
      <c r="A1143" t="s">
        <v>2402</v>
      </c>
      <c r="B1143" s="7">
        <v>46237</v>
      </c>
      <c r="C1143" s="8">
        <v>0.28878472222222223</v>
      </c>
      <c r="D1143" t="s">
        <v>17</v>
      </c>
      <c r="E1143" t="s">
        <v>2</v>
      </c>
      <c r="F1143" t="s">
        <v>149</v>
      </c>
      <c r="G1143" t="s">
        <v>72</v>
      </c>
      <c r="H1143">
        <v>450</v>
      </c>
      <c r="I1143" t="s">
        <v>52</v>
      </c>
      <c r="J1143" t="s">
        <v>2404</v>
      </c>
      <c r="K1143" t="s">
        <v>54</v>
      </c>
      <c r="L1143" t="s">
        <v>74</v>
      </c>
      <c r="O1143" t="s">
        <v>75</v>
      </c>
      <c r="P1143" t="s">
        <v>2405</v>
      </c>
      <c r="Q1143">
        <v>82713.61</v>
      </c>
      <c r="R1143">
        <v>450</v>
      </c>
      <c r="S1143" t="s">
        <v>2895</v>
      </c>
      <c r="T1143" t="s">
        <v>2896</v>
      </c>
      <c r="U1143" t="s">
        <v>2897</v>
      </c>
    </row>
    <row r="1144" spans="1:21">
      <c r="A1144" t="s">
        <v>2406</v>
      </c>
      <c r="B1144" s="7">
        <v>46237</v>
      </c>
      <c r="C1144" s="8">
        <v>0.2981712962962963</v>
      </c>
      <c r="D1144" t="s">
        <v>17</v>
      </c>
      <c r="E1144" t="s">
        <v>2</v>
      </c>
      <c r="F1144" t="s">
        <v>149</v>
      </c>
      <c r="G1144" t="s">
        <v>72</v>
      </c>
      <c r="H1144">
        <v>600</v>
      </c>
      <c r="I1144" t="s">
        <v>52</v>
      </c>
      <c r="J1144" t="s">
        <v>2408</v>
      </c>
      <c r="K1144" t="s">
        <v>54</v>
      </c>
      <c r="L1144" t="s">
        <v>74</v>
      </c>
      <c r="O1144" t="s">
        <v>75</v>
      </c>
      <c r="P1144" t="s">
        <v>2405</v>
      </c>
      <c r="Q1144">
        <v>88613.61</v>
      </c>
      <c r="R1144">
        <v>600</v>
      </c>
      <c r="S1144" t="s">
        <v>2895</v>
      </c>
      <c r="T1144" t="s">
        <v>2896</v>
      </c>
      <c r="U1144" t="s">
        <v>2897</v>
      </c>
    </row>
    <row r="1145" spans="1:21">
      <c r="A1145" t="s">
        <v>2409</v>
      </c>
      <c r="B1145" s="7">
        <v>46237</v>
      </c>
      <c r="C1145" s="8">
        <v>0.33709490740740738</v>
      </c>
      <c r="D1145" t="s">
        <v>17</v>
      </c>
      <c r="E1145" t="s">
        <v>2</v>
      </c>
      <c r="F1145" t="s">
        <v>149</v>
      </c>
      <c r="G1145" t="s">
        <v>72</v>
      </c>
      <c r="H1145">
        <v>750</v>
      </c>
      <c r="I1145" t="s">
        <v>52</v>
      </c>
      <c r="J1145" t="s">
        <v>2411</v>
      </c>
      <c r="K1145" t="s">
        <v>54</v>
      </c>
      <c r="L1145" t="s">
        <v>74</v>
      </c>
      <c r="O1145" t="s">
        <v>75</v>
      </c>
      <c r="P1145" t="s">
        <v>2405</v>
      </c>
      <c r="Q1145">
        <v>78413.61</v>
      </c>
      <c r="R1145">
        <v>750</v>
      </c>
      <c r="S1145" t="s">
        <v>2895</v>
      </c>
      <c r="T1145" t="s">
        <v>2896</v>
      </c>
      <c r="U1145" t="s">
        <v>2897</v>
      </c>
    </row>
    <row r="1146" spans="1:21">
      <c r="A1146" t="s">
        <v>2412</v>
      </c>
      <c r="B1146" s="7">
        <v>46237</v>
      </c>
      <c r="C1146" s="8">
        <v>0.36555555555555558</v>
      </c>
      <c r="D1146" t="s">
        <v>17</v>
      </c>
      <c r="E1146" t="s">
        <v>2</v>
      </c>
      <c r="F1146" t="s">
        <v>50</v>
      </c>
      <c r="G1146" t="s">
        <v>51</v>
      </c>
      <c r="H1146">
        <v>15.48</v>
      </c>
      <c r="I1146" t="s">
        <v>52</v>
      </c>
      <c r="J1146" t="s">
        <v>121</v>
      </c>
      <c r="K1146" t="s">
        <v>54</v>
      </c>
      <c r="L1146" t="s">
        <v>55</v>
      </c>
      <c r="O1146" t="s">
        <v>122</v>
      </c>
      <c r="P1146" t="s">
        <v>123</v>
      </c>
      <c r="Q1146">
        <v>20676.13</v>
      </c>
      <c r="R1146">
        <v>-15.48</v>
      </c>
      <c r="S1146" t="s">
        <v>2895</v>
      </c>
      <c r="T1146" t="s">
        <v>2896</v>
      </c>
      <c r="U1146" t="s">
        <v>2897</v>
      </c>
    </row>
    <row r="1147" spans="1:21">
      <c r="A1147" t="s">
        <v>2414</v>
      </c>
      <c r="B1147" s="7">
        <v>46237</v>
      </c>
      <c r="C1147" s="8">
        <v>0.42616898148148147</v>
      </c>
      <c r="D1147" t="s">
        <v>17</v>
      </c>
      <c r="E1147" t="s">
        <v>2</v>
      </c>
      <c r="F1147" t="s">
        <v>50</v>
      </c>
      <c r="G1147" t="s">
        <v>51</v>
      </c>
      <c r="H1147">
        <v>31.36</v>
      </c>
      <c r="I1147" t="s">
        <v>52</v>
      </c>
      <c r="J1147" t="s">
        <v>81</v>
      </c>
      <c r="K1147" t="s">
        <v>54</v>
      </c>
      <c r="L1147" t="s">
        <v>55</v>
      </c>
      <c r="O1147" t="s">
        <v>82</v>
      </c>
      <c r="P1147" t="s">
        <v>83</v>
      </c>
      <c r="Q1147">
        <v>20595.3</v>
      </c>
      <c r="R1147">
        <v>-31.36</v>
      </c>
      <c r="S1147" t="s">
        <v>2895</v>
      </c>
      <c r="T1147" t="s">
        <v>2896</v>
      </c>
      <c r="U1147" t="s">
        <v>2897</v>
      </c>
    </row>
    <row r="1148" spans="1:21">
      <c r="A1148" t="s">
        <v>2416</v>
      </c>
      <c r="B1148" s="7">
        <v>46237</v>
      </c>
      <c r="C1148" s="8">
        <v>0.44582175925925926</v>
      </c>
      <c r="D1148" t="s">
        <v>17</v>
      </c>
      <c r="E1148" t="s">
        <v>2</v>
      </c>
      <c r="F1148" t="s">
        <v>50</v>
      </c>
      <c r="G1148" t="s">
        <v>51</v>
      </c>
      <c r="H1148">
        <v>21.92</v>
      </c>
      <c r="I1148" t="s">
        <v>52</v>
      </c>
      <c r="J1148" t="s">
        <v>121</v>
      </c>
      <c r="K1148" t="s">
        <v>54</v>
      </c>
      <c r="L1148" t="s">
        <v>55</v>
      </c>
      <c r="O1148" t="s">
        <v>122</v>
      </c>
      <c r="P1148" t="s">
        <v>123</v>
      </c>
      <c r="Q1148">
        <v>20528.5</v>
      </c>
      <c r="R1148">
        <v>-21.92</v>
      </c>
      <c r="S1148" t="s">
        <v>2895</v>
      </c>
      <c r="T1148" t="s">
        <v>2896</v>
      </c>
      <c r="U1148" t="s">
        <v>2897</v>
      </c>
    </row>
    <row r="1149" spans="1:21">
      <c r="A1149" t="s">
        <v>2418</v>
      </c>
      <c r="B1149" s="7">
        <v>46237</v>
      </c>
      <c r="C1149" s="8">
        <v>0.53387731481481482</v>
      </c>
      <c r="D1149" t="s">
        <v>17</v>
      </c>
      <c r="E1149" t="s">
        <v>2</v>
      </c>
      <c r="F1149" t="s">
        <v>149</v>
      </c>
      <c r="G1149" t="s">
        <v>72</v>
      </c>
      <c r="H1149">
        <v>900</v>
      </c>
      <c r="I1149" t="s">
        <v>52</v>
      </c>
      <c r="J1149" t="s">
        <v>2420</v>
      </c>
      <c r="K1149" t="s">
        <v>54</v>
      </c>
      <c r="L1149" t="s">
        <v>74</v>
      </c>
      <c r="O1149" t="s">
        <v>75</v>
      </c>
      <c r="P1149" t="s">
        <v>2405</v>
      </c>
      <c r="Q1149">
        <v>72263.61</v>
      </c>
      <c r="R1149">
        <v>900</v>
      </c>
      <c r="S1149" t="s">
        <v>2895</v>
      </c>
      <c r="T1149" t="s">
        <v>2896</v>
      </c>
      <c r="U1149" t="s">
        <v>2897</v>
      </c>
    </row>
    <row r="1150" spans="1:21">
      <c r="A1150" t="s">
        <v>2421</v>
      </c>
      <c r="B1150" s="7">
        <v>46237</v>
      </c>
      <c r="C1150" s="8">
        <v>0.53828703703703706</v>
      </c>
      <c r="D1150" t="s">
        <v>17</v>
      </c>
      <c r="E1150" t="s">
        <v>2</v>
      </c>
      <c r="F1150" t="s">
        <v>50</v>
      </c>
      <c r="G1150" t="s">
        <v>51</v>
      </c>
      <c r="H1150">
        <v>31.24</v>
      </c>
      <c r="I1150" t="s">
        <v>52</v>
      </c>
      <c r="J1150" t="s">
        <v>126</v>
      </c>
      <c r="K1150" t="s">
        <v>54</v>
      </c>
      <c r="L1150" t="s">
        <v>55</v>
      </c>
      <c r="O1150" t="s">
        <v>56</v>
      </c>
      <c r="P1150" t="s">
        <v>57</v>
      </c>
      <c r="Q1150">
        <v>20564.060000000001</v>
      </c>
      <c r="R1150">
        <v>-31.24</v>
      </c>
      <c r="S1150" t="s">
        <v>2895</v>
      </c>
      <c r="T1150" t="s">
        <v>2896</v>
      </c>
      <c r="U1150" t="s">
        <v>2897</v>
      </c>
    </row>
    <row r="1151" spans="1:21">
      <c r="A1151" t="s">
        <v>2423</v>
      </c>
      <c r="B1151" s="7">
        <v>46237</v>
      </c>
      <c r="C1151" s="8">
        <v>0.55989583333333337</v>
      </c>
      <c r="D1151" t="s">
        <v>17</v>
      </c>
      <c r="E1151" t="s">
        <v>2</v>
      </c>
      <c r="F1151" t="s">
        <v>50</v>
      </c>
      <c r="G1151" t="s">
        <v>100</v>
      </c>
      <c r="H1151">
        <v>24.41</v>
      </c>
      <c r="I1151" t="s">
        <v>52</v>
      </c>
      <c r="J1151" t="s">
        <v>114</v>
      </c>
      <c r="K1151" t="s">
        <v>54</v>
      </c>
      <c r="L1151" t="s">
        <v>102</v>
      </c>
      <c r="O1151" t="s">
        <v>103</v>
      </c>
      <c r="P1151" t="s">
        <v>104</v>
      </c>
      <c r="Q1151">
        <v>20651.72</v>
      </c>
      <c r="R1151">
        <v>-24.41</v>
      </c>
      <c r="S1151" t="s">
        <v>2895</v>
      </c>
      <c r="T1151" t="s">
        <v>2896</v>
      </c>
      <c r="U1151" t="s">
        <v>2897</v>
      </c>
    </row>
    <row r="1152" spans="1:21">
      <c r="A1152" t="s">
        <v>2425</v>
      </c>
      <c r="B1152" s="7">
        <v>46237</v>
      </c>
      <c r="C1152" s="8">
        <v>0.66571759259259256</v>
      </c>
      <c r="D1152" t="s">
        <v>17</v>
      </c>
      <c r="E1152" t="s">
        <v>2</v>
      </c>
      <c r="F1152" t="s">
        <v>50</v>
      </c>
      <c r="G1152" t="s">
        <v>51</v>
      </c>
      <c r="H1152">
        <v>25.06</v>
      </c>
      <c r="I1152" t="s">
        <v>52</v>
      </c>
      <c r="J1152" t="s">
        <v>126</v>
      </c>
      <c r="K1152" t="s">
        <v>54</v>
      </c>
      <c r="L1152" t="s">
        <v>55</v>
      </c>
      <c r="O1152" t="s">
        <v>56</v>
      </c>
      <c r="P1152" t="s">
        <v>57</v>
      </c>
      <c r="Q1152">
        <v>20626.66</v>
      </c>
      <c r="R1152">
        <v>-25.06</v>
      </c>
      <c r="S1152" t="s">
        <v>2895</v>
      </c>
      <c r="T1152" t="s">
        <v>2896</v>
      </c>
      <c r="U1152" t="s">
        <v>2897</v>
      </c>
    </row>
    <row r="1153" spans="1:21">
      <c r="A1153" t="s">
        <v>2427</v>
      </c>
      <c r="B1153" s="7">
        <v>46237</v>
      </c>
      <c r="C1153" s="8">
        <v>0.95703703703703702</v>
      </c>
      <c r="D1153" t="s">
        <v>17</v>
      </c>
      <c r="E1153" t="s">
        <v>2</v>
      </c>
      <c r="F1153" t="s">
        <v>50</v>
      </c>
      <c r="G1153" t="s">
        <v>51</v>
      </c>
      <c r="H1153">
        <v>13.64</v>
      </c>
      <c r="I1153" t="s">
        <v>52</v>
      </c>
      <c r="J1153" t="s">
        <v>53</v>
      </c>
      <c r="K1153" t="s">
        <v>54</v>
      </c>
      <c r="L1153" t="s">
        <v>55</v>
      </c>
      <c r="O1153" t="s">
        <v>56</v>
      </c>
      <c r="P1153" t="s">
        <v>57</v>
      </c>
      <c r="Q1153">
        <v>20550.419999999998</v>
      </c>
      <c r="R1153">
        <v>-13.64</v>
      </c>
      <c r="S1153" t="s">
        <v>2895</v>
      </c>
      <c r="T1153" t="s">
        <v>2896</v>
      </c>
      <c r="U1153" t="s">
        <v>2897</v>
      </c>
    </row>
    <row r="1154" spans="1:21">
      <c r="A1154" t="s">
        <v>2429</v>
      </c>
      <c r="B1154" s="7">
        <v>46238</v>
      </c>
      <c r="C1154" s="8">
        <v>0.38287037037037036</v>
      </c>
      <c r="D1154" t="s">
        <v>17</v>
      </c>
      <c r="E1154" t="s">
        <v>2</v>
      </c>
      <c r="F1154" t="s">
        <v>50</v>
      </c>
      <c r="G1154" t="s">
        <v>100</v>
      </c>
      <c r="H1154">
        <v>17.989999999999998</v>
      </c>
      <c r="I1154" t="s">
        <v>52</v>
      </c>
      <c r="J1154" t="s">
        <v>114</v>
      </c>
      <c r="K1154" t="s">
        <v>54</v>
      </c>
      <c r="L1154" t="s">
        <v>102</v>
      </c>
      <c r="O1154" t="s">
        <v>103</v>
      </c>
      <c r="P1154" t="s">
        <v>104</v>
      </c>
      <c r="Q1154">
        <v>20510.509999999998</v>
      </c>
      <c r="R1154">
        <v>-17.989999999999998</v>
      </c>
      <c r="S1154" t="s">
        <v>2895</v>
      </c>
      <c r="T1154" t="s">
        <v>2896</v>
      </c>
      <c r="U1154" t="s">
        <v>2897</v>
      </c>
    </row>
    <row r="1155" spans="1:21">
      <c r="A1155" t="s">
        <v>2431</v>
      </c>
      <c r="B1155" s="7">
        <v>46238</v>
      </c>
      <c r="C1155" s="8">
        <v>0.45958333333333334</v>
      </c>
      <c r="D1155" t="s">
        <v>17</v>
      </c>
      <c r="E1155" t="s">
        <v>2</v>
      </c>
      <c r="F1155" t="s">
        <v>50</v>
      </c>
      <c r="G1155" t="s">
        <v>51</v>
      </c>
      <c r="H1155">
        <v>31.01</v>
      </c>
      <c r="I1155" t="s">
        <v>52</v>
      </c>
      <c r="J1155" t="s">
        <v>196</v>
      </c>
      <c r="K1155" t="s">
        <v>54</v>
      </c>
      <c r="L1155" t="s">
        <v>55</v>
      </c>
      <c r="O1155" t="s">
        <v>197</v>
      </c>
      <c r="P1155" t="s">
        <v>198</v>
      </c>
      <c r="Q1155">
        <v>20433.66</v>
      </c>
      <c r="R1155">
        <v>-31.01</v>
      </c>
      <c r="S1155" t="s">
        <v>2895</v>
      </c>
      <c r="T1155" t="s">
        <v>2896</v>
      </c>
      <c r="U1155" t="s">
        <v>2897</v>
      </c>
    </row>
    <row r="1156" spans="1:21">
      <c r="A1156" t="s">
        <v>2433</v>
      </c>
      <c r="B1156" s="7">
        <v>46238</v>
      </c>
      <c r="C1156" s="8">
        <v>0.55581018518518521</v>
      </c>
      <c r="D1156" t="s">
        <v>17</v>
      </c>
      <c r="E1156" t="s">
        <v>2</v>
      </c>
      <c r="F1156" t="s">
        <v>149</v>
      </c>
      <c r="G1156" t="s">
        <v>72</v>
      </c>
      <c r="H1156">
        <v>1200</v>
      </c>
      <c r="I1156" t="s">
        <v>52</v>
      </c>
      <c r="J1156" t="s">
        <v>2435</v>
      </c>
      <c r="K1156" t="s">
        <v>54</v>
      </c>
      <c r="L1156" t="s">
        <v>74</v>
      </c>
      <c r="O1156" t="s">
        <v>75</v>
      </c>
      <c r="P1156" t="s">
        <v>2405</v>
      </c>
      <c r="Q1156">
        <v>73463.61</v>
      </c>
      <c r="R1156">
        <v>1200</v>
      </c>
      <c r="S1156" t="s">
        <v>2895</v>
      </c>
      <c r="T1156" t="s">
        <v>2896</v>
      </c>
      <c r="U1156" t="s">
        <v>2897</v>
      </c>
    </row>
    <row r="1157" spans="1:21">
      <c r="A1157" t="s">
        <v>2436</v>
      </c>
      <c r="B1157" s="7">
        <v>46238</v>
      </c>
      <c r="C1157" s="8">
        <v>0.56821759259259264</v>
      </c>
      <c r="D1157" t="s">
        <v>17</v>
      </c>
      <c r="E1157" t="s">
        <v>2</v>
      </c>
      <c r="F1157" t="s">
        <v>50</v>
      </c>
      <c r="G1157" t="s">
        <v>51</v>
      </c>
      <c r="H1157">
        <v>12.48</v>
      </c>
      <c r="I1157" t="s">
        <v>52</v>
      </c>
      <c r="J1157" t="s">
        <v>53</v>
      </c>
      <c r="K1157" t="s">
        <v>54</v>
      </c>
      <c r="L1157" t="s">
        <v>55</v>
      </c>
      <c r="O1157" t="s">
        <v>56</v>
      </c>
      <c r="P1157" t="s">
        <v>57</v>
      </c>
      <c r="Q1157">
        <v>20421.18</v>
      </c>
      <c r="R1157">
        <v>-12.48</v>
      </c>
      <c r="S1157" t="s">
        <v>2895</v>
      </c>
      <c r="T1157" t="s">
        <v>2896</v>
      </c>
      <c r="U1157" t="s">
        <v>2897</v>
      </c>
    </row>
    <row r="1158" spans="1:21">
      <c r="A1158" t="s">
        <v>2438</v>
      </c>
      <c r="B1158" s="7">
        <v>46238</v>
      </c>
      <c r="C1158" s="8">
        <v>0.59015046296296292</v>
      </c>
      <c r="D1158" t="s">
        <v>17</v>
      </c>
      <c r="E1158" t="s">
        <v>2</v>
      </c>
      <c r="F1158" t="s">
        <v>50</v>
      </c>
      <c r="G1158" t="s">
        <v>51</v>
      </c>
      <c r="H1158">
        <v>8.76</v>
      </c>
      <c r="I1158" t="s">
        <v>52</v>
      </c>
      <c r="J1158" t="s">
        <v>121</v>
      </c>
      <c r="K1158" t="s">
        <v>54</v>
      </c>
      <c r="L1158" t="s">
        <v>55</v>
      </c>
      <c r="O1158" t="s">
        <v>122</v>
      </c>
      <c r="P1158" t="s">
        <v>123</v>
      </c>
      <c r="Q1158">
        <v>20464.669999999998</v>
      </c>
      <c r="R1158">
        <v>-8.76</v>
      </c>
      <c r="S1158" t="s">
        <v>2895</v>
      </c>
      <c r="T1158" t="s">
        <v>2896</v>
      </c>
      <c r="U1158" t="s">
        <v>2897</v>
      </c>
    </row>
    <row r="1159" spans="1:21">
      <c r="A1159" t="s">
        <v>2440</v>
      </c>
      <c r="B1159" s="7">
        <v>46238</v>
      </c>
      <c r="C1159" s="8">
        <v>0.62784722222222222</v>
      </c>
      <c r="D1159" t="s">
        <v>17</v>
      </c>
      <c r="E1159" t="s">
        <v>2</v>
      </c>
      <c r="F1159" t="s">
        <v>149</v>
      </c>
      <c r="G1159" t="s">
        <v>72</v>
      </c>
      <c r="H1159">
        <v>500</v>
      </c>
      <c r="I1159" t="s">
        <v>52</v>
      </c>
      <c r="J1159" t="s">
        <v>2442</v>
      </c>
      <c r="K1159" t="s">
        <v>54</v>
      </c>
      <c r="L1159" t="s">
        <v>74</v>
      </c>
      <c r="O1159" t="s">
        <v>75</v>
      </c>
      <c r="P1159" t="s">
        <v>2405</v>
      </c>
      <c r="Q1159">
        <v>78913.61</v>
      </c>
      <c r="R1159">
        <v>500</v>
      </c>
      <c r="S1159" t="s">
        <v>2895</v>
      </c>
      <c r="T1159" t="s">
        <v>2896</v>
      </c>
      <c r="U1159" t="s">
        <v>2897</v>
      </c>
    </row>
    <row r="1160" spans="1:21">
      <c r="A1160" t="s">
        <v>2443</v>
      </c>
      <c r="B1160" s="7">
        <v>46238</v>
      </c>
      <c r="C1160" s="8">
        <v>0.7058564814814815</v>
      </c>
      <c r="D1160" t="s">
        <v>17</v>
      </c>
      <c r="E1160" t="s">
        <v>2</v>
      </c>
      <c r="F1160" t="s">
        <v>50</v>
      </c>
      <c r="G1160" t="s">
        <v>51</v>
      </c>
      <c r="H1160">
        <v>37.08</v>
      </c>
      <c r="I1160" t="s">
        <v>52</v>
      </c>
      <c r="J1160" t="s">
        <v>126</v>
      </c>
      <c r="K1160" t="s">
        <v>54</v>
      </c>
      <c r="L1160" t="s">
        <v>55</v>
      </c>
      <c r="O1160" t="s">
        <v>56</v>
      </c>
      <c r="P1160" t="s">
        <v>57</v>
      </c>
      <c r="Q1160">
        <v>20473.43</v>
      </c>
      <c r="R1160">
        <v>-37.08</v>
      </c>
      <c r="S1160" t="s">
        <v>2895</v>
      </c>
      <c r="T1160" t="s">
        <v>2896</v>
      </c>
      <c r="U1160" t="s">
        <v>2897</v>
      </c>
    </row>
    <row r="1161" spans="1:21">
      <c r="A1161" t="s">
        <v>2445</v>
      </c>
      <c r="B1161" s="7">
        <v>46238</v>
      </c>
      <c r="C1161" s="8">
        <v>0.88092592592592589</v>
      </c>
      <c r="D1161" t="s">
        <v>17</v>
      </c>
      <c r="E1161" t="s">
        <v>2</v>
      </c>
      <c r="F1161" t="s">
        <v>50</v>
      </c>
      <c r="G1161" t="s">
        <v>72</v>
      </c>
      <c r="H1161">
        <v>130.1</v>
      </c>
      <c r="I1161" t="s">
        <v>52</v>
      </c>
      <c r="J1161" t="s">
        <v>150</v>
      </c>
      <c r="K1161" t="s">
        <v>54</v>
      </c>
      <c r="L1161" t="s">
        <v>74</v>
      </c>
      <c r="O1161" t="s">
        <v>75</v>
      </c>
      <c r="P1161" t="s">
        <v>76</v>
      </c>
      <c r="Q1161">
        <v>20291.080000000002</v>
      </c>
      <c r="R1161">
        <v>-130.1</v>
      </c>
      <c r="S1161" t="s">
        <v>2895</v>
      </c>
      <c r="T1161" t="s">
        <v>2896</v>
      </c>
      <c r="U1161" t="s">
        <v>2897</v>
      </c>
    </row>
    <row r="1162" spans="1:21">
      <c r="A1162" t="s">
        <v>2447</v>
      </c>
      <c r="B1162" s="7">
        <v>46238</v>
      </c>
      <c r="C1162" s="8">
        <v>0.94538194444444446</v>
      </c>
      <c r="D1162" t="s">
        <v>17</v>
      </c>
      <c r="E1162" t="s">
        <v>2</v>
      </c>
      <c r="F1162" t="s">
        <v>149</v>
      </c>
      <c r="G1162" t="s">
        <v>72</v>
      </c>
      <c r="H1162">
        <v>500</v>
      </c>
      <c r="I1162" t="s">
        <v>52</v>
      </c>
      <c r="J1162" t="s">
        <v>2449</v>
      </c>
      <c r="K1162" t="s">
        <v>54</v>
      </c>
      <c r="L1162" t="s">
        <v>74</v>
      </c>
      <c r="O1162" t="s">
        <v>75</v>
      </c>
      <c r="P1162" t="s">
        <v>2405</v>
      </c>
      <c r="Q1162">
        <v>83213.61</v>
      </c>
      <c r="R1162">
        <v>500</v>
      </c>
      <c r="S1162" t="s">
        <v>2895</v>
      </c>
      <c r="T1162" t="s">
        <v>2896</v>
      </c>
      <c r="U1162" t="s">
        <v>2897</v>
      </c>
    </row>
    <row r="1163" spans="1:21">
      <c r="A1163" t="s">
        <v>2450</v>
      </c>
      <c r="B1163" s="7">
        <v>46239</v>
      </c>
      <c r="C1163" s="8">
        <v>0.34165509259259258</v>
      </c>
      <c r="D1163" t="s">
        <v>17</v>
      </c>
      <c r="E1163" t="s">
        <v>2</v>
      </c>
      <c r="F1163" t="s">
        <v>50</v>
      </c>
      <c r="G1163" t="s">
        <v>51</v>
      </c>
      <c r="H1163">
        <v>146.88</v>
      </c>
      <c r="I1163" t="s">
        <v>52</v>
      </c>
      <c r="J1163" t="s">
        <v>196</v>
      </c>
      <c r="K1163" t="s">
        <v>54</v>
      </c>
      <c r="L1163" t="s">
        <v>55</v>
      </c>
      <c r="O1163" t="s">
        <v>197</v>
      </c>
      <c r="P1163" t="s">
        <v>198</v>
      </c>
      <c r="Q1163">
        <v>19976.55</v>
      </c>
      <c r="R1163">
        <v>-146.88</v>
      </c>
      <c r="S1163" t="s">
        <v>2895</v>
      </c>
      <c r="T1163" t="s">
        <v>2896</v>
      </c>
      <c r="U1163" t="s">
        <v>2897</v>
      </c>
    </row>
    <row r="1164" spans="1:21">
      <c r="A1164" t="s">
        <v>2452</v>
      </c>
      <c r="B1164" s="7">
        <v>46239</v>
      </c>
      <c r="C1164" s="8">
        <v>0.35065972222222225</v>
      </c>
      <c r="D1164" t="s">
        <v>17</v>
      </c>
      <c r="E1164" t="s">
        <v>2</v>
      </c>
      <c r="F1164" t="s">
        <v>50</v>
      </c>
      <c r="G1164" t="s">
        <v>100</v>
      </c>
      <c r="H1164">
        <v>178.83</v>
      </c>
      <c r="I1164" t="s">
        <v>52</v>
      </c>
      <c r="J1164" t="s">
        <v>177</v>
      </c>
      <c r="K1164" t="s">
        <v>54</v>
      </c>
      <c r="L1164" t="s">
        <v>102</v>
      </c>
      <c r="O1164" t="s">
        <v>178</v>
      </c>
      <c r="P1164" t="s">
        <v>179</v>
      </c>
      <c r="Q1164">
        <v>38247.18</v>
      </c>
      <c r="R1164">
        <v>-178.83</v>
      </c>
      <c r="S1164" t="s">
        <v>2895</v>
      </c>
      <c r="T1164" t="s">
        <v>2896</v>
      </c>
      <c r="U1164" t="s">
        <v>2897</v>
      </c>
    </row>
    <row r="1165" spans="1:21">
      <c r="A1165" t="s">
        <v>2454</v>
      </c>
      <c r="B1165" s="7">
        <v>46239</v>
      </c>
      <c r="C1165" s="8">
        <v>0.54335648148148152</v>
      </c>
      <c r="D1165" t="s">
        <v>17</v>
      </c>
      <c r="E1165" t="s">
        <v>2</v>
      </c>
      <c r="F1165" t="s">
        <v>50</v>
      </c>
      <c r="G1165" t="s">
        <v>51</v>
      </c>
      <c r="H1165">
        <v>14.55</v>
      </c>
      <c r="I1165" t="s">
        <v>52</v>
      </c>
      <c r="J1165" t="s">
        <v>126</v>
      </c>
      <c r="K1165" t="s">
        <v>54</v>
      </c>
      <c r="L1165" t="s">
        <v>55</v>
      </c>
      <c r="O1165" t="s">
        <v>56</v>
      </c>
      <c r="P1165" t="s">
        <v>57</v>
      </c>
      <c r="Q1165">
        <v>20258.96</v>
      </c>
      <c r="R1165">
        <v>-14.55</v>
      </c>
      <c r="S1165" t="s">
        <v>2895</v>
      </c>
      <c r="T1165" t="s">
        <v>2896</v>
      </c>
      <c r="U1165" t="s">
        <v>2897</v>
      </c>
    </row>
    <row r="1166" spans="1:21">
      <c r="A1166" t="s">
        <v>2456</v>
      </c>
      <c r="B1166" s="7">
        <v>46239</v>
      </c>
      <c r="C1166" s="8">
        <v>0.58870370370370373</v>
      </c>
      <c r="D1166" t="s">
        <v>17</v>
      </c>
      <c r="E1166" t="s">
        <v>2</v>
      </c>
      <c r="F1166" t="s">
        <v>149</v>
      </c>
      <c r="G1166" t="s">
        <v>72</v>
      </c>
      <c r="H1166">
        <v>500</v>
      </c>
      <c r="I1166" t="s">
        <v>52</v>
      </c>
      <c r="J1166" t="s">
        <v>2458</v>
      </c>
      <c r="K1166" t="s">
        <v>54</v>
      </c>
      <c r="L1166" t="s">
        <v>74</v>
      </c>
      <c r="O1166" t="s">
        <v>75</v>
      </c>
      <c r="P1166" t="s">
        <v>2405</v>
      </c>
      <c r="Q1166">
        <v>79413.61</v>
      </c>
      <c r="R1166">
        <v>500</v>
      </c>
      <c r="S1166" t="s">
        <v>2895</v>
      </c>
      <c r="T1166" t="s">
        <v>2896</v>
      </c>
      <c r="U1166" t="s">
        <v>2897</v>
      </c>
    </row>
    <row r="1167" spans="1:21">
      <c r="A1167" t="s">
        <v>2459</v>
      </c>
      <c r="B1167" s="7">
        <v>46239</v>
      </c>
      <c r="C1167" s="8">
        <v>0.6956134259259259</v>
      </c>
      <c r="D1167" t="s">
        <v>17</v>
      </c>
      <c r="E1167" t="s">
        <v>2</v>
      </c>
      <c r="F1167" t="s">
        <v>149</v>
      </c>
      <c r="G1167" t="s">
        <v>72</v>
      </c>
      <c r="H1167">
        <v>750</v>
      </c>
      <c r="I1167" t="s">
        <v>52</v>
      </c>
      <c r="J1167" t="s">
        <v>2461</v>
      </c>
      <c r="K1167" t="s">
        <v>54</v>
      </c>
      <c r="L1167" t="s">
        <v>74</v>
      </c>
      <c r="O1167" t="s">
        <v>75</v>
      </c>
      <c r="P1167" t="s">
        <v>2405</v>
      </c>
      <c r="Q1167">
        <v>83963.61</v>
      </c>
      <c r="R1167">
        <v>750</v>
      </c>
      <c r="S1167" t="s">
        <v>2895</v>
      </c>
      <c r="T1167" t="s">
        <v>2896</v>
      </c>
      <c r="U1167" t="s">
        <v>2897</v>
      </c>
    </row>
    <row r="1168" spans="1:21">
      <c r="A1168" t="s">
        <v>2462</v>
      </c>
      <c r="B1168" s="7">
        <v>46239</v>
      </c>
      <c r="C1168" s="8">
        <v>0.77187499999999998</v>
      </c>
      <c r="D1168" t="s">
        <v>17</v>
      </c>
      <c r="E1168" t="s">
        <v>2</v>
      </c>
      <c r="F1168" t="s">
        <v>50</v>
      </c>
      <c r="G1168" t="s">
        <v>51</v>
      </c>
      <c r="H1168">
        <v>17.57</v>
      </c>
      <c r="I1168" t="s">
        <v>52</v>
      </c>
      <c r="J1168" t="s">
        <v>81</v>
      </c>
      <c r="K1168" t="s">
        <v>54</v>
      </c>
      <c r="L1168" t="s">
        <v>55</v>
      </c>
      <c r="O1168" t="s">
        <v>82</v>
      </c>
      <c r="P1168" t="s">
        <v>83</v>
      </c>
      <c r="Q1168">
        <v>20273.509999999998</v>
      </c>
      <c r="R1168">
        <v>-17.57</v>
      </c>
      <c r="S1168" t="s">
        <v>2895</v>
      </c>
      <c r="T1168" t="s">
        <v>2896</v>
      </c>
      <c r="U1168" t="s">
        <v>2897</v>
      </c>
    </row>
    <row r="1169" spans="1:21">
      <c r="A1169" t="s">
        <v>2464</v>
      </c>
      <c r="B1169" s="7">
        <v>46239</v>
      </c>
      <c r="C1169" s="8">
        <v>0.78217592592592589</v>
      </c>
      <c r="D1169" t="s">
        <v>17</v>
      </c>
      <c r="E1169" t="s">
        <v>2</v>
      </c>
      <c r="F1169" t="s">
        <v>50</v>
      </c>
      <c r="G1169" t="s">
        <v>51</v>
      </c>
      <c r="H1169">
        <v>95.21</v>
      </c>
      <c r="I1169" t="s">
        <v>52</v>
      </c>
      <c r="J1169" t="s">
        <v>65</v>
      </c>
      <c r="K1169" t="s">
        <v>54</v>
      </c>
      <c r="L1169" t="s">
        <v>55</v>
      </c>
      <c r="O1169" t="s">
        <v>66</v>
      </c>
      <c r="P1169" t="s">
        <v>67</v>
      </c>
      <c r="Q1169">
        <v>19851.34</v>
      </c>
      <c r="R1169">
        <v>-95.21</v>
      </c>
      <c r="S1169" t="s">
        <v>2895</v>
      </c>
      <c r="T1169" t="s">
        <v>2896</v>
      </c>
      <c r="U1169" t="s">
        <v>2897</v>
      </c>
    </row>
    <row r="1170" spans="1:21">
      <c r="A1170" t="s">
        <v>2466</v>
      </c>
      <c r="B1170" s="7">
        <v>46239</v>
      </c>
      <c r="C1170" s="8">
        <v>0.80193287037037042</v>
      </c>
      <c r="D1170" t="s">
        <v>17</v>
      </c>
      <c r="E1170" t="s">
        <v>2</v>
      </c>
      <c r="F1170" t="s">
        <v>50</v>
      </c>
      <c r="G1170" t="s">
        <v>51</v>
      </c>
      <c r="H1170">
        <v>135.53</v>
      </c>
      <c r="I1170" t="s">
        <v>52</v>
      </c>
      <c r="J1170" t="s">
        <v>65</v>
      </c>
      <c r="K1170" t="s">
        <v>54</v>
      </c>
      <c r="L1170" t="s">
        <v>55</v>
      </c>
      <c r="O1170" t="s">
        <v>66</v>
      </c>
      <c r="P1170" t="s">
        <v>67</v>
      </c>
      <c r="Q1170">
        <v>20123.43</v>
      </c>
      <c r="R1170">
        <v>-135.53</v>
      </c>
      <c r="S1170" t="s">
        <v>2895</v>
      </c>
      <c r="T1170" t="s">
        <v>2896</v>
      </c>
      <c r="U1170" t="s">
        <v>2897</v>
      </c>
    </row>
    <row r="1171" spans="1:21">
      <c r="A1171" t="s">
        <v>2468</v>
      </c>
      <c r="B1171" s="7">
        <v>46239</v>
      </c>
      <c r="C1171" s="8">
        <v>0.80959490740740736</v>
      </c>
      <c r="D1171" t="s">
        <v>17</v>
      </c>
      <c r="E1171" t="s">
        <v>2</v>
      </c>
      <c r="F1171" t="s">
        <v>50</v>
      </c>
      <c r="G1171" t="s">
        <v>100</v>
      </c>
      <c r="H1171">
        <v>15</v>
      </c>
      <c r="I1171" t="s">
        <v>52</v>
      </c>
      <c r="J1171" t="s">
        <v>101</v>
      </c>
      <c r="K1171" t="s">
        <v>54</v>
      </c>
      <c r="L1171" t="s">
        <v>102</v>
      </c>
      <c r="O1171" t="s">
        <v>103</v>
      </c>
      <c r="P1171" t="s">
        <v>104</v>
      </c>
      <c r="Q1171">
        <v>19946.55</v>
      </c>
      <c r="R1171">
        <v>-15</v>
      </c>
      <c r="S1171" t="s">
        <v>2895</v>
      </c>
      <c r="T1171" t="s">
        <v>2896</v>
      </c>
      <c r="U1171" t="s">
        <v>2897</v>
      </c>
    </row>
    <row r="1172" spans="1:21">
      <c r="A1172" t="s">
        <v>2470</v>
      </c>
      <c r="B1172" s="7">
        <v>46239</v>
      </c>
      <c r="C1172" s="8">
        <v>0.8540740740740741</v>
      </c>
      <c r="D1172" t="s">
        <v>17</v>
      </c>
      <c r="E1172" t="s">
        <v>2</v>
      </c>
      <c r="F1172" t="s">
        <v>50</v>
      </c>
      <c r="G1172" t="s">
        <v>88</v>
      </c>
      <c r="H1172">
        <v>40</v>
      </c>
      <c r="I1172" t="s">
        <v>52</v>
      </c>
      <c r="J1172" t="s">
        <v>89</v>
      </c>
      <c r="K1172" t="s">
        <v>54</v>
      </c>
      <c r="L1172" t="s">
        <v>90</v>
      </c>
      <c r="M1172" t="s">
        <v>91</v>
      </c>
      <c r="N1172" t="s">
        <v>12</v>
      </c>
      <c r="O1172" t="s">
        <v>92</v>
      </c>
      <c r="P1172" t="s">
        <v>93</v>
      </c>
      <c r="Q1172">
        <v>19796.72</v>
      </c>
      <c r="R1172">
        <v>-40</v>
      </c>
      <c r="S1172" t="s">
        <v>2895</v>
      </c>
      <c r="T1172" t="s">
        <v>2896</v>
      </c>
      <c r="U1172" t="s">
        <v>2897</v>
      </c>
    </row>
    <row r="1173" spans="1:21">
      <c r="A1173" t="s">
        <v>2472</v>
      </c>
      <c r="B1173" s="7">
        <v>46239</v>
      </c>
      <c r="C1173" s="8">
        <v>0.905787037037037</v>
      </c>
      <c r="D1173" t="s">
        <v>17</v>
      </c>
      <c r="E1173" t="s">
        <v>2</v>
      </c>
      <c r="F1173" t="s">
        <v>50</v>
      </c>
      <c r="G1173" t="s">
        <v>100</v>
      </c>
      <c r="H1173">
        <v>15</v>
      </c>
      <c r="I1173" t="s">
        <v>52</v>
      </c>
      <c r="J1173" t="s">
        <v>101</v>
      </c>
      <c r="K1173" t="s">
        <v>54</v>
      </c>
      <c r="L1173" t="s">
        <v>102</v>
      </c>
      <c r="O1173" t="s">
        <v>103</v>
      </c>
      <c r="P1173" t="s">
        <v>104</v>
      </c>
      <c r="Q1173">
        <v>19961.55</v>
      </c>
      <c r="R1173">
        <v>-15</v>
      </c>
      <c r="S1173" t="s">
        <v>2895</v>
      </c>
      <c r="T1173" t="s">
        <v>2896</v>
      </c>
      <c r="U1173" t="s">
        <v>2897</v>
      </c>
    </row>
    <row r="1174" spans="1:21">
      <c r="A1174" t="s">
        <v>2474</v>
      </c>
      <c r="B1174" s="7">
        <v>46239</v>
      </c>
      <c r="C1174" s="8">
        <v>0.94578703703703704</v>
      </c>
      <c r="D1174" t="s">
        <v>17</v>
      </c>
      <c r="E1174" t="s">
        <v>2</v>
      </c>
      <c r="F1174" t="s">
        <v>50</v>
      </c>
      <c r="G1174" t="s">
        <v>51</v>
      </c>
      <c r="H1174">
        <v>14.62</v>
      </c>
      <c r="I1174" t="s">
        <v>52</v>
      </c>
      <c r="J1174" t="s">
        <v>121</v>
      </c>
      <c r="K1174" t="s">
        <v>54</v>
      </c>
      <c r="L1174" t="s">
        <v>55</v>
      </c>
      <c r="O1174" t="s">
        <v>122</v>
      </c>
      <c r="P1174" t="s">
        <v>123</v>
      </c>
      <c r="Q1174">
        <v>19836.72</v>
      </c>
      <c r="R1174">
        <v>-14.62</v>
      </c>
      <c r="S1174" t="s">
        <v>2895</v>
      </c>
      <c r="T1174" t="s">
        <v>2896</v>
      </c>
      <c r="U1174" t="s">
        <v>2897</v>
      </c>
    </row>
    <row r="1175" spans="1:21">
      <c r="A1175" t="s">
        <v>2476</v>
      </c>
      <c r="B1175" s="7">
        <v>46239</v>
      </c>
      <c r="C1175" s="8">
        <v>0.94684027777777779</v>
      </c>
      <c r="D1175" t="s">
        <v>17</v>
      </c>
      <c r="E1175" t="s">
        <v>2</v>
      </c>
      <c r="F1175" t="s">
        <v>149</v>
      </c>
      <c r="G1175" t="s">
        <v>72</v>
      </c>
      <c r="H1175">
        <v>600</v>
      </c>
      <c r="I1175" t="s">
        <v>52</v>
      </c>
      <c r="J1175" t="s">
        <v>2478</v>
      </c>
      <c r="K1175" t="s">
        <v>54</v>
      </c>
      <c r="L1175" t="s">
        <v>74</v>
      </c>
      <c r="O1175" t="s">
        <v>75</v>
      </c>
      <c r="P1175" t="s">
        <v>2405</v>
      </c>
      <c r="Q1175">
        <v>74063.61</v>
      </c>
      <c r="R1175">
        <v>600</v>
      </c>
      <c r="S1175" t="s">
        <v>2895</v>
      </c>
      <c r="T1175" t="s">
        <v>2896</v>
      </c>
      <c r="U1175" t="s">
        <v>2897</v>
      </c>
    </row>
    <row r="1176" spans="1:21">
      <c r="A1176" t="s">
        <v>2479</v>
      </c>
      <c r="B1176" s="7">
        <v>46240</v>
      </c>
      <c r="C1176" s="8">
        <v>0.29471064814814812</v>
      </c>
      <c r="D1176" t="s">
        <v>17</v>
      </c>
      <c r="E1176" t="s">
        <v>2</v>
      </c>
      <c r="F1176" t="s">
        <v>149</v>
      </c>
      <c r="G1176" t="s">
        <v>72</v>
      </c>
      <c r="H1176">
        <v>600</v>
      </c>
      <c r="I1176" t="s">
        <v>52</v>
      </c>
      <c r="J1176" t="s">
        <v>2481</v>
      </c>
      <c r="K1176" t="s">
        <v>54</v>
      </c>
      <c r="L1176" t="s">
        <v>74</v>
      </c>
      <c r="O1176" t="s">
        <v>75</v>
      </c>
      <c r="P1176" t="s">
        <v>2405</v>
      </c>
      <c r="Q1176">
        <v>74663.61</v>
      </c>
      <c r="R1176">
        <v>600</v>
      </c>
      <c r="S1176" t="s">
        <v>2895</v>
      </c>
      <c r="T1176" t="s">
        <v>2896</v>
      </c>
      <c r="U1176" t="s">
        <v>2897</v>
      </c>
    </row>
    <row r="1177" spans="1:21">
      <c r="A1177" t="s">
        <v>2482</v>
      </c>
      <c r="B1177" s="7">
        <v>46240</v>
      </c>
      <c r="C1177" s="8">
        <v>0.30020833333333335</v>
      </c>
      <c r="D1177" t="s">
        <v>17</v>
      </c>
      <c r="E1177" t="s">
        <v>2</v>
      </c>
      <c r="F1177" t="s">
        <v>50</v>
      </c>
      <c r="G1177" t="s">
        <v>100</v>
      </c>
      <c r="H1177">
        <v>15.81</v>
      </c>
      <c r="I1177" t="s">
        <v>52</v>
      </c>
      <c r="J1177" t="s">
        <v>114</v>
      </c>
      <c r="K1177" t="s">
        <v>54</v>
      </c>
      <c r="L1177" t="s">
        <v>102</v>
      </c>
      <c r="O1177" t="s">
        <v>103</v>
      </c>
      <c r="P1177" t="s">
        <v>104</v>
      </c>
      <c r="Q1177">
        <v>19676.580000000002</v>
      </c>
      <c r="R1177">
        <v>-15.81</v>
      </c>
      <c r="S1177" t="s">
        <v>2895</v>
      </c>
      <c r="T1177" t="s">
        <v>2896</v>
      </c>
      <c r="U1177" t="s">
        <v>2897</v>
      </c>
    </row>
    <row r="1178" spans="1:21">
      <c r="A1178" t="s">
        <v>2484</v>
      </c>
      <c r="B1178" s="7">
        <v>46240</v>
      </c>
      <c r="C1178" s="8">
        <v>0.38320601851851854</v>
      </c>
      <c r="D1178" t="s">
        <v>17</v>
      </c>
      <c r="E1178" t="s">
        <v>2</v>
      </c>
      <c r="F1178" t="s">
        <v>50</v>
      </c>
      <c r="G1178" t="s">
        <v>88</v>
      </c>
      <c r="H1178">
        <v>120</v>
      </c>
      <c r="I1178" t="s">
        <v>52</v>
      </c>
      <c r="J1178" t="s">
        <v>89</v>
      </c>
      <c r="K1178" t="s">
        <v>54</v>
      </c>
      <c r="L1178" t="s">
        <v>90</v>
      </c>
      <c r="M1178" t="s">
        <v>91</v>
      </c>
      <c r="N1178" t="s">
        <v>12</v>
      </c>
      <c r="O1178" t="s">
        <v>92</v>
      </c>
      <c r="P1178" t="s">
        <v>93</v>
      </c>
      <c r="Q1178">
        <v>19425.5</v>
      </c>
      <c r="R1178">
        <v>-120</v>
      </c>
      <c r="S1178" t="s">
        <v>2895</v>
      </c>
      <c r="T1178" t="s">
        <v>2896</v>
      </c>
      <c r="U1178" t="s">
        <v>2897</v>
      </c>
    </row>
    <row r="1179" spans="1:21">
      <c r="A1179" t="s">
        <v>2486</v>
      </c>
      <c r="B1179" s="7">
        <v>46240</v>
      </c>
      <c r="C1179" s="8">
        <v>0.43741898148148151</v>
      </c>
      <c r="D1179" t="s">
        <v>17</v>
      </c>
      <c r="E1179" t="s">
        <v>2</v>
      </c>
      <c r="F1179" t="s">
        <v>50</v>
      </c>
      <c r="G1179" t="s">
        <v>51</v>
      </c>
      <c r="H1179">
        <v>105.62</v>
      </c>
      <c r="I1179" t="s">
        <v>52</v>
      </c>
      <c r="J1179" t="s">
        <v>65</v>
      </c>
      <c r="K1179" t="s">
        <v>54</v>
      </c>
      <c r="L1179" t="s">
        <v>55</v>
      </c>
      <c r="O1179" t="s">
        <v>66</v>
      </c>
      <c r="P1179" t="s">
        <v>67</v>
      </c>
      <c r="Q1179">
        <v>19545.5</v>
      </c>
      <c r="R1179">
        <v>-105.62</v>
      </c>
      <c r="S1179" t="s">
        <v>2895</v>
      </c>
      <c r="T1179" t="s">
        <v>2896</v>
      </c>
      <c r="U1179" t="s">
        <v>2897</v>
      </c>
    </row>
    <row r="1180" spans="1:21">
      <c r="A1180" t="s">
        <v>2488</v>
      </c>
      <c r="B1180" s="7">
        <v>46240</v>
      </c>
      <c r="C1180" s="8">
        <v>0.64525462962962965</v>
      </c>
      <c r="D1180" t="s">
        <v>17</v>
      </c>
      <c r="E1180" t="s">
        <v>2</v>
      </c>
      <c r="F1180" t="s">
        <v>50</v>
      </c>
      <c r="G1180" t="s">
        <v>2490</v>
      </c>
      <c r="H1180">
        <v>4500</v>
      </c>
      <c r="I1180" t="s">
        <v>52</v>
      </c>
      <c r="J1180" t="s">
        <v>2491</v>
      </c>
      <c r="K1180" t="s">
        <v>54</v>
      </c>
      <c r="L1180" t="s">
        <v>1970</v>
      </c>
      <c r="M1180" t="s">
        <v>91</v>
      </c>
      <c r="N1180" t="s">
        <v>12</v>
      </c>
      <c r="O1180" t="s">
        <v>2492</v>
      </c>
      <c r="P1180" t="s">
        <v>2493</v>
      </c>
      <c r="Q1180">
        <v>84113.61</v>
      </c>
      <c r="R1180">
        <v>-4500</v>
      </c>
      <c r="S1180" t="s">
        <v>2895</v>
      </c>
      <c r="T1180" t="s">
        <v>2896</v>
      </c>
      <c r="U1180" t="s">
        <v>2897</v>
      </c>
    </row>
    <row r="1181" spans="1:21">
      <c r="A1181" t="s">
        <v>2494</v>
      </c>
      <c r="B1181" s="7">
        <v>46240</v>
      </c>
      <c r="C1181" s="8">
        <v>0.65962962962962968</v>
      </c>
      <c r="D1181" t="s">
        <v>17</v>
      </c>
      <c r="E1181" t="s">
        <v>2</v>
      </c>
      <c r="F1181" t="s">
        <v>50</v>
      </c>
      <c r="G1181" t="s">
        <v>100</v>
      </c>
      <c r="H1181">
        <v>15</v>
      </c>
      <c r="I1181" t="s">
        <v>52</v>
      </c>
      <c r="J1181" t="s">
        <v>101</v>
      </c>
      <c r="K1181" t="s">
        <v>54</v>
      </c>
      <c r="L1181" t="s">
        <v>102</v>
      </c>
      <c r="O1181" t="s">
        <v>103</v>
      </c>
      <c r="P1181" t="s">
        <v>104</v>
      </c>
      <c r="Q1181">
        <v>19661.580000000002</v>
      </c>
      <c r="R1181">
        <v>-15</v>
      </c>
      <c r="S1181" t="s">
        <v>2895</v>
      </c>
      <c r="T1181" t="s">
        <v>2896</v>
      </c>
      <c r="U1181" t="s">
        <v>2897</v>
      </c>
    </row>
    <row r="1182" spans="1:21">
      <c r="A1182" t="s">
        <v>2496</v>
      </c>
      <c r="B1182" s="7">
        <v>46240</v>
      </c>
      <c r="C1182" s="8">
        <v>0.68862268518518521</v>
      </c>
      <c r="D1182" t="s">
        <v>17</v>
      </c>
      <c r="E1182" t="s">
        <v>2</v>
      </c>
      <c r="F1182" t="s">
        <v>149</v>
      </c>
      <c r="G1182" t="s">
        <v>72</v>
      </c>
      <c r="H1182">
        <v>1200</v>
      </c>
      <c r="I1182" t="s">
        <v>52</v>
      </c>
      <c r="J1182" t="s">
        <v>2498</v>
      </c>
      <c r="K1182" t="s">
        <v>54</v>
      </c>
      <c r="L1182" t="s">
        <v>74</v>
      </c>
      <c r="O1182" t="s">
        <v>75</v>
      </c>
      <c r="P1182" t="s">
        <v>2405</v>
      </c>
      <c r="Q1182">
        <v>85163.61</v>
      </c>
      <c r="R1182">
        <v>1200</v>
      </c>
      <c r="S1182" t="s">
        <v>2895</v>
      </c>
      <c r="T1182" t="s">
        <v>2896</v>
      </c>
      <c r="U1182" t="s">
        <v>2897</v>
      </c>
    </row>
    <row r="1183" spans="1:21">
      <c r="A1183" t="s">
        <v>2499</v>
      </c>
      <c r="B1183" s="7">
        <v>46240</v>
      </c>
      <c r="C1183" s="8">
        <v>0.78266203703703707</v>
      </c>
      <c r="D1183" t="s">
        <v>17</v>
      </c>
      <c r="E1183" t="s">
        <v>2</v>
      </c>
      <c r="F1183" t="s">
        <v>50</v>
      </c>
      <c r="G1183" t="s">
        <v>51</v>
      </c>
      <c r="H1183">
        <v>104.33</v>
      </c>
      <c r="I1183" t="s">
        <v>52</v>
      </c>
      <c r="J1183" t="s">
        <v>196</v>
      </c>
      <c r="K1183" t="s">
        <v>54</v>
      </c>
      <c r="L1183" t="s">
        <v>55</v>
      </c>
      <c r="O1183" t="s">
        <v>197</v>
      </c>
      <c r="P1183" t="s">
        <v>198</v>
      </c>
      <c r="Q1183">
        <v>19692.39</v>
      </c>
      <c r="R1183">
        <v>-104.33</v>
      </c>
      <c r="S1183" t="s">
        <v>2895</v>
      </c>
      <c r="T1183" t="s">
        <v>2896</v>
      </c>
      <c r="U1183" t="s">
        <v>2897</v>
      </c>
    </row>
    <row r="1184" spans="1:21">
      <c r="A1184" t="s">
        <v>2501</v>
      </c>
      <c r="B1184" s="7">
        <v>46240</v>
      </c>
      <c r="C1184" s="8">
        <v>0.80461805555555554</v>
      </c>
      <c r="D1184" t="s">
        <v>17</v>
      </c>
      <c r="E1184" t="s">
        <v>2</v>
      </c>
      <c r="F1184" t="s">
        <v>50</v>
      </c>
      <c r="G1184" t="s">
        <v>51</v>
      </c>
      <c r="H1184">
        <v>10.46</v>
      </c>
      <c r="I1184" t="s">
        <v>52</v>
      </c>
      <c r="J1184" t="s">
        <v>53</v>
      </c>
      <c r="K1184" t="s">
        <v>54</v>
      </c>
      <c r="L1184" t="s">
        <v>55</v>
      </c>
      <c r="O1184" t="s">
        <v>56</v>
      </c>
      <c r="P1184" t="s">
        <v>57</v>
      </c>
      <c r="Q1184">
        <v>19651.12</v>
      </c>
      <c r="R1184">
        <v>-10.46</v>
      </c>
      <c r="S1184" t="s">
        <v>2895</v>
      </c>
      <c r="T1184" t="s">
        <v>2896</v>
      </c>
      <c r="U1184" t="s">
        <v>2897</v>
      </c>
    </row>
    <row r="1185" spans="1:21">
      <c r="A1185" t="s">
        <v>2503</v>
      </c>
      <c r="B1185" s="7">
        <v>46240</v>
      </c>
      <c r="C1185" s="8">
        <v>0.88188657407407411</v>
      </c>
      <c r="D1185" t="s">
        <v>17</v>
      </c>
      <c r="E1185" t="s">
        <v>2</v>
      </c>
      <c r="F1185" t="s">
        <v>149</v>
      </c>
      <c r="G1185" t="s">
        <v>72</v>
      </c>
      <c r="H1185">
        <v>500</v>
      </c>
      <c r="I1185" t="s">
        <v>52</v>
      </c>
      <c r="J1185" t="s">
        <v>2505</v>
      </c>
      <c r="K1185" t="s">
        <v>54</v>
      </c>
      <c r="L1185" t="s">
        <v>74</v>
      </c>
      <c r="O1185" t="s">
        <v>75</v>
      </c>
      <c r="P1185" t="s">
        <v>2405</v>
      </c>
      <c r="Q1185">
        <v>79913.61</v>
      </c>
      <c r="R1185">
        <v>500</v>
      </c>
      <c r="S1185" t="s">
        <v>2895</v>
      </c>
      <c r="T1185" t="s">
        <v>2896</v>
      </c>
      <c r="U1185" t="s">
        <v>2897</v>
      </c>
    </row>
    <row r="1186" spans="1:21">
      <c r="A1186" t="s">
        <v>2506</v>
      </c>
      <c r="B1186" s="7">
        <v>46241</v>
      </c>
      <c r="C1186" s="8">
        <v>0.42424768518518519</v>
      </c>
      <c r="D1186" t="s">
        <v>17</v>
      </c>
      <c r="E1186" t="s">
        <v>2</v>
      </c>
      <c r="F1186" t="s">
        <v>50</v>
      </c>
      <c r="G1186" t="s">
        <v>72</v>
      </c>
      <c r="H1186">
        <v>73.63</v>
      </c>
      <c r="I1186" t="s">
        <v>52</v>
      </c>
      <c r="J1186" t="s">
        <v>316</v>
      </c>
      <c r="K1186" t="s">
        <v>54</v>
      </c>
      <c r="L1186" t="s">
        <v>74</v>
      </c>
      <c r="O1186" t="s">
        <v>75</v>
      </c>
      <c r="P1186" t="s">
        <v>76</v>
      </c>
      <c r="Q1186">
        <v>19197.580000000002</v>
      </c>
      <c r="R1186">
        <v>-73.63</v>
      </c>
      <c r="S1186" t="s">
        <v>2895</v>
      </c>
      <c r="T1186" t="s">
        <v>2896</v>
      </c>
      <c r="U1186" t="s">
        <v>2897</v>
      </c>
    </row>
    <row r="1187" spans="1:21">
      <c r="A1187" t="s">
        <v>2508</v>
      </c>
      <c r="B1187" s="7">
        <v>46241</v>
      </c>
      <c r="C1187" s="8">
        <v>0.47540509259259262</v>
      </c>
      <c r="D1187" t="s">
        <v>17</v>
      </c>
      <c r="E1187" t="s">
        <v>2</v>
      </c>
      <c r="F1187" t="s">
        <v>50</v>
      </c>
      <c r="G1187" t="s">
        <v>100</v>
      </c>
      <c r="H1187">
        <v>19.18</v>
      </c>
      <c r="I1187" t="s">
        <v>52</v>
      </c>
      <c r="J1187" t="s">
        <v>114</v>
      </c>
      <c r="K1187" t="s">
        <v>54</v>
      </c>
      <c r="L1187" t="s">
        <v>102</v>
      </c>
      <c r="O1187" t="s">
        <v>103</v>
      </c>
      <c r="P1187" t="s">
        <v>104</v>
      </c>
      <c r="Q1187">
        <v>19271.21</v>
      </c>
      <c r="R1187">
        <v>-19.18</v>
      </c>
      <c r="S1187" t="s">
        <v>2895</v>
      </c>
      <c r="T1187" t="s">
        <v>2896</v>
      </c>
      <c r="U1187" t="s">
        <v>2897</v>
      </c>
    </row>
    <row r="1188" spans="1:21">
      <c r="A1188" t="s">
        <v>2510</v>
      </c>
      <c r="B1188" s="7">
        <v>46241</v>
      </c>
      <c r="C1188" s="8">
        <v>0.49011574074074077</v>
      </c>
      <c r="D1188" t="s">
        <v>17</v>
      </c>
      <c r="E1188" t="s">
        <v>2</v>
      </c>
      <c r="F1188" t="s">
        <v>50</v>
      </c>
      <c r="G1188" t="s">
        <v>51</v>
      </c>
      <c r="H1188">
        <v>34.5</v>
      </c>
      <c r="I1188" t="s">
        <v>52</v>
      </c>
      <c r="J1188" t="s">
        <v>60</v>
      </c>
      <c r="K1188" t="s">
        <v>54</v>
      </c>
      <c r="L1188" t="s">
        <v>55</v>
      </c>
      <c r="O1188" t="s">
        <v>61</v>
      </c>
      <c r="P1188" t="s">
        <v>62</v>
      </c>
      <c r="Q1188">
        <v>19365.14</v>
      </c>
      <c r="R1188">
        <v>-34.5</v>
      </c>
      <c r="S1188" t="s">
        <v>2895</v>
      </c>
      <c r="T1188" t="s">
        <v>2896</v>
      </c>
      <c r="U1188" t="s">
        <v>2897</v>
      </c>
    </row>
    <row r="1189" spans="1:21">
      <c r="A1189" t="s">
        <v>2512</v>
      </c>
      <c r="B1189" s="7">
        <v>46241</v>
      </c>
      <c r="C1189" s="8">
        <v>0.53922453703703699</v>
      </c>
      <c r="D1189" t="s">
        <v>17</v>
      </c>
      <c r="E1189" t="s">
        <v>2</v>
      </c>
      <c r="F1189" t="s">
        <v>50</v>
      </c>
      <c r="G1189" t="s">
        <v>100</v>
      </c>
      <c r="H1189">
        <v>15</v>
      </c>
      <c r="I1189" t="s">
        <v>52</v>
      </c>
      <c r="J1189" t="s">
        <v>101</v>
      </c>
      <c r="K1189" t="s">
        <v>54</v>
      </c>
      <c r="L1189" t="s">
        <v>102</v>
      </c>
      <c r="O1189" t="s">
        <v>103</v>
      </c>
      <c r="P1189" t="s">
        <v>104</v>
      </c>
      <c r="Q1189">
        <v>19399.64</v>
      </c>
      <c r="R1189">
        <v>-15</v>
      </c>
      <c r="S1189" t="s">
        <v>2895</v>
      </c>
      <c r="T1189" t="s">
        <v>2896</v>
      </c>
      <c r="U1189" t="s">
        <v>2897</v>
      </c>
    </row>
    <row r="1190" spans="1:21">
      <c r="A1190" t="s">
        <v>2514</v>
      </c>
      <c r="B1190" s="7">
        <v>46241</v>
      </c>
      <c r="C1190" s="8">
        <v>0.78252314814814816</v>
      </c>
      <c r="D1190" t="s">
        <v>17</v>
      </c>
      <c r="E1190" t="s">
        <v>2</v>
      </c>
      <c r="F1190" t="s">
        <v>50</v>
      </c>
      <c r="G1190" t="s">
        <v>51</v>
      </c>
      <c r="H1190">
        <v>48.19</v>
      </c>
      <c r="I1190" t="s">
        <v>52</v>
      </c>
      <c r="J1190" t="s">
        <v>60</v>
      </c>
      <c r="K1190" t="s">
        <v>54</v>
      </c>
      <c r="L1190" t="s">
        <v>55</v>
      </c>
      <c r="O1190" t="s">
        <v>61</v>
      </c>
      <c r="P1190" t="s">
        <v>62</v>
      </c>
      <c r="Q1190">
        <v>19290.39</v>
      </c>
      <c r="R1190">
        <v>-48.19</v>
      </c>
      <c r="S1190" t="s">
        <v>2895</v>
      </c>
      <c r="T1190" t="s">
        <v>2896</v>
      </c>
      <c r="U1190" t="s">
        <v>2897</v>
      </c>
    </row>
    <row r="1191" spans="1:21">
      <c r="A1191" t="s">
        <v>2516</v>
      </c>
      <c r="B1191" s="7">
        <v>46241</v>
      </c>
      <c r="C1191" s="8">
        <v>0.83415509259259257</v>
      </c>
      <c r="D1191" t="s">
        <v>17</v>
      </c>
      <c r="E1191" t="s">
        <v>2</v>
      </c>
      <c r="F1191" t="s">
        <v>50</v>
      </c>
      <c r="G1191" t="s">
        <v>51</v>
      </c>
      <c r="H1191">
        <v>10.86</v>
      </c>
      <c r="I1191" t="s">
        <v>52</v>
      </c>
      <c r="J1191" t="s">
        <v>121</v>
      </c>
      <c r="K1191" t="s">
        <v>54</v>
      </c>
      <c r="L1191" t="s">
        <v>55</v>
      </c>
      <c r="O1191" t="s">
        <v>122</v>
      </c>
      <c r="P1191" t="s">
        <v>123</v>
      </c>
      <c r="Q1191">
        <v>19414.64</v>
      </c>
      <c r="R1191">
        <v>-10.86</v>
      </c>
      <c r="S1191" t="s">
        <v>2895</v>
      </c>
      <c r="T1191" t="s">
        <v>2896</v>
      </c>
      <c r="U1191" t="s">
        <v>2897</v>
      </c>
    </row>
    <row r="1192" spans="1:21">
      <c r="A1192" t="s">
        <v>2518</v>
      </c>
      <c r="B1192" s="7">
        <v>46241</v>
      </c>
      <c r="C1192" s="8">
        <v>0.85523148148148154</v>
      </c>
      <c r="D1192" t="s">
        <v>17</v>
      </c>
      <c r="E1192" t="s">
        <v>2</v>
      </c>
      <c r="F1192" t="s">
        <v>149</v>
      </c>
      <c r="G1192" t="s">
        <v>72</v>
      </c>
      <c r="H1192">
        <v>600</v>
      </c>
      <c r="I1192" t="s">
        <v>52</v>
      </c>
      <c r="J1192" t="s">
        <v>2520</v>
      </c>
      <c r="K1192" t="s">
        <v>54</v>
      </c>
      <c r="L1192" t="s">
        <v>74</v>
      </c>
      <c r="O1192" t="s">
        <v>75</v>
      </c>
      <c r="P1192" t="s">
        <v>2405</v>
      </c>
      <c r="Q1192">
        <v>75263.61</v>
      </c>
      <c r="R1192">
        <v>600</v>
      </c>
      <c r="S1192" t="s">
        <v>2895</v>
      </c>
      <c r="T1192" t="s">
        <v>2896</v>
      </c>
      <c r="U1192" t="s">
        <v>2897</v>
      </c>
    </row>
    <row r="1193" spans="1:21">
      <c r="A1193" t="s">
        <v>2521</v>
      </c>
      <c r="B1193" s="7">
        <v>46241</v>
      </c>
      <c r="C1193" s="8">
        <v>0.86137731481481483</v>
      </c>
      <c r="D1193" t="s">
        <v>17</v>
      </c>
      <c r="E1193" t="s">
        <v>2</v>
      </c>
      <c r="F1193" t="s">
        <v>50</v>
      </c>
      <c r="G1193" t="s">
        <v>51</v>
      </c>
      <c r="H1193">
        <v>26.56</v>
      </c>
      <c r="I1193" t="s">
        <v>52</v>
      </c>
      <c r="J1193" t="s">
        <v>60</v>
      </c>
      <c r="K1193" t="s">
        <v>54</v>
      </c>
      <c r="L1193" t="s">
        <v>55</v>
      </c>
      <c r="O1193" t="s">
        <v>61</v>
      </c>
      <c r="P1193" t="s">
        <v>62</v>
      </c>
      <c r="Q1193">
        <v>19338.580000000002</v>
      </c>
      <c r="R1193">
        <v>-26.56</v>
      </c>
      <c r="S1193" t="s">
        <v>2895</v>
      </c>
      <c r="T1193" t="s">
        <v>2896</v>
      </c>
      <c r="U1193" t="s">
        <v>2897</v>
      </c>
    </row>
    <row r="1194" spans="1:21">
      <c r="A1194" t="s">
        <v>2523</v>
      </c>
      <c r="B1194" s="7">
        <v>46241</v>
      </c>
      <c r="C1194" s="8">
        <v>0.94445601851851857</v>
      </c>
      <c r="D1194" t="s">
        <v>17</v>
      </c>
      <c r="E1194" t="s">
        <v>2</v>
      </c>
      <c r="F1194" t="s">
        <v>149</v>
      </c>
      <c r="G1194" t="s">
        <v>72</v>
      </c>
      <c r="H1194">
        <v>500</v>
      </c>
      <c r="I1194" t="s">
        <v>52</v>
      </c>
      <c r="J1194" t="s">
        <v>2525</v>
      </c>
      <c r="K1194" t="s">
        <v>54</v>
      </c>
      <c r="L1194" t="s">
        <v>74</v>
      </c>
      <c r="O1194" t="s">
        <v>75</v>
      </c>
      <c r="P1194" t="s">
        <v>2405</v>
      </c>
      <c r="Q1194">
        <v>80413.61</v>
      </c>
      <c r="R1194">
        <v>500</v>
      </c>
      <c r="S1194" t="s">
        <v>2895</v>
      </c>
      <c r="T1194" t="s">
        <v>2896</v>
      </c>
      <c r="U1194" t="s">
        <v>2897</v>
      </c>
    </row>
    <row r="1195" spans="1:21">
      <c r="A1195" t="s">
        <v>2526</v>
      </c>
      <c r="B1195" s="7">
        <v>46241</v>
      </c>
      <c r="C1195" s="8">
        <v>0.95387731481481486</v>
      </c>
      <c r="D1195" t="s">
        <v>17</v>
      </c>
      <c r="E1195" t="s">
        <v>2</v>
      </c>
      <c r="F1195" t="s">
        <v>149</v>
      </c>
      <c r="G1195" t="s">
        <v>72</v>
      </c>
      <c r="H1195">
        <v>1000</v>
      </c>
      <c r="I1195" t="s">
        <v>52</v>
      </c>
      <c r="J1195" t="s">
        <v>2528</v>
      </c>
      <c r="K1195" t="s">
        <v>54</v>
      </c>
      <c r="L1195" t="s">
        <v>74</v>
      </c>
      <c r="O1195" t="s">
        <v>75</v>
      </c>
      <c r="P1195" t="s">
        <v>2405</v>
      </c>
      <c r="Q1195">
        <v>86163.61</v>
      </c>
      <c r="R1195">
        <v>1000</v>
      </c>
      <c r="S1195" t="s">
        <v>2895</v>
      </c>
      <c r="T1195" t="s">
        <v>2896</v>
      </c>
      <c r="U1195" t="s">
        <v>2897</v>
      </c>
    </row>
    <row r="1196" spans="1:21">
      <c r="A1196" t="s">
        <v>2529</v>
      </c>
      <c r="B1196" s="7">
        <v>46242</v>
      </c>
      <c r="C1196" s="8">
        <v>0.39635416666666667</v>
      </c>
      <c r="D1196" t="s">
        <v>17</v>
      </c>
      <c r="E1196" t="s">
        <v>2</v>
      </c>
      <c r="F1196" t="s">
        <v>149</v>
      </c>
      <c r="G1196" t="s">
        <v>72</v>
      </c>
      <c r="H1196">
        <v>900</v>
      </c>
      <c r="I1196" t="s">
        <v>52</v>
      </c>
      <c r="J1196" t="s">
        <v>2531</v>
      </c>
      <c r="K1196" t="s">
        <v>54</v>
      </c>
      <c r="L1196" t="s">
        <v>74</v>
      </c>
      <c r="O1196" t="s">
        <v>75</v>
      </c>
      <c r="P1196" t="s">
        <v>2405</v>
      </c>
      <c r="Q1196">
        <v>76163.61</v>
      </c>
      <c r="R1196">
        <v>900</v>
      </c>
      <c r="S1196" t="s">
        <v>2895</v>
      </c>
      <c r="T1196" t="s">
        <v>2896</v>
      </c>
      <c r="U1196" t="s">
        <v>2897</v>
      </c>
    </row>
    <row r="1197" spans="1:21">
      <c r="A1197" t="s">
        <v>2532</v>
      </c>
      <c r="B1197" s="7">
        <v>46242</v>
      </c>
      <c r="C1197" s="8">
        <v>0.42499999999999999</v>
      </c>
      <c r="D1197" t="s">
        <v>17</v>
      </c>
      <c r="E1197" t="s">
        <v>2</v>
      </c>
      <c r="F1197" t="s">
        <v>50</v>
      </c>
      <c r="G1197" t="s">
        <v>51</v>
      </c>
      <c r="H1197">
        <v>12.7</v>
      </c>
      <c r="I1197" t="s">
        <v>52</v>
      </c>
      <c r="J1197" t="s">
        <v>126</v>
      </c>
      <c r="K1197" t="s">
        <v>54</v>
      </c>
      <c r="L1197" t="s">
        <v>55</v>
      </c>
      <c r="O1197" t="s">
        <v>56</v>
      </c>
      <c r="P1197" t="s">
        <v>57</v>
      </c>
      <c r="Q1197">
        <v>19176.03</v>
      </c>
      <c r="R1197">
        <v>-12.7</v>
      </c>
      <c r="S1197" t="s">
        <v>2895</v>
      </c>
      <c r="T1197" t="s">
        <v>2896</v>
      </c>
      <c r="U1197" t="s">
        <v>2897</v>
      </c>
    </row>
    <row r="1198" spans="1:21">
      <c r="A1198" t="s">
        <v>2534</v>
      </c>
      <c r="B1198" s="7">
        <v>46242</v>
      </c>
      <c r="C1198" s="8">
        <v>0.82192129629629629</v>
      </c>
      <c r="D1198" t="s">
        <v>17</v>
      </c>
      <c r="E1198" t="s">
        <v>2</v>
      </c>
      <c r="F1198" t="s">
        <v>149</v>
      </c>
      <c r="G1198" t="s">
        <v>72</v>
      </c>
      <c r="H1198">
        <v>600</v>
      </c>
      <c r="I1198" t="s">
        <v>52</v>
      </c>
      <c r="J1198" t="s">
        <v>2536</v>
      </c>
      <c r="K1198" t="s">
        <v>54</v>
      </c>
      <c r="L1198" t="s">
        <v>74</v>
      </c>
      <c r="O1198" t="s">
        <v>75</v>
      </c>
      <c r="P1198" t="s">
        <v>2405</v>
      </c>
      <c r="Q1198">
        <v>81013.61</v>
      </c>
      <c r="R1198">
        <v>600</v>
      </c>
      <c r="S1198" t="s">
        <v>2895</v>
      </c>
      <c r="T1198" t="s">
        <v>2896</v>
      </c>
      <c r="U1198" t="s">
        <v>2897</v>
      </c>
    </row>
    <row r="1199" spans="1:21">
      <c r="A1199" t="s">
        <v>2537</v>
      </c>
      <c r="B1199" s="7">
        <v>46242</v>
      </c>
      <c r="C1199" s="8">
        <v>0.83724537037037039</v>
      </c>
      <c r="D1199" t="s">
        <v>17</v>
      </c>
      <c r="E1199" t="s">
        <v>2</v>
      </c>
      <c r="F1199" t="s">
        <v>50</v>
      </c>
      <c r="G1199" t="s">
        <v>100</v>
      </c>
      <c r="H1199">
        <v>15</v>
      </c>
      <c r="I1199" t="s">
        <v>52</v>
      </c>
      <c r="J1199" t="s">
        <v>101</v>
      </c>
      <c r="K1199" t="s">
        <v>54</v>
      </c>
      <c r="L1199" t="s">
        <v>102</v>
      </c>
      <c r="O1199" t="s">
        <v>103</v>
      </c>
      <c r="P1199" t="s">
        <v>104</v>
      </c>
      <c r="Q1199">
        <v>19134.75</v>
      </c>
      <c r="R1199">
        <v>-15</v>
      </c>
      <c r="S1199" t="s">
        <v>2895</v>
      </c>
      <c r="T1199" t="s">
        <v>2896</v>
      </c>
      <c r="U1199" t="s">
        <v>2897</v>
      </c>
    </row>
    <row r="1200" spans="1:21">
      <c r="A1200" t="s">
        <v>2539</v>
      </c>
      <c r="B1200" s="7">
        <v>46242</v>
      </c>
      <c r="C1200" s="8">
        <v>0.84629629629629632</v>
      </c>
      <c r="D1200" t="s">
        <v>17</v>
      </c>
      <c r="E1200" t="s">
        <v>2</v>
      </c>
      <c r="F1200" t="s">
        <v>50</v>
      </c>
      <c r="G1200" t="s">
        <v>51</v>
      </c>
      <c r="H1200">
        <v>8.85</v>
      </c>
      <c r="I1200" t="s">
        <v>52</v>
      </c>
      <c r="J1200" t="s">
        <v>121</v>
      </c>
      <c r="K1200" t="s">
        <v>54</v>
      </c>
      <c r="L1200" t="s">
        <v>55</v>
      </c>
      <c r="O1200" t="s">
        <v>122</v>
      </c>
      <c r="P1200" t="s">
        <v>123</v>
      </c>
      <c r="Q1200">
        <v>19188.73</v>
      </c>
      <c r="R1200">
        <v>-8.85</v>
      </c>
      <c r="S1200" t="s">
        <v>2895</v>
      </c>
      <c r="T1200" t="s">
        <v>2896</v>
      </c>
      <c r="U1200" t="s">
        <v>2897</v>
      </c>
    </row>
    <row r="1201" spans="1:21">
      <c r="A1201" t="s">
        <v>2541</v>
      </c>
      <c r="B1201" s="7">
        <v>46242</v>
      </c>
      <c r="C1201" s="8">
        <v>0.8469444444444445</v>
      </c>
      <c r="D1201" t="s">
        <v>17</v>
      </c>
      <c r="E1201" t="s">
        <v>2</v>
      </c>
      <c r="F1201" t="s">
        <v>149</v>
      </c>
      <c r="G1201" t="s">
        <v>72</v>
      </c>
      <c r="H1201">
        <v>750</v>
      </c>
      <c r="I1201" t="s">
        <v>52</v>
      </c>
      <c r="J1201" t="s">
        <v>2543</v>
      </c>
      <c r="K1201" t="s">
        <v>54</v>
      </c>
      <c r="L1201" t="s">
        <v>74</v>
      </c>
      <c r="O1201" t="s">
        <v>75</v>
      </c>
      <c r="P1201" t="s">
        <v>2405</v>
      </c>
      <c r="Q1201">
        <v>86913.61</v>
      </c>
      <c r="R1201">
        <v>750</v>
      </c>
      <c r="S1201" t="s">
        <v>2895</v>
      </c>
      <c r="T1201" t="s">
        <v>2896</v>
      </c>
      <c r="U1201" t="s">
        <v>2897</v>
      </c>
    </row>
    <row r="1202" spans="1:21">
      <c r="A1202" t="s">
        <v>2544</v>
      </c>
      <c r="B1202" s="7">
        <v>46242</v>
      </c>
      <c r="C1202" s="8">
        <v>0.88556712962962958</v>
      </c>
      <c r="D1202" t="s">
        <v>17</v>
      </c>
      <c r="E1202" t="s">
        <v>2</v>
      </c>
      <c r="F1202" t="s">
        <v>50</v>
      </c>
      <c r="G1202" t="s">
        <v>100</v>
      </c>
      <c r="H1202">
        <v>22.11</v>
      </c>
      <c r="I1202" t="s">
        <v>52</v>
      </c>
      <c r="J1202" t="s">
        <v>114</v>
      </c>
      <c r="K1202" t="s">
        <v>54</v>
      </c>
      <c r="L1202" t="s">
        <v>102</v>
      </c>
      <c r="O1202" t="s">
        <v>103</v>
      </c>
      <c r="P1202" t="s">
        <v>104</v>
      </c>
      <c r="Q1202">
        <v>19149.75</v>
      </c>
      <c r="R1202">
        <v>-22.11</v>
      </c>
      <c r="S1202" t="s">
        <v>2895</v>
      </c>
      <c r="T1202" t="s">
        <v>2896</v>
      </c>
      <c r="U1202" t="s">
        <v>2897</v>
      </c>
    </row>
    <row r="1203" spans="1:21">
      <c r="A1203" t="s">
        <v>2546</v>
      </c>
      <c r="B1203" s="7">
        <v>46242</v>
      </c>
      <c r="C1203" s="8">
        <v>0.91285879629629629</v>
      </c>
      <c r="D1203" t="s">
        <v>17</v>
      </c>
      <c r="E1203" t="s">
        <v>2</v>
      </c>
      <c r="F1203" t="s">
        <v>50</v>
      </c>
      <c r="G1203" t="s">
        <v>51</v>
      </c>
      <c r="H1203">
        <v>4.17</v>
      </c>
      <c r="I1203" t="s">
        <v>52</v>
      </c>
      <c r="J1203" t="s">
        <v>53</v>
      </c>
      <c r="K1203" t="s">
        <v>54</v>
      </c>
      <c r="L1203" t="s">
        <v>55</v>
      </c>
      <c r="O1203" t="s">
        <v>56</v>
      </c>
      <c r="P1203" t="s">
        <v>57</v>
      </c>
      <c r="Q1203">
        <v>19171.86</v>
      </c>
      <c r="R1203">
        <v>-4.17</v>
      </c>
      <c r="S1203" t="s">
        <v>2895</v>
      </c>
      <c r="T1203" t="s">
        <v>2896</v>
      </c>
      <c r="U1203" t="s">
        <v>2897</v>
      </c>
    </row>
    <row r="1204" spans="1:21">
      <c r="A1204" t="s">
        <v>2547</v>
      </c>
      <c r="B1204" s="7">
        <v>46243</v>
      </c>
      <c r="C1204" s="8">
        <v>0.36758101851851854</v>
      </c>
      <c r="D1204" t="s">
        <v>17</v>
      </c>
      <c r="E1204" t="s">
        <v>2</v>
      </c>
      <c r="F1204" t="s">
        <v>50</v>
      </c>
      <c r="G1204" t="s">
        <v>51</v>
      </c>
      <c r="H1204">
        <v>56.44</v>
      </c>
      <c r="I1204" t="s">
        <v>52</v>
      </c>
      <c r="J1204" t="s">
        <v>81</v>
      </c>
      <c r="K1204" t="s">
        <v>54</v>
      </c>
      <c r="L1204" t="s">
        <v>55</v>
      </c>
      <c r="O1204" t="s">
        <v>82</v>
      </c>
      <c r="P1204" t="s">
        <v>83</v>
      </c>
      <c r="Q1204">
        <v>18906.09</v>
      </c>
      <c r="R1204">
        <v>-56.44</v>
      </c>
      <c r="S1204" t="s">
        <v>2895</v>
      </c>
      <c r="T1204" t="s">
        <v>2896</v>
      </c>
      <c r="U1204" t="s">
        <v>2897</v>
      </c>
    </row>
    <row r="1205" spans="1:21">
      <c r="A1205" t="s">
        <v>2549</v>
      </c>
      <c r="B1205" s="7">
        <v>46243</v>
      </c>
      <c r="C1205" s="8">
        <v>0.47901620370370368</v>
      </c>
      <c r="D1205" t="s">
        <v>17</v>
      </c>
      <c r="E1205" t="s">
        <v>2</v>
      </c>
      <c r="F1205" t="s">
        <v>50</v>
      </c>
      <c r="G1205" t="s">
        <v>51</v>
      </c>
      <c r="H1205">
        <v>12.56</v>
      </c>
      <c r="I1205" t="s">
        <v>52</v>
      </c>
      <c r="J1205" t="s">
        <v>53</v>
      </c>
      <c r="K1205" t="s">
        <v>54</v>
      </c>
      <c r="L1205" t="s">
        <v>55</v>
      </c>
      <c r="O1205" t="s">
        <v>56</v>
      </c>
      <c r="P1205" t="s">
        <v>57</v>
      </c>
      <c r="Q1205">
        <v>18962.53</v>
      </c>
      <c r="R1205">
        <v>-12.56</v>
      </c>
      <c r="S1205" t="s">
        <v>2895</v>
      </c>
      <c r="T1205" t="s">
        <v>2896</v>
      </c>
      <c r="U1205" t="s">
        <v>2897</v>
      </c>
    </row>
    <row r="1206" spans="1:21">
      <c r="A1206" t="s">
        <v>2551</v>
      </c>
      <c r="B1206" s="7">
        <v>46243</v>
      </c>
      <c r="C1206" s="8">
        <v>0.48997685185185186</v>
      </c>
      <c r="D1206" t="s">
        <v>17</v>
      </c>
      <c r="E1206" t="s">
        <v>2</v>
      </c>
      <c r="F1206" t="s">
        <v>50</v>
      </c>
      <c r="G1206" t="s">
        <v>2490</v>
      </c>
      <c r="H1206">
        <v>5200</v>
      </c>
      <c r="I1206" t="s">
        <v>52</v>
      </c>
      <c r="J1206" t="s">
        <v>2491</v>
      </c>
      <c r="K1206" t="s">
        <v>54</v>
      </c>
      <c r="L1206" t="s">
        <v>1970</v>
      </c>
      <c r="M1206" t="s">
        <v>91</v>
      </c>
      <c r="N1206" t="s">
        <v>12</v>
      </c>
      <c r="O1206" t="s">
        <v>2492</v>
      </c>
      <c r="P1206" t="s">
        <v>2493</v>
      </c>
      <c r="Q1206">
        <v>78913.61</v>
      </c>
      <c r="R1206">
        <v>-5200</v>
      </c>
      <c r="S1206" t="s">
        <v>2895</v>
      </c>
      <c r="T1206" t="s">
        <v>2896</v>
      </c>
      <c r="U1206" t="s">
        <v>2897</v>
      </c>
    </row>
    <row r="1207" spans="1:21">
      <c r="A1207" t="s">
        <v>2553</v>
      </c>
      <c r="B1207" s="7">
        <v>46243</v>
      </c>
      <c r="C1207" s="8">
        <v>0.5022106481481482</v>
      </c>
      <c r="D1207" t="s">
        <v>17</v>
      </c>
      <c r="E1207" t="s">
        <v>2</v>
      </c>
      <c r="F1207" t="s">
        <v>50</v>
      </c>
      <c r="G1207" t="s">
        <v>100</v>
      </c>
      <c r="H1207">
        <v>22.3</v>
      </c>
      <c r="I1207" t="s">
        <v>52</v>
      </c>
      <c r="J1207" t="s">
        <v>114</v>
      </c>
      <c r="K1207" t="s">
        <v>54</v>
      </c>
      <c r="L1207" t="s">
        <v>102</v>
      </c>
      <c r="O1207" t="s">
        <v>103</v>
      </c>
      <c r="P1207" t="s">
        <v>104</v>
      </c>
      <c r="Q1207">
        <v>19112.45</v>
      </c>
      <c r="R1207">
        <v>-22.3</v>
      </c>
      <c r="S1207" t="s">
        <v>2895</v>
      </c>
      <c r="T1207" t="s">
        <v>2896</v>
      </c>
      <c r="U1207" t="s">
        <v>2897</v>
      </c>
    </row>
    <row r="1208" spans="1:21">
      <c r="A1208" t="s">
        <v>2555</v>
      </c>
      <c r="B1208" s="7">
        <v>46243</v>
      </c>
      <c r="C1208" s="8">
        <v>0.63252314814814814</v>
      </c>
      <c r="D1208" t="s">
        <v>17</v>
      </c>
      <c r="E1208" t="s">
        <v>2</v>
      </c>
      <c r="F1208" t="s">
        <v>149</v>
      </c>
      <c r="G1208" t="s">
        <v>72</v>
      </c>
      <c r="H1208">
        <v>500</v>
      </c>
      <c r="I1208" t="s">
        <v>52</v>
      </c>
      <c r="J1208" t="s">
        <v>2557</v>
      </c>
      <c r="K1208" t="s">
        <v>54</v>
      </c>
      <c r="L1208" t="s">
        <v>74</v>
      </c>
      <c r="O1208" t="s">
        <v>75</v>
      </c>
      <c r="P1208" t="s">
        <v>2405</v>
      </c>
      <c r="Q1208">
        <v>87413.61</v>
      </c>
      <c r="R1208">
        <v>500</v>
      </c>
      <c r="S1208" t="s">
        <v>2895</v>
      </c>
      <c r="T1208" t="s">
        <v>2896</v>
      </c>
      <c r="U1208" t="s">
        <v>2897</v>
      </c>
    </row>
    <row r="1209" spans="1:21">
      <c r="A1209" t="s">
        <v>2558</v>
      </c>
      <c r="B1209" s="7">
        <v>46243</v>
      </c>
      <c r="C1209" s="8">
        <v>0.64025462962962965</v>
      </c>
      <c r="D1209" t="s">
        <v>17</v>
      </c>
      <c r="E1209" t="s">
        <v>2</v>
      </c>
      <c r="F1209" t="s">
        <v>50</v>
      </c>
      <c r="G1209" t="s">
        <v>51</v>
      </c>
      <c r="H1209">
        <v>102.71</v>
      </c>
      <c r="I1209" t="s">
        <v>52</v>
      </c>
      <c r="J1209" t="s">
        <v>65</v>
      </c>
      <c r="K1209" t="s">
        <v>54</v>
      </c>
      <c r="L1209" t="s">
        <v>55</v>
      </c>
      <c r="O1209" t="s">
        <v>66</v>
      </c>
      <c r="P1209" t="s">
        <v>67</v>
      </c>
      <c r="Q1209">
        <v>18999.54</v>
      </c>
      <c r="R1209">
        <v>-102.71</v>
      </c>
      <c r="S1209" t="s">
        <v>2895</v>
      </c>
      <c r="T1209" t="s">
        <v>2896</v>
      </c>
      <c r="U1209" t="s">
        <v>2897</v>
      </c>
    </row>
    <row r="1210" spans="1:21">
      <c r="A1210" t="s">
        <v>2560</v>
      </c>
      <c r="B1210" s="7">
        <v>46243</v>
      </c>
      <c r="C1210" s="8">
        <v>0.64489583333333333</v>
      </c>
      <c r="D1210" t="s">
        <v>17</v>
      </c>
      <c r="E1210" t="s">
        <v>2</v>
      </c>
      <c r="F1210" t="s">
        <v>149</v>
      </c>
      <c r="G1210" t="s">
        <v>72</v>
      </c>
      <c r="H1210">
        <v>900</v>
      </c>
      <c r="I1210" t="s">
        <v>52</v>
      </c>
      <c r="J1210" t="s">
        <v>2562</v>
      </c>
      <c r="K1210" t="s">
        <v>54</v>
      </c>
      <c r="L1210" t="s">
        <v>74</v>
      </c>
      <c r="O1210" t="s">
        <v>75</v>
      </c>
      <c r="P1210" t="s">
        <v>2405</v>
      </c>
      <c r="Q1210">
        <v>77063.61</v>
      </c>
      <c r="R1210">
        <v>900</v>
      </c>
      <c r="S1210" t="s">
        <v>2895</v>
      </c>
      <c r="T1210" t="s">
        <v>2896</v>
      </c>
      <c r="U1210" t="s">
        <v>2897</v>
      </c>
    </row>
    <row r="1211" spans="1:21">
      <c r="A1211" t="s">
        <v>2563</v>
      </c>
      <c r="B1211" s="7">
        <v>46243</v>
      </c>
      <c r="C1211" s="8">
        <v>0.70982638888888894</v>
      </c>
      <c r="D1211" t="s">
        <v>17</v>
      </c>
      <c r="E1211" t="s">
        <v>2</v>
      </c>
      <c r="F1211" t="s">
        <v>50</v>
      </c>
      <c r="G1211" t="s">
        <v>51</v>
      </c>
      <c r="H1211">
        <v>10.199999999999999</v>
      </c>
      <c r="I1211" t="s">
        <v>52</v>
      </c>
      <c r="J1211" t="s">
        <v>126</v>
      </c>
      <c r="K1211" t="s">
        <v>54</v>
      </c>
      <c r="L1211" t="s">
        <v>55</v>
      </c>
      <c r="O1211" t="s">
        <v>56</v>
      </c>
      <c r="P1211" t="s">
        <v>57</v>
      </c>
      <c r="Q1211">
        <v>19102.25</v>
      </c>
      <c r="R1211">
        <v>-10.199999999999999</v>
      </c>
      <c r="S1211" t="s">
        <v>2895</v>
      </c>
      <c r="T1211" t="s">
        <v>2896</v>
      </c>
      <c r="U1211" t="s">
        <v>2897</v>
      </c>
    </row>
    <row r="1212" spans="1:21">
      <c r="A1212" t="s">
        <v>2565</v>
      </c>
      <c r="B1212" s="7">
        <v>46243</v>
      </c>
      <c r="C1212" s="8">
        <v>0.78615740740740736</v>
      </c>
      <c r="D1212" t="s">
        <v>17</v>
      </c>
      <c r="E1212" t="s">
        <v>2</v>
      </c>
      <c r="F1212" t="s">
        <v>50</v>
      </c>
      <c r="G1212" t="s">
        <v>51</v>
      </c>
      <c r="H1212">
        <v>27.17</v>
      </c>
      <c r="I1212" t="s">
        <v>52</v>
      </c>
      <c r="J1212" t="s">
        <v>81</v>
      </c>
      <c r="K1212" t="s">
        <v>54</v>
      </c>
      <c r="L1212" t="s">
        <v>55</v>
      </c>
      <c r="O1212" t="s">
        <v>82</v>
      </c>
      <c r="P1212" t="s">
        <v>83</v>
      </c>
      <c r="Q1212">
        <v>18878.919999999998</v>
      </c>
      <c r="R1212">
        <v>-27.17</v>
      </c>
      <c r="S1212" t="s">
        <v>2895</v>
      </c>
      <c r="T1212" t="s">
        <v>2896</v>
      </c>
      <c r="U1212" t="s">
        <v>2897</v>
      </c>
    </row>
    <row r="1213" spans="1:21">
      <c r="A1213" t="s">
        <v>2567</v>
      </c>
      <c r="B1213" s="7">
        <v>46243</v>
      </c>
      <c r="C1213" s="8">
        <v>0.79942129629629632</v>
      </c>
      <c r="D1213" t="s">
        <v>17</v>
      </c>
      <c r="E1213" t="s">
        <v>2</v>
      </c>
      <c r="F1213" t="s">
        <v>50</v>
      </c>
      <c r="G1213" t="s">
        <v>51</v>
      </c>
      <c r="H1213">
        <v>24.45</v>
      </c>
      <c r="I1213" t="s">
        <v>52</v>
      </c>
      <c r="J1213" t="s">
        <v>60</v>
      </c>
      <c r="K1213" t="s">
        <v>54</v>
      </c>
      <c r="L1213" t="s">
        <v>55</v>
      </c>
      <c r="O1213" t="s">
        <v>61</v>
      </c>
      <c r="P1213" t="s">
        <v>62</v>
      </c>
      <c r="Q1213">
        <v>18975.09</v>
      </c>
      <c r="R1213">
        <v>-24.45</v>
      </c>
      <c r="S1213" t="s">
        <v>2895</v>
      </c>
      <c r="T1213" t="s">
        <v>2896</v>
      </c>
      <c r="U1213" t="s">
        <v>2897</v>
      </c>
    </row>
    <row r="1214" spans="1:21">
      <c r="A1214" t="s">
        <v>2569</v>
      </c>
      <c r="B1214" s="7">
        <v>46243</v>
      </c>
      <c r="C1214" s="8">
        <v>0.89057870370370373</v>
      </c>
      <c r="D1214" t="s">
        <v>17</v>
      </c>
      <c r="E1214" t="s">
        <v>2</v>
      </c>
      <c r="F1214" t="s">
        <v>149</v>
      </c>
      <c r="G1214" t="s">
        <v>72</v>
      </c>
      <c r="H1214">
        <v>500</v>
      </c>
      <c r="I1214" t="s">
        <v>52</v>
      </c>
      <c r="J1214" t="s">
        <v>2570</v>
      </c>
      <c r="K1214" t="s">
        <v>54</v>
      </c>
      <c r="L1214" t="s">
        <v>74</v>
      </c>
      <c r="O1214" t="s">
        <v>75</v>
      </c>
      <c r="P1214" t="s">
        <v>2405</v>
      </c>
      <c r="Q1214">
        <v>81513.61</v>
      </c>
      <c r="R1214">
        <v>500</v>
      </c>
      <c r="S1214" t="s">
        <v>2895</v>
      </c>
      <c r="T1214" t="s">
        <v>2896</v>
      </c>
      <c r="U1214" t="s">
        <v>2897</v>
      </c>
    </row>
    <row r="1215" spans="1:21">
      <c r="A1215" t="s">
        <v>2571</v>
      </c>
      <c r="B1215" s="7">
        <v>46244</v>
      </c>
      <c r="C1215" s="8">
        <v>0.26263888888888887</v>
      </c>
      <c r="D1215" t="s">
        <v>17</v>
      </c>
      <c r="E1215" t="s">
        <v>2</v>
      </c>
      <c r="F1215" t="s">
        <v>149</v>
      </c>
      <c r="G1215" t="s">
        <v>72</v>
      </c>
      <c r="H1215">
        <v>750</v>
      </c>
      <c r="I1215" t="s">
        <v>52</v>
      </c>
      <c r="J1215" t="s">
        <v>2573</v>
      </c>
      <c r="K1215" t="s">
        <v>54</v>
      </c>
      <c r="L1215" t="s">
        <v>74</v>
      </c>
      <c r="O1215" t="s">
        <v>75</v>
      </c>
      <c r="P1215" t="s">
        <v>2405</v>
      </c>
      <c r="Q1215">
        <v>82263.61</v>
      </c>
      <c r="R1215">
        <v>750</v>
      </c>
      <c r="S1215" t="s">
        <v>2895</v>
      </c>
      <c r="T1215" t="s">
        <v>2896</v>
      </c>
      <c r="U1215" t="s">
        <v>2897</v>
      </c>
    </row>
    <row r="1216" spans="1:21">
      <c r="A1216" t="s">
        <v>2574</v>
      </c>
      <c r="B1216" s="7">
        <v>46244</v>
      </c>
      <c r="C1216" s="8">
        <v>0.34232638888888889</v>
      </c>
      <c r="D1216" t="s">
        <v>17</v>
      </c>
      <c r="E1216" t="s">
        <v>2</v>
      </c>
      <c r="F1216" t="s">
        <v>149</v>
      </c>
      <c r="G1216" t="s">
        <v>72</v>
      </c>
      <c r="H1216">
        <v>600</v>
      </c>
      <c r="I1216" t="s">
        <v>52</v>
      </c>
      <c r="J1216" t="s">
        <v>2576</v>
      </c>
      <c r="K1216" t="s">
        <v>54</v>
      </c>
      <c r="L1216" t="s">
        <v>74</v>
      </c>
      <c r="O1216" t="s">
        <v>75</v>
      </c>
      <c r="P1216" t="s">
        <v>2405</v>
      </c>
      <c r="Q1216">
        <v>77663.61</v>
      </c>
      <c r="R1216">
        <v>600</v>
      </c>
      <c r="S1216" t="s">
        <v>2895</v>
      </c>
      <c r="T1216" t="s">
        <v>2896</v>
      </c>
      <c r="U1216" t="s">
        <v>2897</v>
      </c>
    </row>
    <row r="1217" spans="1:21">
      <c r="A1217" t="s">
        <v>2577</v>
      </c>
      <c r="B1217" s="7">
        <v>46244</v>
      </c>
      <c r="C1217" s="8">
        <v>0.40053240740740742</v>
      </c>
      <c r="D1217" t="s">
        <v>17</v>
      </c>
      <c r="E1217" t="s">
        <v>2</v>
      </c>
      <c r="F1217" t="s">
        <v>50</v>
      </c>
      <c r="G1217" t="s">
        <v>51</v>
      </c>
      <c r="H1217">
        <v>120.95</v>
      </c>
      <c r="I1217" t="s">
        <v>52</v>
      </c>
      <c r="J1217" t="s">
        <v>196</v>
      </c>
      <c r="K1217" t="s">
        <v>54</v>
      </c>
      <c r="L1217" t="s">
        <v>55</v>
      </c>
      <c r="O1217" t="s">
        <v>197</v>
      </c>
      <c r="P1217" t="s">
        <v>198</v>
      </c>
      <c r="Q1217">
        <v>18738.77</v>
      </c>
      <c r="R1217">
        <v>-120.95</v>
      </c>
      <c r="S1217" t="s">
        <v>2895</v>
      </c>
      <c r="T1217" t="s">
        <v>2896</v>
      </c>
      <c r="U1217" t="s">
        <v>2897</v>
      </c>
    </row>
    <row r="1218" spans="1:21">
      <c r="A1218" t="s">
        <v>2579</v>
      </c>
      <c r="B1218" s="7">
        <v>46244</v>
      </c>
      <c r="C1218" s="8">
        <v>0.40619212962962964</v>
      </c>
      <c r="D1218" t="s">
        <v>17</v>
      </c>
      <c r="E1218" t="s">
        <v>2</v>
      </c>
      <c r="F1218" t="s">
        <v>50</v>
      </c>
      <c r="G1218" t="s">
        <v>51</v>
      </c>
      <c r="H1218">
        <v>10.59</v>
      </c>
      <c r="I1218" t="s">
        <v>52</v>
      </c>
      <c r="J1218" t="s">
        <v>53</v>
      </c>
      <c r="K1218" t="s">
        <v>54</v>
      </c>
      <c r="L1218" t="s">
        <v>55</v>
      </c>
      <c r="O1218" t="s">
        <v>56</v>
      </c>
      <c r="P1218" t="s">
        <v>57</v>
      </c>
      <c r="Q1218">
        <v>18868.330000000002</v>
      </c>
      <c r="R1218">
        <v>-10.59</v>
      </c>
      <c r="S1218" t="s">
        <v>2895</v>
      </c>
      <c r="T1218" t="s">
        <v>2896</v>
      </c>
      <c r="U1218" t="s">
        <v>2897</v>
      </c>
    </row>
    <row r="1219" spans="1:21">
      <c r="A1219" t="s">
        <v>2581</v>
      </c>
      <c r="B1219" s="7">
        <v>46244</v>
      </c>
      <c r="C1219" s="8">
        <v>0.56276620370370367</v>
      </c>
      <c r="D1219" t="s">
        <v>17</v>
      </c>
      <c r="E1219" t="s">
        <v>2</v>
      </c>
      <c r="F1219" t="s">
        <v>149</v>
      </c>
      <c r="G1219" t="s">
        <v>72</v>
      </c>
      <c r="H1219">
        <v>600</v>
      </c>
      <c r="I1219" t="s">
        <v>52</v>
      </c>
      <c r="J1219" t="s">
        <v>2583</v>
      </c>
      <c r="K1219" t="s">
        <v>54</v>
      </c>
      <c r="L1219" t="s">
        <v>74</v>
      </c>
      <c r="O1219" t="s">
        <v>75</v>
      </c>
      <c r="P1219" t="s">
        <v>2405</v>
      </c>
      <c r="Q1219">
        <v>88013.61</v>
      </c>
      <c r="R1219">
        <v>600</v>
      </c>
      <c r="S1219" t="s">
        <v>2895</v>
      </c>
      <c r="T1219" t="s">
        <v>2896</v>
      </c>
      <c r="U1219" t="s">
        <v>2897</v>
      </c>
    </row>
    <row r="1220" spans="1:21">
      <c r="A1220" t="s">
        <v>2584</v>
      </c>
      <c r="B1220" s="7">
        <v>46244</v>
      </c>
      <c r="C1220" s="8">
        <v>0.67815972222222221</v>
      </c>
      <c r="D1220" t="s">
        <v>17</v>
      </c>
      <c r="E1220" t="s">
        <v>2</v>
      </c>
      <c r="F1220" t="s">
        <v>50</v>
      </c>
      <c r="G1220" t="s">
        <v>51</v>
      </c>
      <c r="H1220">
        <v>9.98</v>
      </c>
      <c r="I1220" t="s">
        <v>52</v>
      </c>
      <c r="J1220" t="s">
        <v>53</v>
      </c>
      <c r="K1220" t="s">
        <v>54</v>
      </c>
      <c r="L1220" t="s">
        <v>55</v>
      </c>
      <c r="O1220" t="s">
        <v>56</v>
      </c>
      <c r="P1220" t="s">
        <v>57</v>
      </c>
      <c r="Q1220">
        <v>18703.98</v>
      </c>
      <c r="R1220">
        <v>-9.98</v>
      </c>
      <c r="S1220" t="s">
        <v>2895</v>
      </c>
      <c r="T1220" t="s">
        <v>2896</v>
      </c>
      <c r="U1220" t="s">
        <v>2897</v>
      </c>
    </row>
    <row r="1221" spans="1:21">
      <c r="A1221" t="s">
        <v>2586</v>
      </c>
      <c r="B1221" s="7">
        <v>46244</v>
      </c>
      <c r="C1221" s="8">
        <v>0.81473379629629628</v>
      </c>
      <c r="D1221" t="s">
        <v>17</v>
      </c>
      <c r="E1221" t="s">
        <v>2</v>
      </c>
      <c r="F1221" t="s">
        <v>50</v>
      </c>
      <c r="G1221" t="s">
        <v>51</v>
      </c>
      <c r="H1221">
        <v>8.61</v>
      </c>
      <c r="I1221" t="s">
        <v>52</v>
      </c>
      <c r="J1221" t="s">
        <v>53</v>
      </c>
      <c r="K1221" t="s">
        <v>54</v>
      </c>
      <c r="L1221" t="s">
        <v>55</v>
      </c>
      <c r="O1221" t="s">
        <v>56</v>
      </c>
      <c r="P1221" t="s">
        <v>57</v>
      </c>
      <c r="Q1221">
        <v>18859.72</v>
      </c>
      <c r="R1221">
        <v>-8.61</v>
      </c>
      <c r="S1221" t="s">
        <v>2895</v>
      </c>
      <c r="T1221" t="s">
        <v>2896</v>
      </c>
      <c r="U1221" t="s">
        <v>2897</v>
      </c>
    </row>
    <row r="1222" spans="1:21">
      <c r="A1222" t="s">
        <v>2588</v>
      </c>
      <c r="B1222" s="7">
        <v>46244</v>
      </c>
      <c r="C1222" s="8">
        <v>0.90745370370370371</v>
      </c>
      <c r="D1222" t="s">
        <v>17</v>
      </c>
      <c r="E1222" t="s">
        <v>2</v>
      </c>
      <c r="F1222" t="s">
        <v>50</v>
      </c>
      <c r="G1222" t="s">
        <v>100</v>
      </c>
      <c r="H1222">
        <v>24.81</v>
      </c>
      <c r="I1222" t="s">
        <v>52</v>
      </c>
      <c r="J1222" t="s">
        <v>114</v>
      </c>
      <c r="K1222" t="s">
        <v>54</v>
      </c>
      <c r="L1222" t="s">
        <v>102</v>
      </c>
      <c r="O1222" t="s">
        <v>103</v>
      </c>
      <c r="P1222" t="s">
        <v>104</v>
      </c>
      <c r="Q1222">
        <v>18713.96</v>
      </c>
      <c r="R1222">
        <v>-24.81</v>
      </c>
      <c r="S1222" t="s">
        <v>2895</v>
      </c>
      <c r="T1222" t="s">
        <v>2896</v>
      </c>
      <c r="U1222" t="s">
        <v>2897</v>
      </c>
    </row>
    <row r="1223" spans="1:21">
      <c r="A1223" t="s">
        <v>2590</v>
      </c>
      <c r="B1223" s="7">
        <v>46245</v>
      </c>
      <c r="C1223" s="8">
        <v>0.27060185185185187</v>
      </c>
      <c r="D1223" t="s">
        <v>17</v>
      </c>
      <c r="E1223" t="s">
        <v>2</v>
      </c>
      <c r="F1223" t="s">
        <v>50</v>
      </c>
      <c r="G1223" t="s">
        <v>51</v>
      </c>
      <c r="H1223">
        <v>12.28</v>
      </c>
      <c r="I1223" t="s">
        <v>52</v>
      </c>
      <c r="J1223" t="s">
        <v>196</v>
      </c>
      <c r="K1223" t="s">
        <v>54</v>
      </c>
      <c r="L1223" t="s">
        <v>55</v>
      </c>
      <c r="O1223" t="s">
        <v>197</v>
      </c>
      <c r="P1223" t="s">
        <v>198</v>
      </c>
      <c r="Q1223">
        <v>18633.349999999999</v>
      </c>
      <c r="R1223">
        <v>-12.28</v>
      </c>
      <c r="S1223" t="s">
        <v>2895</v>
      </c>
      <c r="T1223" t="s">
        <v>2896</v>
      </c>
      <c r="U1223" t="s">
        <v>2897</v>
      </c>
    </row>
    <row r="1224" spans="1:21">
      <c r="A1224" t="s">
        <v>2592</v>
      </c>
      <c r="B1224" s="7">
        <v>46245</v>
      </c>
      <c r="C1224" s="8">
        <v>0.53076388888888892</v>
      </c>
      <c r="D1224" t="s">
        <v>17</v>
      </c>
      <c r="E1224" t="s">
        <v>2</v>
      </c>
      <c r="F1224" t="s">
        <v>50</v>
      </c>
      <c r="G1224" t="s">
        <v>51</v>
      </c>
      <c r="H1224">
        <v>14.01</v>
      </c>
      <c r="I1224" t="s">
        <v>52</v>
      </c>
      <c r="J1224" t="s">
        <v>196</v>
      </c>
      <c r="K1224" t="s">
        <v>54</v>
      </c>
      <c r="L1224" t="s">
        <v>55</v>
      </c>
      <c r="O1224" t="s">
        <v>197</v>
      </c>
      <c r="P1224" t="s">
        <v>198</v>
      </c>
      <c r="Q1224">
        <v>18549.599999999999</v>
      </c>
      <c r="R1224">
        <v>-14.01</v>
      </c>
      <c r="S1224" t="s">
        <v>2895</v>
      </c>
      <c r="T1224" t="s">
        <v>2896</v>
      </c>
      <c r="U1224" t="s">
        <v>2897</v>
      </c>
    </row>
    <row r="1225" spans="1:21">
      <c r="A1225" t="s">
        <v>2594</v>
      </c>
      <c r="B1225" s="7">
        <v>46245</v>
      </c>
      <c r="C1225" s="8">
        <v>0.5358680555555555</v>
      </c>
      <c r="D1225" t="s">
        <v>17</v>
      </c>
      <c r="E1225" t="s">
        <v>2</v>
      </c>
      <c r="F1225" t="s">
        <v>50</v>
      </c>
      <c r="G1225" t="s">
        <v>51</v>
      </c>
      <c r="H1225">
        <v>58.87</v>
      </c>
      <c r="I1225" t="s">
        <v>52</v>
      </c>
      <c r="J1225" t="s">
        <v>60</v>
      </c>
      <c r="K1225" t="s">
        <v>54</v>
      </c>
      <c r="L1225" t="s">
        <v>55</v>
      </c>
      <c r="O1225" t="s">
        <v>61</v>
      </c>
      <c r="P1225" t="s">
        <v>62</v>
      </c>
      <c r="Q1225">
        <v>18574.48</v>
      </c>
      <c r="R1225">
        <v>-58.87</v>
      </c>
      <c r="S1225" t="s">
        <v>2895</v>
      </c>
      <c r="T1225" t="s">
        <v>2896</v>
      </c>
      <c r="U1225" t="s">
        <v>2897</v>
      </c>
    </row>
    <row r="1226" spans="1:21">
      <c r="A1226" t="s">
        <v>2596</v>
      </c>
      <c r="B1226" s="7">
        <v>46245</v>
      </c>
      <c r="C1226" s="8">
        <v>0.573125</v>
      </c>
      <c r="D1226" t="s">
        <v>17</v>
      </c>
      <c r="E1226" t="s">
        <v>2</v>
      </c>
      <c r="F1226" t="s">
        <v>50</v>
      </c>
      <c r="G1226" t="s">
        <v>51</v>
      </c>
      <c r="H1226">
        <v>43.35</v>
      </c>
      <c r="I1226" t="s">
        <v>52</v>
      </c>
      <c r="J1226" t="s">
        <v>126</v>
      </c>
      <c r="K1226" t="s">
        <v>54</v>
      </c>
      <c r="L1226" t="s">
        <v>55</v>
      </c>
      <c r="O1226" t="s">
        <v>56</v>
      </c>
      <c r="P1226" t="s">
        <v>57</v>
      </c>
      <c r="Q1226">
        <v>18645.63</v>
      </c>
      <c r="R1226">
        <v>-43.35</v>
      </c>
      <c r="S1226" t="s">
        <v>2895</v>
      </c>
      <c r="T1226" t="s">
        <v>2896</v>
      </c>
      <c r="U1226" t="s">
        <v>2897</v>
      </c>
    </row>
    <row r="1227" spans="1:21">
      <c r="A1227" t="s">
        <v>2598</v>
      </c>
      <c r="B1227" s="7">
        <v>46245</v>
      </c>
      <c r="C1227" s="8">
        <v>0.68234953703703705</v>
      </c>
      <c r="D1227" t="s">
        <v>17</v>
      </c>
      <c r="E1227" t="s">
        <v>2</v>
      </c>
      <c r="F1227" t="s">
        <v>50</v>
      </c>
      <c r="G1227" t="s">
        <v>51</v>
      </c>
      <c r="H1227">
        <v>10.87</v>
      </c>
      <c r="I1227" t="s">
        <v>52</v>
      </c>
      <c r="J1227" t="s">
        <v>121</v>
      </c>
      <c r="K1227" t="s">
        <v>54</v>
      </c>
      <c r="L1227" t="s">
        <v>55</v>
      </c>
      <c r="O1227" t="s">
        <v>122</v>
      </c>
      <c r="P1227" t="s">
        <v>123</v>
      </c>
      <c r="Q1227">
        <v>18563.61</v>
      </c>
      <c r="R1227">
        <v>-10.87</v>
      </c>
      <c r="S1227" t="s">
        <v>2895</v>
      </c>
      <c r="T1227" t="s">
        <v>2896</v>
      </c>
      <c r="U1227" t="s">
        <v>2897</v>
      </c>
    </row>
    <row r="1228" spans="1:21">
      <c r="A1228" t="s">
        <v>2600</v>
      </c>
      <c r="B1228" s="7">
        <v>46245</v>
      </c>
      <c r="C1228" s="8">
        <v>0.7006944444444444</v>
      </c>
      <c r="D1228" t="s">
        <v>17</v>
      </c>
      <c r="E1228" t="s">
        <v>2</v>
      </c>
      <c r="F1228" t="s">
        <v>50</v>
      </c>
      <c r="G1228" t="s">
        <v>72</v>
      </c>
      <c r="H1228">
        <v>101.07</v>
      </c>
      <c r="I1228" t="s">
        <v>52</v>
      </c>
      <c r="J1228" t="s">
        <v>150</v>
      </c>
      <c r="K1228" t="s">
        <v>54</v>
      </c>
      <c r="L1228" t="s">
        <v>74</v>
      </c>
      <c r="O1228" t="s">
        <v>75</v>
      </c>
      <c r="P1228" t="s">
        <v>76</v>
      </c>
      <c r="Q1228">
        <v>18448.53</v>
      </c>
      <c r="R1228">
        <v>-101.07</v>
      </c>
      <c r="S1228" t="s">
        <v>2895</v>
      </c>
      <c r="T1228" t="s">
        <v>2896</v>
      </c>
      <c r="U1228" t="s">
        <v>2897</v>
      </c>
    </row>
    <row r="1229" spans="1:21">
      <c r="A1229" t="s">
        <v>2602</v>
      </c>
      <c r="B1229" s="7">
        <v>46245</v>
      </c>
      <c r="C1229" s="8">
        <v>0.89711805555555557</v>
      </c>
      <c r="D1229" t="s">
        <v>17</v>
      </c>
      <c r="E1229" t="s">
        <v>2</v>
      </c>
      <c r="F1229" t="s">
        <v>50</v>
      </c>
      <c r="G1229" t="s">
        <v>100</v>
      </c>
      <c r="H1229">
        <v>15</v>
      </c>
      <c r="I1229" t="s">
        <v>52</v>
      </c>
      <c r="J1229" t="s">
        <v>101</v>
      </c>
      <c r="K1229" t="s">
        <v>54</v>
      </c>
      <c r="L1229" t="s">
        <v>102</v>
      </c>
      <c r="O1229" t="s">
        <v>103</v>
      </c>
      <c r="P1229" t="s">
        <v>104</v>
      </c>
      <c r="Q1229">
        <v>18688.98</v>
      </c>
      <c r="R1229">
        <v>-15</v>
      </c>
      <c r="S1229" t="s">
        <v>2895</v>
      </c>
      <c r="T1229" t="s">
        <v>2896</v>
      </c>
      <c r="U1229" t="s">
        <v>2897</v>
      </c>
    </row>
    <row r="1230" spans="1:21">
      <c r="A1230" t="s">
        <v>2604</v>
      </c>
      <c r="B1230" s="7">
        <v>46246</v>
      </c>
      <c r="C1230" s="8">
        <v>0.28693287037037035</v>
      </c>
      <c r="D1230" t="s">
        <v>17</v>
      </c>
      <c r="E1230" t="s">
        <v>2</v>
      </c>
      <c r="F1230" t="s">
        <v>50</v>
      </c>
      <c r="G1230" t="s">
        <v>51</v>
      </c>
      <c r="H1230">
        <v>28.59</v>
      </c>
      <c r="I1230" t="s">
        <v>52</v>
      </c>
      <c r="J1230" t="s">
        <v>81</v>
      </c>
      <c r="K1230" t="s">
        <v>54</v>
      </c>
      <c r="L1230" t="s">
        <v>55</v>
      </c>
      <c r="O1230" t="s">
        <v>82</v>
      </c>
      <c r="P1230" t="s">
        <v>83</v>
      </c>
      <c r="Q1230">
        <v>18419.939999999999</v>
      </c>
      <c r="R1230">
        <v>-28.59</v>
      </c>
      <c r="S1230" t="s">
        <v>2895</v>
      </c>
      <c r="T1230" t="s">
        <v>2896</v>
      </c>
      <c r="U1230" t="s">
        <v>2897</v>
      </c>
    </row>
    <row r="1231" spans="1:21">
      <c r="A1231" t="s">
        <v>2606</v>
      </c>
      <c r="B1231" s="7">
        <v>46246</v>
      </c>
      <c r="C1231" s="8">
        <v>0.32023148148148151</v>
      </c>
      <c r="D1231" t="s">
        <v>17</v>
      </c>
      <c r="E1231" t="s">
        <v>2</v>
      </c>
      <c r="F1231" t="s">
        <v>50</v>
      </c>
      <c r="G1231" t="s">
        <v>100</v>
      </c>
      <c r="H1231">
        <v>15</v>
      </c>
      <c r="I1231" t="s">
        <v>52</v>
      </c>
      <c r="J1231" t="s">
        <v>101</v>
      </c>
      <c r="K1231" t="s">
        <v>54</v>
      </c>
      <c r="L1231" t="s">
        <v>102</v>
      </c>
      <c r="O1231" t="s">
        <v>103</v>
      </c>
      <c r="P1231" t="s">
        <v>104</v>
      </c>
      <c r="Q1231">
        <v>18334.11</v>
      </c>
      <c r="R1231">
        <v>-15</v>
      </c>
      <c r="S1231" t="s">
        <v>2895</v>
      </c>
      <c r="T1231" t="s">
        <v>2896</v>
      </c>
      <c r="U1231" t="s">
        <v>2897</v>
      </c>
    </row>
    <row r="1232" spans="1:21">
      <c r="A1232" t="s">
        <v>2608</v>
      </c>
      <c r="B1232" s="7">
        <v>46246</v>
      </c>
      <c r="C1232" s="8">
        <v>0.32885416666666667</v>
      </c>
      <c r="D1232" t="s">
        <v>17</v>
      </c>
      <c r="E1232" t="s">
        <v>2</v>
      </c>
      <c r="F1232" t="s">
        <v>50</v>
      </c>
      <c r="G1232" t="s">
        <v>51</v>
      </c>
      <c r="H1232">
        <v>20.63</v>
      </c>
      <c r="I1232" t="s">
        <v>52</v>
      </c>
      <c r="J1232" t="s">
        <v>121</v>
      </c>
      <c r="K1232" t="s">
        <v>54</v>
      </c>
      <c r="L1232" t="s">
        <v>55</v>
      </c>
      <c r="O1232" t="s">
        <v>122</v>
      </c>
      <c r="P1232" t="s">
        <v>123</v>
      </c>
      <c r="Q1232">
        <v>18275.04</v>
      </c>
      <c r="R1232">
        <v>-20.63</v>
      </c>
      <c r="S1232" t="s">
        <v>2895</v>
      </c>
      <c r="T1232" t="s">
        <v>2896</v>
      </c>
      <c r="U1232" t="s">
        <v>2897</v>
      </c>
    </row>
    <row r="1233" spans="1:21">
      <c r="A1233" t="s">
        <v>2610</v>
      </c>
      <c r="B1233" s="7">
        <v>46246</v>
      </c>
      <c r="C1233" s="8">
        <v>0.63276620370370373</v>
      </c>
      <c r="D1233" t="s">
        <v>17</v>
      </c>
      <c r="E1233" t="s">
        <v>2</v>
      </c>
      <c r="F1233" t="s">
        <v>50</v>
      </c>
      <c r="G1233" t="s">
        <v>2490</v>
      </c>
      <c r="H1233">
        <v>6100</v>
      </c>
      <c r="I1233" t="s">
        <v>52</v>
      </c>
      <c r="J1233" t="s">
        <v>2491</v>
      </c>
      <c r="K1233" t="s">
        <v>54</v>
      </c>
      <c r="L1233" t="s">
        <v>1970</v>
      </c>
      <c r="M1233" t="s">
        <v>91</v>
      </c>
      <c r="N1233" t="s">
        <v>12</v>
      </c>
      <c r="O1233" t="s">
        <v>2492</v>
      </c>
      <c r="P1233" t="s">
        <v>2493</v>
      </c>
      <c r="Q1233">
        <v>72813.61</v>
      </c>
      <c r="R1233">
        <v>-6100</v>
      </c>
      <c r="S1233" t="s">
        <v>2895</v>
      </c>
      <c r="T1233" t="s">
        <v>2896</v>
      </c>
      <c r="U1233" t="s">
        <v>2897</v>
      </c>
    </row>
    <row r="1234" spans="1:21">
      <c r="A1234" t="s">
        <v>2612</v>
      </c>
      <c r="B1234" s="7">
        <v>46246</v>
      </c>
      <c r="C1234" s="8">
        <v>0.64430555555555558</v>
      </c>
      <c r="D1234" t="s">
        <v>17</v>
      </c>
      <c r="E1234" t="s">
        <v>2</v>
      </c>
      <c r="F1234" t="s">
        <v>50</v>
      </c>
      <c r="G1234" t="s">
        <v>100</v>
      </c>
      <c r="H1234">
        <v>73.58</v>
      </c>
      <c r="I1234" t="s">
        <v>52</v>
      </c>
      <c r="J1234" t="s">
        <v>244</v>
      </c>
      <c r="K1234" t="s">
        <v>54</v>
      </c>
      <c r="L1234" t="s">
        <v>102</v>
      </c>
      <c r="O1234" t="s">
        <v>178</v>
      </c>
      <c r="P1234" t="s">
        <v>245</v>
      </c>
      <c r="Q1234">
        <v>38173.599999999999</v>
      </c>
      <c r="R1234">
        <v>-73.58</v>
      </c>
      <c r="S1234" t="s">
        <v>2895</v>
      </c>
      <c r="T1234" t="s">
        <v>2896</v>
      </c>
      <c r="U1234" t="s">
        <v>2897</v>
      </c>
    </row>
    <row r="1235" spans="1:21">
      <c r="A1235" t="s">
        <v>2614</v>
      </c>
      <c r="B1235" s="7">
        <v>46246</v>
      </c>
      <c r="C1235" s="8">
        <v>0.69136574074074075</v>
      </c>
      <c r="D1235" t="s">
        <v>17</v>
      </c>
      <c r="E1235" t="s">
        <v>2</v>
      </c>
      <c r="F1235" t="s">
        <v>50</v>
      </c>
      <c r="G1235" t="s">
        <v>51</v>
      </c>
      <c r="H1235">
        <v>11.91</v>
      </c>
      <c r="I1235" t="s">
        <v>52</v>
      </c>
      <c r="J1235" t="s">
        <v>53</v>
      </c>
      <c r="K1235" t="s">
        <v>54</v>
      </c>
      <c r="L1235" t="s">
        <v>55</v>
      </c>
      <c r="O1235" t="s">
        <v>56</v>
      </c>
      <c r="P1235" t="s">
        <v>57</v>
      </c>
      <c r="Q1235">
        <v>18263.13</v>
      </c>
      <c r="R1235">
        <v>-11.91</v>
      </c>
      <c r="S1235" t="s">
        <v>2895</v>
      </c>
      <c r="T1235" t="s">
        <v>2896</v>
      </c>
      <c r="U1235" t="s">
        <v>2897</v>
      </c>
    </row>
    <row r="1236" spans="1:21">
      <c r="A1236" t="s">
        <v>2616</v>
      </c>
      <c r="B1236" s="7">
        <v>46246</v>
      </c>
      <c r="C1236" s="8">
        <v>0.70813657407407404</v>
      </c>
      <c r="D1236" t="s">
        <v>17</v>
      </c>
      <c r="E1236" t="s">
        <v>2</v>
      </c>
      <c r="F1236" t="s">
        <v>50</v>
      </c>
      <c r="G1236" t="s">
        <v>51</v>
      </c>
      <c r="H1236">
        <v>70.83</v>
      </c>
      <c r="I1236" t="s">
        <v>52</v>
      </c>
      <c r="J1236" t="s">
        <v>196</v>
      </c>
      <c r="K1236" t="s">
        <v>54</v>
      </c>
      <c r="L1236" t="s">
        <v>55</v>
      </c>
      <c r="O1236" t="s">
        <v>197</v>
      </c>
      <c r="P1236" t="s">
        <v>198</v>
      </c>
      <c r="Q1236">
        <v>18349.11</v>
      </c>
      <c r="R1236">
        <v>-70.83</v>
      </c>
      <c r="S1236" t="s">
        <v>2895</v>
      </c>
      <c r="T1236" t="s">
        <v>2896</v>
      </c>
      <c r="U1236" t="s">
        <v>2897</v>
      </c>
    </row>
    <row r="1237" spans="1:21">
      <c r="A1237" t="s">
        <v>2618</v>
      </c>
      <c r="B1237" s="7">
        <v>46246</v>
      </c>
      <c r="C1237" s="8">
        <v>0.71121527777777782</v>
      </c>
      <c r="D1237" t="s">
        <v>17</v>
      </c>
      <c r="E1237" t="s">
        <v>2</v>
      </c>
      <c r="F1237" t="s">
        <v>149</v>
      </c>
      <c r="G1237" t="s">
        <v>72</v>
      </c>
      <c r="H1237">
        <v>147.93</v>
      </c>
      <c r="I1237" t="s">
        <v>52</v>
      </c>
      <c r="J1237" t="s">
        <v>606</v>
      </c>
      <c r="K1237" t="s">
        <v>54</v>
      </c>
      <c r="L1237" t="s">
        <v>74</v>
      </c>
      <c r="O1237" t="s">
        <v>75</v>
      </c>
      <c r="P1237" t="s">
        <v>76</v>
      </c>
      <c r="Q1237">
        <v>18411.060000000001</v>
      </c>
      <c r="R1237">
        <v>147.93</v>
      </c>
      <c r="S1237" t="s">
        <v>2895</v>
      </c>
      <c r="T1237" t="s">
        <v>2896</v>
      </c>
      <c r="U1237" t="s">
        <v>2897</v>
      </c>
    </row>
    <row r="1238" spans="1:21">
      <c r="A1238" t="s">
        <v>2620</v>
      </c>
      <c r="B1238" s="7">
        <v>46246</v>
      </c>
      <c r="C1238" s="8">
        <v>0.86865740740740738</v>
      </c>
      <c r="D1238" t="s">
        <v>17</v>
      </c>
      <c r="E1238" t="s">
        <v>2</v>
      </c>
      <c r="F1238" t="s">
        <v>50</v>
      </c>
      <c r="G1238" t="s">
        <v>100</v>
      </c>
      <c r="H1238">
        <v>23.44</v>
      </c>
      <c r="I1238" t="s">
        <v>52</v>
      </c>
      <c r="J1238" t="s">
        <v>114</v>
      </c>
      <c r="K1238" t="s">
        <v>54</v>
      </c>
      <c r="L1238" t="s">
        <v>102</v>
      </c>
      <c r="O1238" t="s">
        <v>103</v>
      </c>
      <c r="P1238" t="s">
        <v>104</v>
      </c>
      <c r="Q1238">
        <v>18295.669999999998</v>
      </c>
      <c r="R1238">
        <v>-23.44</v>
      </c>
      <c r="S1238" t="s">
        <v>2895</v>
      </c>
      <c r="T1238" t="s">
        <v>2896</v>
      </c>
      <c r="U1238" t="s">
        <v>2897</v>
      </c>
    </row>
    <row r="1239" spans="1:21">
      <c r="A1239" t="s">
        <v>2622</v>
      </c>
      <c r="B1239" s="7">
        <v>46246</v>
      </c>
      <c r="C1239" s="8">
        <v>0.8735532407407407</v>
      </c>
      <c r="D1239" t="s">
        <v>17</v>
      </c>
      <c r="E1239" t="s">
        <v>2</v>
      </c>
      <c r="F1239" t="s">
        <v>50</v>
      </c>
      <c r="G1239" t="s">
        <v>100</v>
      </c>
      <c r="H1239">
        <v>15</v>
      </c>
      <c r="I1239" t="s">
        <v>52</v>
      </c>
      <c r="J1239" t="s">
        <v>101</v>
      </c>
      <c r="K1239" t="s">
        <v>54</v>
      </c>
      <c r="L1239" t="s">
        <v>102</v>
      </c>
      <c r="O1239" t="s">
        <v>103</v>
      </c>
      <c r="P1239" t="s">
        <v>104</v>
      </c>
      <c r="Q1239">
        <v>18319.11</v>
      </c>
      <c r="R1239">
        <v>-15</v>
      </c>
      <c r="S1239" t="s">
        <v>2895</v>
      </c>
      <c r="T1239" t="s">
        <v>2896</v>
      </c>
      <c r="U1239" t="s">
        <v>2897</v>
      </c>
    </row>
    <row r="1240" spans="1:21">
      <c r="A1240" t="s">
        <v>2624</v>
      </c>
      <c r="B1240" s="7">
        <v>46247</v>
      </c>
      <c r="C1240" s="8">
        <v>0.41377314814814814</v>
      </c>
      <c r="D1240" t="s">
        <v>17</v>
      </c>
      <c r="E1240" t="s">
        <v>2</v>
      </c>
      <c r="F1240" t="s">
        <v>50</v>
      </c>
      <c r="G1240" t="s">
        <v>51</v>
      </c>
      <c r="H1240">
        <v>6.56</v>
      </c>
      <c r="I1240" t="s">
        <v>52</v>
      </c>
      <c r="J1240" t="s">
        <v>121</v>
      </c>
      <c r="K1240" t="s">
        <v>54</v>
      </c>
      <c r="L1240" t="s">
        <v>55</v>
      </c>
      <c r="O1240" t="s">
        <v>122</v>
      </c>
      <c r="P1240" t="s">
        <v>123</v>
      </c>
      <c r="Q1240">
        <v>18345.349999999999</v>
      </c>
      <c r="R1240">
        <v>-6.56</v>
      </c>
      <c r="S1240" t="s">
        <v>2895</v>
      </c>
      <c r="T1240" t="s">
        <v>2896</v>
      </c>
      <c r="U1240" t="s">
        <v>2897</v>
      </c>
    </row>
    <row r="1241" spans="1:21">
      <c r="A1241" t="s">
        <v>2626</v>
      </c>
      <c r="B1241" s="7">
        <v>46247</v>
      </c>
      <c r="C1241" s="8">
        <v>0.48377314814814815</v>
      </c>
      <c r="D1241" t="s">
        <v>17</v>
      </c>
      <c r="E1241" t="s">
        <v>2</v>
      </c>
      <c r="F1241" t="s">
        <v>50</v>
      </c>
      <c r="G1241" t="s">
        <v>51</v>
      </c>
      <c r="H1241">
        <v>59.15</v>
      </c>
      <c r="I1241" t="s">
        <v>52</v>
      </c>
      <c r="J1241" t="s">
        <v>81</v>
      </c>
      <c r="K1241" t="s">
        <v>54</v>
      </c>
      <c r="L1241" t="s">
        <v>55</v>
      </c>
      <c r="O1241" t="s">
        <v>82</v>
      </c>
      <c r="P1241" t="s">
        <v>83</v>
      </c>
      <c r="Q1241">
        <v>18351.91</v>
      </c>
      <c r="R1241">
        <v>-59.15</v>
      </c>
      <c r="S1241" t="s">
        <v>2895</v>
      </c>
      <c r="T1241" t="s">
        <v>2896</v>
      </c>
      <c r="U1241" t="s">
        <v>2897</v>
      </c>
    </row>
    <row r="1242" spans="1:21">
      <c r="A1242" t="s">
        <v>2628</v>
      </c>
      <c r="B1242" s="7">
        <v>46247</v>
      </c>
      <c r="C1242" s="8">
        <v>0.54033564814814816</v>
      </c>
      <c r="D1242" t="s">
        <v>17</v>
      </c>
      <c r="E1242" t="s">
        <v>2</v>
      </c>
      <c r="F1242" t="s">
        <v>50</v>
      </c>
      <c r="G1242" t="s">
        <v>72</v>
      </c>
      <c r="H1242">
        <v>25.98</v>
      </c>
      <c r="I1242" t="s">
        <v>52</v>
      </c>
      <c r="J1242" t="s">
        <v>150</v>
      </c>
      <c r="K1242" t="s">
        <v>54</v>
      </c>
      <c r="L1242" t="s">
        <v>74</v>
      </c>
      <c r="O1242" t="s">
        <v>75</v>
      </c>
      <c r="P1242" t="s">
        <v>76</v>
      </c>
      <c r="Q1242">
        <v>18264.21</v>
      </c>
      <c r="R1242">
        <v>-25.98</v>
      </c>
      <c r="S1242" t="s">
        <v>2895</v>
      </c>
      <c r="T1242" t="s">
        <v>2896</v>
      </c>
      <c r="U1242" t="s">
        <v>2897</v>
      </c>
    </row>
    <row r="1243" spans="1:21">
      <c r="A1243" t="s">
        <v>2630</v>
      </c>
      <c r="B1243" s="7">
        <v>46247</v>
      </c>
      <c r="C1243" s="8">
        <v>0.63440972222222225</v>
      </c>
      <c r="D1243" t="s">
        <v>17</v>
      </c>
      <c r="E1243" t="s">
        <v>2</v>
      </c>
      <c r="F1243" t="s">
        <v>50</v>
      </c>
      <c r="G1243" t="s">
        <v>51</v>
      </c>
      <c r="H1243">
        <v>31.5</v>
      </c>
      <c r="I1243" t="s">
        <v>52</v>
      </c>
      <c r="J1243" t="s">
        <v>81</v>
      </c>
      <c r="K1243" t="s">
        <v>54</v>
      </c>
      <c r="L1243" t="s">
        <v>55</v>
      </c>
      <c r="O1243" t="s">
        <v>82</v>
      </c>
      <c r="P1243" t="s">
        <v>83</v>
      </c>
      <c r="Q1243">
        <v>18290.189999999999</v>
      </c>
      <c r="R1243">
        <v>-31.5</v>
      </c>
      <c r="S1243" t="s">
        <v>2895</v>
      </c>
      <c r="T1243" t="s">
        <v>2896</v>
      </c>
      <c r="U1243" t="s">
        <v>2897</v>
      </c>
    </row>
    <row r="1244" spans="1:21">
      <c r="A1244" t="s">
        <v>2631</v>
      </c>
      <c r="B1244" s="7">
        <v>46247</v>
      </c>
      <c r="C1244" s="8">
        <v>0.69793981481481482</v>
      </c>
      <c r="D1244" t="s">
        <v>17</v>
      </c>
      <c r="E1244" t="s">
        <v>2</v>
      </c>
      <c r="F1244" t="s">
        <v>50</v>
      </c>
      <c r="G1244" t="s">
        <v>51</v>
      </c>
      <c r="H1244">
        <v>13.87</v>
      </c>
      <c r="I1244" t="s">
        <v>52</v>
      </c>
      <c r="J1244" t="s">
        <v>53</v>
      </c>
      <c r="K1244" t="s">
        <v>54</v>
      </c>
      <c r="L1244" t="s">
        <v>55</v>
      </c>
      <c r="O1244" t="s">
        <v>56</v>
      </c>
      <c r="P1244" t="s">
        <v>57</v>
      </c>
      <c r="Q1244">
        <v>18331.48</v>
      </c>
      <c r="R1244">
        <v>-13.87</v>
      </c>
      <c r="S1244" t="s">
        <v>2895</v>
      </c>
      <c r="T1244" t="s">
        <v>2896</v>
      </c>
      <c r="U1244" t="s">
        <v>2897</v>
      </c>
    </row>
    <row r="1245" spans="1:21">
      <c r="A1245" t="s">
        <v>2633</v>
      </c>
      <c r="B1245" s="7">
        <v>46247</v>
      </c>
      <c r="C1245" s="8">
        <v>0.9140625</v>
      </c>
      <c r="D1245" t="s">
        <v>17</v>
      </c>
      <c r="E1245" t="s">
        <v>2</v>
      </c>
      <c r="F1245" t="s">
        <v>50</v>
      </c>
      <c r="G1245" t="s">
        <v>51</v>
      </c>
      <c r="H1245">
        <v>9.7899999999999991</v>
      </c>
      <c r="I1245" t="s">
        <v>52</v>
      </c>
      <c r="J1245" t="s">
        <v>53</v>
      </c>
      <c r="K1245" t="s">
        <v>54</v>
      </c>
      <c r="L1245" t="s">
        <v>55</v>
      </c>
      <c r="O1245" t="s">
        <v>56</v>
      </c>
      <c r="P1245" t="s">
        <v>57</v>
      </c>
      <c r="Q1245">
        <v>18321.689999999999</v>
      </c>
      <c r="R1245">
        <v>-9.7899999999999991</v>
      </c>
      <c r="S1245" t="s">
        <v>2895</v>
      </c>
      <c r="T1245" t="s">
        <v>2896</v>
      </c>
      <c r="U1245" t="s">
        <v>2897</v>
      </c>
    </row>
    <row r="1246" spans="1:21">
      <c r="A1246" t="s">
        <v>2635</v>
      </c>
      <c r="B1246" s="7">
        <v>46248</v>
      </c>
      <c r="C1246" s="8">
        <v>0.31208333333333332</v>
      </c>
      <c r="D1246" t="s">
        <v>17</v>
      </c>
      <c r="E1246" t="s">
        <v>2</v>
      </c>
      <c r="F1246" t="s">
        <v>50</v>
      </c>
      <c r="G1246" t="s">
        <v>51</v>
      </c>
      <c r="H1246">
        <v>16.21</v>
      </c>
      <c r="I1246" t="s">
        <v>52</v>
      </c>
      <c r="J1246" t="s">
        <v>126</v>
      </c>
      <c r="K1246" t="s">
        <v>54</v>
      </c>
      <c r="L1246" t="s">
        <v>55</v>
      </c>
      <c r="O1246" t="s">
        <v>56</v>
      </c>
      <c r="P1246" t="s">
        <v>57</v>
      </c>
      <c r="Q1246">
        <v>18202.55</v>
      </c>
      <c r="R1246">
        <v>-16.21</v>
      </c>
      <c r="S1246" t="s">
        <v>2895</v>
      </c>
      <c r="T1246" t="s">
        <v>2896</v>
      </c>
      <c r="U1246" t="s">
        <v>2897</v>
      </c>
    </row>
    <row r="1247" spans="1:21">
      <c r="A1247" t="s">
        <v>2637</v>
      </c>
      <c r="B1247" s="7">
        <v>46248</v>
      </c>
      <c r="C1247" s="8">
        <v>0.41149305555555554</v>
      </c>
      <c r="D1247" t="s">
        <v>17</v>
      </c>
      <c r="E1247" t="s">
        <v>2</v>
      </c>
      <c r="F1247" t="s">
        <v>50</v>
      </c>
      <c r="G1247" t="s">
        <v>51</v>
      </c>
      <c r="H1247">
        <v>15.45</v>
      </c>
      <c r="I1247" t="s">
        <v>52</v>
      </c>
      <c r="J1247" t="s">
        <v>81</v>
      </c>
      <c r="K1247" t="s">
        <v>54</v>
      </c>
      <c r="L1247" t="s">
        <v>55</v>
      </c>
      <c r="O1247" t="s">
        <v>82</v>
      </c>
      <c r="P1247" t="s">
        <v>83</v>
      </c>
      <c r="Q1247">
        <v>18218.759999999998</v>
      </c>
      <c r="R1247">
        <v>-15.45</v>
      </c>
      <c r="S1247" t="s">
        <v>2895</v>
      </c>
      <c r="T1247" t="s">
        <v>2896</v>
      </c>
      <c r="U1247" t="s">
        <v>2897</v>
      </c>
    </row>
    <row r="1248" spans="1:21">
      <c r="A1248" t="s">
        <v>2639</v>
      </c>
      <c r="B1248" s="7">
        <v>46248</v>
      </c>
      <c r="C1248" s="8">
        <v>0.42524305555555558</v>
      </c>
      <c r="D1248" t="s">
        <v>17</v>
      </c>
      <c r="E1248" t="s">
        <v>2</v>
      </c>
      <c r="F1248" t="s">
        <v>50</v>
      </c>
      <c r="G1248" t="s">
        <v>100</v>
      </c>
      <c r="H1248">
        <v>15</v>
      </c>
      <c r="I1248" t="s">
        <v>52</v>
      </c>
      <c r="J1248" t="s">
        <v>101</v>
      </c>
      <c r="K1248" t="s">
        <v>54</v>
      </c>
      <c r="L1248" t="s">
        <v>102</v>
      </c>
      <c r="O1248" t="s">
        <v>103</v>
      </c>
      <c r="P1248" t="s">
        <v>104</v>
      </c>
      <c r="Q1248">
        <v>18249.21</v>
      </c>
      <c r="R1248">
        <v>-15</v>
      </c>
      <c r="S1248" t="s">
        <v>2895</v>
      </c>
      <c r="T1248" t="s">
        <v>2896</v>
      </c>
      <c r="U1248" t="s">
        <v>2897</v>
      </c>
    </row>
    <row r="1249" spans="1:21">
      <c r="A1249" t="s">
        <v>2641</v>
      </c>
      <c r="B1249" s="7">
        <v>46248</v>
      </c>
      <c r="C1249" s="8">
        <v>0.66599537037037038</v>
      </c>
      <c r="D1249" t="s">
        <v>17</v>
      </c>
      <c r="E1249" t="s">
        <v>2</v>
      </c>
      <c r="F1249" t="s">
        <v>50</v>
      </c>
      <c r="G1249" t="s">
        <v>100</v>
      </c>
      <c r="H1249">
        <v>11.74</v>
      </c>
      <c r="I1249" t="s">
        <v>52</v>
      </c>
      <c r="J1249" t="s">
        <v>114</v>
      </c>
      <c r="K1249" t="s">
        <v>54</v>
      </c>
      <c r="L1249" t="s">
        <v>102</v>
      </c>
      <c r="O1249" t="s">
        <v>103</v>
      </c>
      <c r="P1249" t="s">
        <v>104</v>
      </c>
      <c r="Q1249">
        <v>18190.810000000001</v>
      </c>
      <c r="R1249">
        <v>-11.74</v>
      </c>
      <c r="S1249" t="s">
        <v>2895</v>
      </c>
      <c r="T1249" t="s">
        <v>2896</v>
      </c>
      <c r="U1249" t="s">
        <v>2897</v>
      </c>
    </row>
    <row r="1250" spans="1:21">
      <c r="A1250" t="s">
        <v>2643</v>
      </c>
      <c r="B1250" s="7">
        <v>46248</v>
      </c>
      <c r="C1250" s="8">
        <v>0.93042824074074071</v>
      </c>
      <c r="D1250" t="s">
        <v>17</v>
      </c>
      <c r="E1250" t="s">
        <v>2</v>
      </c>
      <c r="F1250" t="s">
        <v>50</v>
      </c>
      <c r="G1250" t="s">
        <v>100</v>
      </c>
      <c r="H1250">
        <v>15</v>
      </c>
      <c r="I1250" t="s">
        <v>52</v>
      </c>
      <c r="J1250" t="s">
        <v>101</v>
      </c>
      <c r="K1250" t="s">
        <v>54</v>
      </c>
      <c r="L1250" t="s">
        <v>102</v>
      </c>
      <c r="O1250" t="s">
        <v>103</v>
      </c>
      <c r="P1250" t="s">
        <v>104</v>
      </c>
      <c r="Q1250">
        <v>18234.21</v>
      </c>
      <c r="R1250">
        <v>-15</v>
      </c>
      <c r="S1250" t="s">
        <v>2895</v>
      </c>
      <c r="T1250" t="s">
        <v>2896</v>
      </c>
      <c r="U1250" t="s">
        <v>2897</v>
      </c>
    </row>
    <row r="1251" spans="1:21">
      <c r="A1251" t="s">
        <v>2645</v>
      </c>
      <c r="B1251" s="7">
        <v>46249</v>
      </c>
      <c r="C1251" s="8">
        <v>0.29621527777777779</v>
      </c>
      <c r="D1251" t="s">
        <v>17</v>
      </c>
      <c r="E1251" t="s">
        <v>2</v>
      </c>
      <c r="F1251" t="s">
        <v>50</v>
      </c>
      <c r="G1251" t="s">
        <v>51</v>
      </c>
      <c r="H1251">
        <v>32.28</v>
      </c>
      <c r="I1251" t="s">
        <v>52</v>
      </c>
      <c r="J1251" t="s">
        <v>81</v>
      </c>
      <c r="K1251" t="s">
        <v>54</v>
      </c>
      <c r="L1251" t="s">
        <v>55</v>
      </c>
      <c r="O1251" t="s">
        <v>82</v>
      </c>
      <c r="P1251" t="s">
        <v>83</v>
      </c>
      <c r="Q1251">
        <v>18158.53</v>
      </c>
      <c r="R1251">
        <v>-32.28</v>
      </c>
      <c r="S1251" t="s">
        <v>2895</v>
      </c>
      <c r="T1251" t="s">
        <v>2896</v>
      </c>
      <c r="U1251" t="s">
        <v>2897</v>
      </c>
    </row>
    <row r="1252" spans="1:21">
      <c r="A1252" t="s">
        <v>2647</v>
      </c>
      <c r="B1252" s="7">
        <v>46249</v>
      </c>
      <c r="C1252" s="8">
        <v>0.51269675925925928</v>
      </c>
      <c r="D1252" t="s">
        <v>17</v>
      </c>
      <c r="E1252" t="s">
        <v>2</v>
      </c>
      <c r="F1252" t="s">
        <v>50</v>
      </c>
      <c r="G1252" t="s">
        <v>51</v>
      </c>
      <c r="H1252">
        <v>69.12</v>
      </c>
      <c r="I1252" t="s">
        <v>52</v>
      </c>
      <c r="J1252" t="s">
        <v>196</v>
      </c>
      <c r="K1252" t="s">
        <v>54</v>
      </c>
      <c r="L1252" t="s">
        <v>55</v>
      </c>
      <c r="O1252" t="s">
        <v>197</v>
      </c>
      <c r="P1252" t="s">
        <v>198</v>
      </c>
      <c r="Q1252">
        <v>18085.099999999999</v>
      </c>
      <c r="R1252">
        <v>-69.12</v>
      </c>
      <c r="S1252" t="s">
        <v>2895</v>
      </c>
      <c r="T1252" t="s">
        <v>2896</v>
      </c>
      <c r="U1252" t="s">
        <v>2897</v>
      </c>
    </row>
    <row r="1253" spans="1:21">
      <c r="A1253" t="s">
        <v>2649</v>
      </c>
      <c r="B1253" s="7">
        <v>46249</v>
      </c>
      <c r="C1253" s="8">
        <v>0.58819444444444446</v>
      </c>
      <c r="D1253" t="s">
        <v>17</v>
      </c>
      <c r="E1253" t="s">
        <v>2</v>
      </c>
      <c r="F1253" t="s">
        <v>50</v>
      </c>
      <c r="G1253" t="s">
        <v>51</v>
      </c>
      <c r="H1253">
        <v>6.09</v>
      </c>
      <c r="I1253" t="s">
        <v>52</v>
      </c>
      <c r="J1253" t="s">
        <v>53</v>
      </c>
      <c r="K1253" t="s">
        <v>54</v>
      </c>
      <c r="L1253" t="s">
        <v>55</v>
      </c>
      <c r="O1253" t="s">
        <v>56</v>
      </c>
      <c r="P1253" t="s">
        <v>57</v>
      </c>
      <c r="Q1253">
        <v>18064.22</v>
      </c>
      <c r="R1253">
        <v>-6.09</v>
      </c>
      <c r="S1253" t="s">
        <v>2895</v>
      </c>
      <c r="T1253" t="s">
        <v>2896</v>
      </c>
      <c r="U1253" t="s">
        <v>2897</v>
      </c>
    </row>
    <row r="1254" spans="1:21">
      <c r="A1254" t="s">
        <v>2651</v>
      </c>
      <c r="B1254" s="7">
        <v>46249</v>
      </c>
      <c r="C1254" s="8">
        <v>0.6534375</v>
      </c>
      <c r="D1254" t="s">
        <v>17</v>
      </c>
      <c r="E1254" t="s">
        <v>2</v>
      </c>
      <c r="F1254" t="s">
        <v>50</v>
      </c>
      <c r="G1254" t="s">
        <v>51</v>
      </c>
      <c r="H1254">
        <v>4.3099999999999996</v>
      </c>
      <c r="I1254" t="s">
        <v>52</v>
      </c>
      <c r="J1254" t="s">
        <v>53</v>
      </c>
      <c r="K1254" t="s">
        <v>54</v>
      </c>
      <c r="L1254" t="s">
        <v>55</v>
      </c>
      <c r="O1254" t="s">
        <v>56</v>
      </c>
      <c r="P1254" t="s">
        <v>57</v>
      </c>
      <c r="Q1254">
        <v>18154.22</v>
      </c>
      <c r="R1254">
        <v>-4.3099999999999996</v>
      </c>
      <c r="S1254" t="s">
        <v>2895</v>
      </c>
      <c r="T1254" t="s">
        <v>2896</v>
      </c>
      <c r="U1254" t="s">
        <v>2897</v>
      </c>
    </row>
    <row r="1255" spans="1:21">
      <c r="A1255" t="s">
        <v>2653</v>
      </c>
      <c r="B1255" s="7">
        <v>46249</v>
      </c>
      <c r="C1255" s="8">
        <v>0.84125000000000005</v>
      </c>
      <c r="D1255" t="s">
        <v>17</v>
      </c>
      <c r="E1255" t="s">
        <v>2</v>
      </c>
      <c r="F1255" t="s">
        <v>149</v>
      </c>
      <c r="G1255" t="s">
        <v>321</v>
      </c>
      <c r="H1255">
        <v>3235.58</v>
      </c>
      <c r="I1255" t="s">
        <v>52</v>
      </c>
      <c r="J1255" t="s">
        <v>9</v>
      </c>
      <c r="K1255" t="s">
        <v>54</v>
      </c>
      <c r="L1255" t="s">
        <v>102</v>
      </c>
      <c r="O1255" t="s">
        <v>322</v>
      </c>
      <c r="P1255" t="s">
        <v>323</v>
      </c>
      <c r="Q1255">
        <v>47924.53</v>
      </c>
      <c r="R1255">
        <v>3235.58</v>
      </c>
      <c r="S1255" t="s">
        <v>2895</v>
      </c>
      <c r="T1255" t="s">
        <v>2896</v>
      </c>
      <c r="U1255" t="s">
        <v>2897</v>
      </c>
    </row>
    <row r="1256" spans="1:21">
      <c r="A1256" t="s">
        <v>2655</v>
      </c>
      <c r="B1256" s="7">
        <v>46249</v>
      </c>
      <c r="C1256" s="8">
        <v>0.86258101851851854</v>
      </c>
      <c r="D1256" t="s">
        <v>17</v>
      </c>
      <c r="E1256" t="s">
        <v>2</v>
      </c>
      <c r="F1256" t="s">
        <v>50</v>
      </c>
      <c r="G1256" t="s">
        <v>100</v>
      </c>
      <c r="H1256">
        <v>14.79</v>
      </c>
      <c r="I1256" t="s">
        <v>52</v>
      </c>
      <c r="J1256" t="s">
        <v>114</v>
      </c>
      <c r="K1256" t="s">
        <v>54</v>
      </c>
      <c r="L1256" t="s">
        <v>102</v>
      </c>
      <c r="O1256" t="s">
        <v>103</v>
      </c>
      <c r="P1256" t="s">
        <v>104</v>
      </c>
      <c r="Q1256">
        <v>18070.310000000001</v>
      </c>
      <c r="R1256">
        <v>-14.79</v>
      </c>
      <c r="S1256" t="s">
        <v>2895</v>
      </c>
      <c r="T1256" t="s">
        <v>2896</v>
      </c>
      <c r="U1256" t="s">
        <v>2897</v>
      </c>
    </row>
    <row r="1257" spans="1:21">
      <c r="A1257" t="s">
        <v>2657</v>
      </c>
      <c r="B1257" s="7">
        <v>46250</v>
      </c>
      <c r="C1257" s="8">
        <v>0.2961111111111111</v>
      </c>
      <c r="D1257" t="s">
        <v>17</v>
      </c>
      <c r="E1257" t="s">
        <v>2</v>
      </c>
      <c r="F1257" t="s">
        <v>50</v>
      </c>
      <c r="G1257" t="s">
        <v>100</v>
      </c>
      <c r="H1257">
        <v>15</v>
      </c>
      <c r="I1257" t="s">
        <v>52</v>
      </c>
      <c r="J1257" t="s">
        <v>101</v>
      </c>
      <c r="K1257" t="s">
        <v>54</v>
      </c>
      <c r="L1257" t="s">
        <v>102</v>
      </c>
      <c r="O1257" t="s">
        <v>103</v>
      </c>
      <c r="P1257" t="s">
        <v>104</v>
      </c>
      <c r="Q1257">
        <v>17892.5</v>
      </c>
      <c r="R1257">
        <v>-15</v>
      </c>
      <c r="S1257" t="s">
        <v>2895</v>
      </c>
      <c r="T1257" t="s">
        <v>2896</v>
      </c>
      <c r="U1257" t="s">
        <v>2897</v>
      </c>
    </row>
    <row r="1258" spans="1:21">
      <c r="A1258" t="s">
        <v>2659</v>
      </c>
      <c r="B1258" s="7">
        <v>46250</v>
      </c>
      <c r="C1258" s="8">
        <v>0.29723379629629632</v>
      </c>
      <c r="D1258" t="s">
        <v>17</v>
      </c>
      <c r="E1258" t="s">
        <v>2</v>
      </c>
      <c r="F1258" t="s">
        <v>50</v>
      </c>
      <c r="G1258" t="s">
        <v>51</v>
      </c>
      <c r="H1258">
        <v>36.11</v>
      </c>
      <c r="I1258" t="s">
        <v>52</v>
      </c>
      <c r="J1258" t="s">
        <v>81</v>
      </c>
      <c r="K1258" t="s">
        <v>54</v>
      </c>
      <c r="L1258" t="s">
        <v>55</v>
      </c>
      <c r="O1258" t="s">
        <v>82</v>
      </c>
      <c r="P1258" t="s">
        <v>83</v>
      </c>
      <c r="Q1258">
        <v>17907.5</v>
      </c>
      <c r="R1258">
        <v>-36.11</v>
      </c>
      <c r="S1258" t="s">
        <v>2895</v>
      </c>
      <c r="T1258" t="s">
        <v>2896</v>
      </c>
      <c r="U1258" t="s">
        <v>2897</v>
      </c>
    </row>
    <row r="1259" spans="1:21">
      <c r="A1259" t="s">
        <v>2661</v>
      </c>
      <c r="B1259" s="7">
        <v>46250</v>
      </c>
      <c r="C1259" s="8">
        <v>0.46133101851851854</v>
      </c>
      <c r="D1259" t="s">
        <v>17</v>
      </c>
      <c r="E1259" t="s">
        <v>2</v>
      </c>
      <c r="F1259" t="s">
        <v>50</v>
      </c>
      <c r="G1259" t="s">
        <v>51</v>
      </c>
      <c r="H1259">
        <v>12.04</v>
      </c>
      <c r="I1259" t="s">
        <v>52</v>
      </c>
      <c r="J1259" t="s">
        <v>53</v>
      </c>
      <c r="K1259" t="s">
        <v>54</v>
      </c>
      <c r="L1259" t="s">
        <v>55</v>
      </c>
      <c r="O1259" t="s">
        <v>56</v>
      </c>
      <c r="P1259" t="s">
        <v>57</v>
      </c>
      <c r="Q1259">
        <v>17943.61</v>
      </c>
      <c r="R1259">
        <v>-12.04</v>
      </c>
      <c r="S1259" t="s">
        <v>2895</v>
      </c>
      <c r="T1259" t="s">
        <v>2896</v>
      </c>
      <c r="U1259" t="s">
        <v>2897</v>
      </c>
    </row>
    <row r="1260" spans="1:21">
      <c r="A1260" t="s">
        <v>2662</v>
      </c>
      <c r="B1260" s="7">
        <v>46250</v>
      </c>
      <c r="C1260" s="8">
        <v>0.67857638888888894</v>
      </c>
      <c r="D1260" t="s">
        <v>17</v>
      </c>
      <c r="E1260" t="s">
        <v>2</v>
      </c>
      <c r="F1260" t="s">
        <v>50</v>
      </c>
      <c r="G1260" t="s">
        <v>51</v>
      </c>
      <c r="H1260">
        <v>108.57</v>
      </c>
      <c r="I1260" t="s">
        <v>52</v>
      </c>
      <c r="J1260" t="s">
        <v>196</v>
      </c>
      <c r="K1260" t="s">
        <v>54</v>
      </c>
      <c r="L1260" t="s">
        <v>55</v>
      </c>
      <c r="O1260" t="s">
        <v>197</v>
      </c>
      <c r="P1260" t="s">
        <v>198</v>
      </c>
      <c r="Q1260">
        <v>17955.650000000001</v>
      </c>
      <c r="R1260">
        <v>-108.57</v>
      </c>
      <c r="S1260" t="s">
        <v>2895</v>
      </c>
      <c r="T1260" t="s">
        <v>2896</v>
      </c>
      <c r="U1260" t="s">
        <v>2897</v>
      </c>
    </row>
    <row r="1261" spans="1:21">
      <c r="A1261" t="s">
        <v>2664</v>
      </c>
      <c r="B1261" s="7">
        <v>46250</v>
      </c>
      <c r="C1261" s="8">
        <v>0.75815972222222228</v>
      </c>
      <c r="D1261" t="s">
        <v>17</v>
      </c>
      <c r="E1261" t="s">
        <v>2</v>
      </c>
      <c r="F1261" t="s">
        <v>50</v>
      </c>
      <c r="G1261" t="s">
        <v>51</v>
      </c>
      <c r="H1261">
        <v>28.94</v>
      </c>
      <c r="I1261" t="s">
        <v>52</v>
      </c>
      <c r="J1261" t="s">
        <v>65</v>
      </c>
      <c r="K1261" t="s">
        <v>54</v>
      </c>
      <c r="L1261" t="s">
        <v>55</v>
      </c>
      <c r="O1261" t="s">
        <v>66</v>
      </c>
      <c r="P1261" t="s">
        <v>67</v>
      </c>
      <c r="Q1261">
        <v>17863.560000000001</v>
      </c>
      <c r="R1261">
        <v>-28.94</v>
      </c>
      <c r="S1261" t="s">
        <v>2895</v>
      </c>
      <c r="T1261" t="s">
        <v>2896</v>
      </c>
      <c r="U1261" t="s">
        <v>2897</v>
      </c>
    </row>
    <row r="1262" spans="1:21">
      <c r="A1262" t="s">
        <v>2666</v>
      </c>
      <c r="B1262" s="7">
        <v>46251</v>
      </c>
      <c r="C1262" s="8">
        <v>0.25312499999999999</v>
      </c>
      <c r="D1262" t="s">
        <v>17</v>
      </c>
      <c r="E1262" t="s">
        <v>2</v>
      </c>
      <c r="F1262" t="s">
        <v>50</v>
      </c>
      <c r="G1262" t="s">
        <v>51</v>
      </c>
      <c r="H1262">
        <v>31.57</v>
      </c>
      <c r="I1262" t="s">
        <v>52</v>
      </c>
      <c r="J1262" t="s">
        <v>81</v>
      </c>
      <c r="K1262" t="s">
        <v>54</v>
      </c>
      <c r="L1262" t="s">
        <v>55</v>
      </c>
      <c r="O1262" t="s">
        <v>82</v>
      </c>
      <c r="P1262" t="s">
        <v>83</v>
      </c>
      <c r="Q1262">
        <v>17676.28</v>
      </c>
      <c r="R1262">
        <v>-31.57</v>
      </c>
      <c r="S1262" t="s">
        <v>2895</v>
      </c>
      <c r="T1262" t="s">
        <v>2896</v>
      </c>
      <c r="U1262" t="s">
        <v>2897</v>
      </c>
    </row>
    <row r="1263" spans="1:21">
      <c r="A1263" t="s">
        <v>2668</v>
      </c>
      <c r="B1263" s="7">
        <v>46251</v>
      </c>
      <c r="C1263" s="8">
        <v>0.39296296296296296</v>
      </c>
      <c r="D1263" t="s">
        <v>17</v>
      </c>
      <c r="E1263" t="s">
        <v>2</v>
      </c>
      <c r="F1263" t="s">
        <v>149</v>
      </c>
      <c r="G1263" t="s">
        <v>72</v>
      </c>
      <c r="H1263">
        <v>40.380000000000003</v>
      </c>
      <c r="I1263" t="s">
        <v>52</v>
      </c>
      <c r="J1263" t="s">
        <v>233</v>
      </c>
      <c r="K1263" t="s">
        <v>54</v>
      </c>
      <c r="L1263" t="s">
        <v>74</v>
      </c>
      <c r="O1263" t="s">
        <v>75</v>
      </c>
      <c r="P1263" t="s">
        <v>76</v>
      </c>
      <c r="Q1263">
        <v>17677.09</v>
      </c>
      <c r="R1263">
        <v>40.380000000000003</v>
      </c>
      <c r="S1263" t="s">
        <v>2895</v>
      </c>
      <c r="T1263" t="s">
        <v>2896</v>
      </c>
      <c r="U1263" t="s">
        <v>2897</v>
      </c>
    </row>
    <row r="1264" spans="1:21">
      <c r="A1264" t="s">
        <v>2670</v>
      </c>
      <c r="B1264" s="7">
        <v>46251</v>
      </c>
      <c r="C1264" s="8">
        <v>0.53180555555555553</v>
      </c>
      <c r="D1264" t="s">
        <v>17</v>
      </c>
      <c r="E1264" t="s">
        <v>2</v>
      </c>
      <c r="F1264" t="s">
        <v>50</v>
      </c>
      <c r="G1264" t="s">
        <v>51</v>
      </c>
      <c r="H1264">
        <v>24.25</v>
      </c>
      <c r="I1264" t="s">
        <v>52</v>
      </c>
      <c r="J1264" t="s">
        <v>81</v>
      </c>
      <c r="K1264" t="s">
        <v>54</v>
      </c>
      <c r="L1264" t="s">
        <v>55</v>
      </c>
      <c r="O1264" t="s">
        <v>82</v>
      </c>
      <c r="P1264" t="s">
        <v>83</v>
      </c>
      <c r="Q1264">
        <v>17839.310000000001</v>
      </c>
      <c r="R1264">
        <v>-24.25</v>
      </c>
      <c r="S1264" t="s">
        <v>2895</v>
      </c>
      <c r="T1264" t="s">
        <v>2896</v>
      </c>
      <c r="U1264" t="s">
        <v>2897</v>
      </c>
    </row>
    <row r="1265" spans="1:21">
      <c r="A1265" t="s">
        <v>2672</v>
      </c>
      <c r="B1265" s="7">
        <v>46251</v>
      </c>
      <c r="C1265" s="8">
        <v>0.62387731481481479</v>
      </c>
      <c r="D1265" t="s">
        <v>17</v>
      </c>
      <c r="E1265" t="s">
        <v>2</v>
      </c>
      <c r="F1265" t="s">
        <v>50</v>
      </c>
      <c r="G1265" t="s">
        <v>51</v>
      </c>
      <c r="H1265">
        <v>37.58</v>
      </c>
      <c r="I1265" t="s">
        <v>52</v>
      </c>
      <c r="J1265" t="s">
        <v>196</v>
      </c>
      <c r="K1265" t="s">
        <v>54</v>
      </c>
      <c r="L1265" t="s">
        <v>55</v>
      </c>
      <c r="O1265" t="s">
        <v>197</v>
      </c>
      <c r="P1265" t="s">
        <v>198</v>
      </c>
      <c r="Q1265">
        <v>17714.330000000002</v>
      </c>
      <c r="R1265">
        <v>-37.58</v>
      </c>
      <c r="S1265" t="s">
        <v>2895</v>
      </c>
      <c r="T1265" t="s">
        <v>2896</v>
      </c>
      <c r="U1265" t="s">
        <v>2897</v>
      </c>
    </row>
    <row r="1266" spans="1:21">
      <c r="A1266" t="s">
        <v>2674</v>
      </c>
      <c r="B1266" s="7">
        <v>46251</v>
      </c>
      <c r="C1266" s="8">
        <v>0.70202546296296298</v>
      </c>
      <c r="D1266" t="s">
        <v>17</v>
      </c>
      <c r="E1266" t="s">
        <v>2</v>
      </c>
      <c r="F1266" t="s">
        <v>50</v>
      </c>
      <c r="G1266" t="s">
        <v>51</v>
      </c>
      <c r="H1266">
        <v>6.48</v>
      </c>
      <c r="I1266" t="s">
        <v>52</v>
      </c>
      <c r="J1266" t="s">
        <v>121</v>
      </c>
      <c r="K1266" t="s">
        <v>54</v>
      </c>
      <c r="L1266" t="s">
        <v>55</v>
      </c>
      <c r="O1266" t="s">
        <v>122</v>
      </c>
      <c r="P1266" t="s">
        <v>123</v>
      </c>
      <c r="Q1266">
        <v>17707.849999999999</v>
      </c>
      <c r="R1266">
        <v>-6.48</v>
      </c>
      <c r="S1266" t="s">
        <v>2895</v>
      </c>
      <c r="T1266" t="s">
        <v>2896</v>
      </c>
      <c r="U1266" t="s">
        <v>2897</v>
      </c>
    </row>
    <row r="1267" spans="1:21">
      <c r="A1267" t="s">
        <v>2676</v>
      </c>
      <c r="B1267" s="7">
        <v>46251</v>
      </c>
      <c r="C1267" s="8">
        <v>0.83783564814814815</v>
      </c>
      <c r="D1267" t="s">
        <v>17</v>
      </c>
      <c r="E1267" t="s">
        <v>2</v>
      </c>
      <c r="F1267" t="s">
        <v>50</v>
      </c>
      <c r="G1267" t="s">
        <v>51</v>
      </c>
      <c r="H1267">
        <v>62.64</v>
      </c>
      <c r="I1267" t="s">
        <v>52</v>
      </c>
      <c r="J1267" t="s">
        <v>60</v>
      </c>
      <c r="K1267" t="s">
        <v>54</v>
      </c>
      <c r="L1267" t="s">
        <v>55</v>
      </c>
      <c r="O1267" t="s">
        <v>61</v>
      </c>
      <c r="P1267" t="s">
        <v>62</v>
      </c>
      <c r="Q1267">
        <v>17765.490000000002</v>
      </c>
      <c r="R1267">
        <v>-62.64</v>
      </c>
      <c r="S1267" t="s">
        <v>2895</v>
      </c>
      <c r="T1267" t="s">
        <v>2896</v>
      </c>
      <c r="U1267" t="s">
        <v>2897</v>
      </c>
    </row>
    <row r="1268" spans="1:21">
      <c r="A1268" t="s">
        <v>2678</v>
      </c>
      <c r="B1268" s="7">
        <v>46251</v>
      </c>
      <c r="C1268" s="8">
        <v>0.85432870370370373</v>
      </c>
      <c r="D1268" t="s">
        <v>17</v>
      </c>
      <c r="E1268" t="s">
        <v>2</v>
      </c>
      <c r="F1268" t="s">
        <v>50</v>
      </c>
      <c r="G1268" t="s">
        <v>51</v>
      </c>
      <c r="H1268">
        <v>13.58</v>
      </c>
      <c r="I1268" t="s">
        <v>52</v>
      </c>
      <c r="J1268" t="s">
        <v>53</v>
      </c>
      <c r="K1268" t="s">
        <v>54</v>
      </c>
      <c r="L1268" t="s">
        <v>55</v>
      </c>
      <c r="O1268" t="s">
        <v>56</v>
      </c>
      <c r="P1268" t="s">
        <v>57</v>
      </c>
      <c r="Q1268">
        <v>17751.91</v>
      </c>
      <c r="R1268">
        <v>-13.58</v>
      </c>
      <c r="S1268" t="s">
        <v>2895</v>
      </c>
      <c r="T1268" t="s">
        <v>2896</v>
      </c>
      <c r="U1268" t="s">
        <v>2897</v>
      </c>
    </row>
    <row r="1269" spans="1:21">
      <c r="A1269" t="s">
        <v>2680</v>
      </c>
      <c r="B1269" s="7">
        <v>46251</v>
      </c>
      <c r="C1269" s="8">
        <v>0.85842592592592593</v>
      </c>
      <c r="D1269" t="s">
        <v>17</v>
      </c>
      <c r="E1269" t="s">
        <v>2</v>
      </c>
      <c r="F1269" t="s">
        <v>50</v>
      </c>
      <c r="G1269" t="s">
        <v>100</v>
      </c>
      <c r="H1269">
        <v>11.18</v>
      </c>
      <c r="I1269" t="s">
        <v>52</v>
      </c>
      <c r="J1269" t="s">
        <v>114</v>
      </c>
      <c r="K1269" t="s">
        <v>54</v>
      </c>
      <c r="L1269" t="s">
        <v>102</v>
      </c>
      <c r="O1269" t="s">
        <v>103</v>
      </c>
      <c r="P1269" t="s">
        <v>104</v>
      </c>
      <c r="Q1269">
        <v>17828.13</v>
      </c>
      <c r="R1269">
        <v>-11.18</v>
      </c>
      <c r="S1269" t="s">
        <v>2895</v>
      </c>
      <c r="T1269" t="s">
        <v>2896</v>
      </c>
      <c r="U1269" t="s">
        <v>2897</v>
      </c>
    </row>
    <row r="1270" spans="1:21">
      <c r="A1270" t="s">
        <v>2682</v>
      </c>
      <c r="B1270" s="7">
        <v>46251</v>
      </c>
      <c r="C1270" s="8">
        <v>0.87094907407407407</v>
      </c>
      <c r="D1270" t="s">
        <v>17</v>
      </c>
      <c r="E1270" t="s">
        <v>2</v>
      </c>
      <c r="F1270" t="s">
        <v>50</v>
      </c>
      <c r="G1270" t="s">
        <v>51</v>
      </c>
      <c r="H1270">
        <v>39.57</v>
      </c>
      <c r="I1270" t="s">
        <v>52</v>
      </c>
      <c r="J1270" t="s">
        <v>60</v>
      </c>
      <c r="K1270" t="s">
        <v>54</v>
      </c>
      <c r="L1270" t="s">
        <v>55</v>
      </c>
      <c r="O1270" t="s">
        <v>61</v>
      </c>
      <c r="P1270" t="s">
        <v>62</v>
      </c>
      <c r="Q1270">
        <v>17636.71</v>
      </c>
      <c r="R1270">
        <v>-39.57</v>
      </c>
      <c r="S1270" t="s">
        <v>2895</v>
      </c>
      <c r="T1270" t="s">
        <v>2896</v>
      </c>
      <c r="U1270" t="s">
        <v>2897</v>
      </c>
    </row>
    <row r="1271" spans="1:21">
      <c r="A1271" t="s">
        <v>2684</v>
      </c>
      <c r="B1271" s="7">
        <v>46252</v>
      </c>
      <c r="C1271" s="8">
        <v>0.36827546296296299</v>
      </c>
      <c r="D1271" t="s">
        <v>17</v>
      </c>
      <c r="E1271" t="s">
        <v>2</v>
      </c>
      <c r="F1271" t="s">
        <v>50</v>
      </c>
      <c r="G1271" t="s">
        <v>51</v>
      </c>
      <c r="H1271">
        <v>36.92</v>
      </c>
      <c r="I1271" t="s">
        <v>52</v>
      </c>
      <c r="J1271" t="s">
        <v>81</v>
      </c>
      <c r="K1271" t="s">
        <v>54</v>
      </c>
      <c r="L1271" t="s">
        <v>55</v>
      </c>
      <c r="O1271" t="s">
        <v>82</v>
      </c>
      <c r="P1271" t="s">
        <v>83</v>
      </c>
      <c r="Q1271">
        <v>17640.169999999998</v>
      </c>
      <c r="R1271">
        <v>-36.92</v>
      </c>
      <c r="S1271" t="s">
        <v>2895</v>
      </c>
      <c r="T1271" t="s">
        <v>2896</v>
      </c>
      <c r="U1271" t="s">
        <v>2897</v>
      </c>
    </row>
    <row r="1272" spans="1:21">
      <c r="A1272" t="s">
        <v>2686</v>
      </c>
      <c r="B1272" s="7">
        <v>46252</v>
      </c>
      <c r="C1272" s="8">
        <v>0.54979166666666668</v>
      </c>
      <c r="D1272" t="s">
        <v>17</v>
      </c>
      <c r="E1272" t="s">
        <v>2</v>
      </c>
      <c r="F1272" t="s">
        <v>50</v>
      </c>
      <c r="G1272" t="s">
        <v>51</v>
      </c>
      <c r="H1272">
        <v>36.32</v>
      </c>
      <c r="I1272" t="s">
        <v>52</v>
      </c>
      <c r="J1272" t="s">
        <v>81</v>
      </c>
      <c r="K1272" t="s">
        <v>54</v>
      </c>
      <c r="L1272" t="s">
        <v>55</v>
      </c>
      <c r="O1272" t="s">
        <v>82</v>
      </c>
      <c r="P1272" t="s">
        <v>83</v>
      </c>
      <c r="Q1272">
        <v>17458.580000000002</v>
      </c>
      <c r="R1272">
        <v>-36.32</v>
      </c>
      <c r="S1272" t="s">
        <v>2895</v>
      </c>
      <c r="T1272" t="s">
        <v>2896</v>
      </c>
      <c r="U1272" t="s">
        <v>2897</v>
      </c>
    </row>
    <row r="1273" spans="1:21">
      <c r="A1273" t="s">
        <v>2688</v>
      </c>
      <c r="B1273" s="7">
        <v>46252</v>
      </c>
      <c r="C1273" s="8">
        <v>0.80253472222222222</v>
      </c>
      <c r="D1273" t="s">
        <v>17</v>
      </c>
      <c r="E1273" t="s">
        <v>2</v>
      </c>
      <c r="F1273" t="s">
        <v>50</v>
      </c>
      <c r="G1273" t="s">
        <v>100</v>
      </c>
      <c r="H1273">
        <v>16.91</v>
      </c>
      <c r="I1273" t="s">
        <v>52</v>
      </c>
      <c r="J1273" t="s">
        <v>114</v>
      </c>
      <c r="K1273" t="s">
        <v>54</v>
      </c>
      <c r="L1273" t="s">
        <v>102</v>
      </c>
      <c r="O1273" t="s">
        <v>103</v>
      </c>
      <c r="P1273" t="s">
        <v>104</v>
      </c>
      <c r="Q1273">
        <v>17623.259999999998</v>
      </c>
      <c r="R1273">
        <v>-16.91</v>
      </c>
      <c r="S1273" t="s">
        <v>2895</v>
      </c>
      <c r="T1273" t="s">
        <v>2896</v>
      </c>
      <c r="U1273" t="s">
        <v>2897</v>
      </c>
    </row>
    <row r="1274" spans="1:21">
      <c r="A1274" t="s">
        <v>2690</v>
      </c>
      <c r="B1274" s="7">
        <v>46252</v>
      </c>
      <c r="C1274" s="8">
        <v>0.82670138888888889</v>
      </c>
      <c r="D1274" t="s">
        <v>17</v>
      </c>
      <c r="E1274" t="s">
        <v>2</v>
      </c>
      <c r="F1274" t="s">
        <v>50</v>
      </c>
      <c r="G1274" t="s">
        <v>51</v>
      </c>
      <c r="H1274">
        <v>18.829999999999998</v>
      </c>
      <c r="I1274" t="s">
        <v>52</v>
      </c>
      <c r="J1274" t="s">
        <v>81</v>
      </c>
      <c r="K1274" t="s">
        <v>54</v>
      </c>
      <c r="L1274" t="s">
        <v>55</v>
      </c>
      <c r="O1274" t="s">
        <v>82</v>
      </c>
      <c r="P1274" t="s">
        <v>83</v>
      </c>
      <c r="Q1274">
        <v>17494.900000000001</v>
      </c>
      <c r="R1274">
        <v>-18.829999999999998</v>
      </c>
      <c r="S1274" t="s">
        <v>2895</v>
      </c>
      <c r="T1274" t="s">
        <v>2896</v>
      </c>
      <c r="U1274" t="s">
        <v>2897</v>
      </c>
    </row>
    <row r="1275" spans="1:21">
      <c r="A1275" t="s">
        <v>2692</v>
      </c>
      <c r="B1275" s="7">
        <v>46252</v>
      </c>
      <c r="C1275" s="8">
        <v>0.89171296296296299</v>
      </c>
      <c r="D1275" t="s">
        <v>17</v>
      </c>
      <c r="E1275" t="s">
        <v>2</v>
      </c>
      <c r="F1275" t="s">
        <v>50</v>
      </c>
      <c r="G1275" t="s">
        <v>51</v>
      </c>
      <c r="H1275">
        <v>109.53</v>
      </c>
      <c r="I1275" t="s">
        <v>52</v>
      </c>
      <c r="J1275" t="s">
        <v>196</v>
      </c>
      <c r="K1275" t="s">
        <v>54</v>
      </c>
      <c r="L1275" t="s">
        <v>55</v>
      </c>
      <c r="O1275" t="s">
        <v>197</v>
      </c>
      <c r="P1275" t="s">
        <v>198</v>
      </c>
      <c r="Q1275">
        <v>17513.73</v>
      </c>
      <c r="R1275">
        <v>-109.53</v>
      </c>
      <c r="S1275" t="s">
        <v>2895</v>
      </c>
      <c r="T1275" t="s">
        <v>2896</v>
      </c>
      <c r="U1275" t="s">
        <v>2897</v>
      </c>
    </row>
    <row r="1276" spans="1:21">
      <c r="A1276" t="s">
        <v>2694</v>
      </c>
      <c r="B1276" s="7">
        <v>46253</v>
      </c>
      <c r="C1276" s="8">
        <v>0.4365046296296296</v>
      </c>
      <c r="D1276" t="s">
        <v>17</v>
      </c>
      <c r="E1276" t="s">
        <v>2</v>
      </c>
      <c r="F1276" t="s">
        <v>50</v>
      </c>
      <c r="G1276" t="s">
        <v>51</v>
      </c>
      <c r="H1276">
        <v>114.15</v>
      </c>
      <c r="I1276" t="s">
        <v>52</v>
      </c>
      <c r="J1276" t="s">
        <v>65</v>
      </c>
      <c r="K1276" t="s">
        <v>54</v>
      </c>
      <c r="L1276" t="s">
        <v>55</v>
      </c>
      <c r="O1276" t="s">
        <v>66</v>
      </c>
      <c r="P1276" t="s">
        <v>67</v>
      </c>
      <c r="Q1276">
        <v>17148.310000000001</v>
      </c>
      <c r="R1276">
        <v>-114.15</v>
      </c>
      <c r="S1276" t="s">
        <v>2895</v>
      </c>
      <c r="T1276" t="s">
        <v>2896</v>
      </c>
      <c r="U1276" t="s">
        <v>2897</v>
      </c>
    </row>
    <row r="1277" spans="1:21">
      <c r="A1277" t="s">
        <v>2696</v>
      </c>
      <c r="B1277" s="7">
        <v>46253</v>
      </c>
      <c r="C1277" s="8">
        <v>0.45598379629629632</v>
      </c>
      <c r="D1277" t="s">
        <v>17</v>
      </c>
      <c r="E1277" t="s">
        <v>2</v>
      </c>
      <c r="F1277" t="s">
        <v>50</v>
      </c>
      <c r="G1277" t="s">
        <v>51</v>
      </c>
      <c r="H1277">
        <v>29.5</v>
      </c>
      <c r="I1277" t="s">
        <v>52</v>
      </c>
      <c r="J1277" t="s">
        <v>65</v>
      </c>
      <c r="K1277" t="s">
        <v>54</v>
      </c>
      <c r="L1277" t="s">
        <v>55</v>
      </c>
      <c r="O1277" t="s">
        <v>66</v>
      </c>
      <c r="P1277" t="s">
        <v>67</v>
      </c>
      <c r="Q1277">
        <v>17262.46</v>
      </c>
      <c r="R1277">
        <v>-29.5</v>
      </c>
      <c r="S1277" t="s">
        <v>2895</v>
      </c>
      <c r="T1277" t="s">
        <v>2896</v>
      </c>
      <c r="U1277" t="s">
        <v>2897</v>
      </c>
    </row>
    <row r="1278" spans="1:21">
      <c r="A1278" t="s">
        <v>2698</v>
      </c>
      <c r="B1278" s="7">
        <v>46253</v>
      </c>
      <c r="C1278" s="8">
        <v>0.47181712962962963</v>
      </c>
      <c r="D1278" t="s">
        <v>17</v>
      </c>
      <c r="E1278" t="s">
        <v>2</v>
      </c>
      <c r="F1278" t="s">
        <v>50</v>
      </c>
      <c r="G1278" t="s">
        <v>51</v>
      </c>
      <c r="H1278">
        <v>63.1</v>
      </c>
      <c r="I1278" t="s">
        <v>52</v>
      </c>
      <c r="J1278" t="s">
        <v>60</v>
      </c>
      <c r="K1278" t="s">
        <v>54</v>
      </c>
      <c r="L1278" t="s">
        <v>55</v>
      </c>
      <c r="O1278" t="s">
        <v>61</v>
      </c>
      <c r="P1278" t="s">
        <v>62</v>
      </c>
      <c r="Q1278">
        <v>17343.87</v>
      </c>
      <c r="R1278">
        <v>-63.1</v>
      </c>
      <c r="S1278" t="s">
        <v>2895</v>
      </c>
      <c r="T1278" t="s">
        <v>2896</v>
      </c>
      <c r="U1278" t="s">
        <v>2897</v>
      </c>
    </row>
    <row r="1279" spans="1:21">
      <c r="A1279" t="s">
        <v>2700</v>
      </c>
      <c r="B1279" s="7">
        <v>46253</v>
      </c>
      <c r="C1279" s="8">
        <v>0.627349537037037</v>
      </c>
      <c r="D1279" t="s">
        <v>17</v>
      </c>
      <c r="E1279" t="s">
        <v>2</v>
      </c>
      <c r="F1279" t="s">
        <v>50</v>
      </c>
      <c r="G1279" t="s">
        <v>72</v>
      </c>
      <c r="H1279">
        <v>40.409999999999997</v>
      </c>
      <c r="I1279" t="s">
        <v>52</v>
      </c>
      <c r="J1279" t="s">
        <v>606</v>
      </c>
      <c r="K1279" t="s">
        <v>54</v>
      </c>
      <c r="L1279" t="s">
        <v>74</v>
      </c>
      <c r="O1279" t="s">
        <v>75</v>
      </c>
      <c r="P1279" t="s">
        <v>76</v>
      </c>
      <c r="Q1279">
        <v>17058.21</v>
      </c>
      <c r="R1279">
        <v>-40.409999999999997</v>
      </c>
      <c r="S1279" t="s">
        <v>2895</v>
      </c>
      <c r="T1279" t="s">
        <v>2896</v>
      </c>
      <c r="U1279" t="s">
        <v>2897</v>
      </c>
    </row>
    <row r="1280" spans="1:21">
      <c r="A1280" t="s">
        <v>2702</v>
      </c>
      <c r="B1280" s="7">
        <v>46253</v>
      </c>
      <c r="C1280" s="8">
        <v>0.66596064814814815</v>
      </c>
      <c r="D1280" t="s">
        <v>17</v>
      </c>
      <c r="E1280" t="s">
        <v>2</v>
      </c>
      <c r="F1280" t="s">
        <v>50</v>
      </c>
      <c r="G1280" t="s">
        <v>51</v>
      </c>
      <c r="H1280">
        <v>23.59</v>
      </c>
      <c r="I1280" t="s">
        <v>52</v>
      </c>
      <c r="J1280" t="s">
        <v>81</v>
      </c>
      <c r="K1280" t="s">
        <v>54</v>
      </c>
      <c r="L1280" t="s">
        <v>55</v>
      </c>
      <c r="O1280" t="s">
        <v>82</v>
      </c>
      <c r="P1280" t="s">
        <v>83</v>
      </c>
      <c r="Q1280">
        <v>17115.259999999998</v>
      </c>
      <c r="R1280">
        <v>-23.59</v>
      </c>
      <c r="S1280" t="s">
        <v>2895</v>
      </c>
      <c r="T1280" t="s">
        <v>2896</v>
      </c>
      <c r="U1280" t="s">
        <v>2897</v>
      </c>
    </row>
    <row r="1281" spans="1:21">
      <c r="A1281" t="s">
        <v>2704</v>
      </c>
      <c r="B1281" s="7">
        <v>46253</v>
      </c>
      <c r="C1281" s="8">
        <v>0.71223379629629635</v>
      </c>
      <c r="D1281" t="s">
        <v>17</v>
      </c>
      <c r="E1281" t="s">
        <v>2</v>
      </c>
      <c r="F1281" t="s">
        <v>50</v>
      </c>
      <c r="G1281" t="s">
        <v>51</v>
      </c>
      <c r="H1281">
        <v>16.64</v>
      </c>
      <c r="I1281" t="s">
        <v>52</v>
      </c>
      <c r="J1281" t="s">
        <v>121</v>
      </c>
      <c r="K1281" t="s">
        <v>54</v>
      </c>
      <c r="L1281" t="s">
        <v>55</v>
      </c>
      <c r="O1281" t="s">
        <v>122</v>
      </c>
      <c r="P1281" t="s">
        <v>123</v>
      </c>
      <c r="Q1281">
        <v>17098.62</v>
      </c>
      <c r="R1281">
        <v>-16.64</v>
      </c>
      <c r="S1281" t="s">
        <v>2895</v>
      </c>
      <c r="T1281" t="s">
        <v>2896</v>
      </c>
      <c r="U1281" t="s">
        <v>2897</v>
      </c>
    </row>
    <row r="1282" spans="1:21">
      <c r="A1282" t="s">
        <v>2706</v>
      </c>
      <c r="B1282" s="7">
        <v>46253</v>
      </c>
      <c r="C1282" s="8">
        <v>0.76424768518518515</v>
      </c>
      <c r="D1282" t="s">
        <v>17</v>
      </c>
      <c r="E1282" t="s">
        <v>2</v>
      </c>
      <c r="F1282" t="s">
        <v>50</v>
      </c>
      <c r="G1282" t="s">
        <v>51</v>
      </c>
      <c r="H1282">
        <v>51.91</v>
      </c>
      <c r="I1282" t="s">
        <v>52</v>
      </c>
      <c r="J1282" t="s">
        <v>60</v>
      </c>
      <c r="K1282" t="s">
        <v>54</v>
      </c>
      <c r="L1282" t="s">
        <v>55</v>
      </c>
      <c r="O1282" t="s">
        <v>61</v>
      </c>
      <c r="P1282" t="s">
        <v>62</v>
      </c>
      <c r="Q1282">
        <v>17291.96</v>
      </c>
      <c r="R1282">
        <v>-51.91</v>
      </c>
      <c r="S1282" t="s">
        <v>2895</v>
      </c>
      <c r="T1282" t="s">
        <v>2896</v>
      </c>
      <c r="U1282" t="s">
        <v>2897</v>
      </c>
    </row>
    <row r="1283" spans="1:21">
      <c r="A1283" t="s">
        <v>2708</v>
      </c>
      <c r="B1283" s="7">
        <v>46253</v>
      </c>
      <c r="C1283" s="8">
        <v>0.84181712962962962</v>
      </c>
      <c r="D1283" t="s">
        <v>17</v>
      </c>
      <c r="E1283" t="s">
        <v>2</v>
      </c>
      <c r="F1283" t="s">
        <v>50</v>
      </c>
      <c r="G1283" t="s">
        <v>51</v>
      </c>
      <c r="H1283">
        <v>9.4600000000000009</v>
      </c>
      <c r="I1283" t="s">
        <v>52</v>
      </c>
      <c r="J1283" t="s">
        <v>53</v>
      </c>
      <c r="K1283" t="s">
        <v>54</v>
      </c>
      <c r="L1283" t="s">
        <v>55</v>
      </c>
      <c r="O1283" t="s">
        <v>56</v>
      </c>
      <c r="P1283" t="s">
        <v>57</v>
      </c>
      <c r="Q1283">
        <v>17138.849999999999</v>
      </c>
      <c r="R1283">
        <v>-9.4600000000000009</v>
      </c>
      <c r="S1283" t="s">
        <v>2895</v>
      </c>
      <c r="T1283" t="s">
        <v>2896</v>
      </c>
      <c r="U1283" t="s">
        <v>2897</v>
      </c>
    </row>
    <row r="1284" spans="1:21">
      <c r="A1284" t="s">
        <v>2710</v>
      </c>
      <c r="B1284" s="7">
        <v>46253</v>
      </c>
      <c r="C1284" s="8">
        <v>0.84762731481481479</v>
      </c>
      <c r="D1284" t="s">
        <v>17</v>
      </c>
      <c r="E1284" t="s">
        <v>2</v>
      </c>
      <c r="F1284" t="s">
        <v>50</v>
      </c>
      <c r="G1284" t="s">
        <v>51</v>
      </c>
      <c r="H1284">
        <v>51.61</v>
      </c>
      <c r="I1284" t="s">
        <v>52</v>
      </c>
      <c r="J1284" t="s">
        <v>60</v>
      </c>
      <c r="K1284" t="s">
        <v>54</v>
      </c>
      <c r="L1284" t="s">
        <v>55</v>
      </c>
      <c r="O1284" t="s">
        <v>61</v>
      </c>
      <c r="P1284" t="s">
        <v>62</v>
      </c>
      <c r="Q1284">
        <v>17406.97</v>
      </c>
      <c r="R1284">
        <v>-51.61</v>
      </c>
      <c r="S1284" t="s">
        <v>2895</v>
      </c>
      <c r="T1284" t="s">
        <v>2896</v>
      </c>
      <c r="U1284" t="s">
        <v>2897</v>
      </c>
    </row>
    <row r="1285" spans="1:21">
      <c r="A1285" t="s">
        <v>2712</v>
      </c>
      <c r="B1285" s="7">
        <v>46254</v>
      </c>
      <c r="C1285" s="8">
        <v>0.36181712962962964</v>
      </c>
      <c r="D1285" t="s">
        <v>17</v>
      </c>
      <c r="E1285" t="s">
        <v>2</v>
      </c>
      <c r="F1285" t="s">
        <v>149</v>
      </c>
      <c r="G1285" t="s">
        <v>72</v>
      </c>
      <c r="H1285">
        <v>41.48</v>
      </c>
      <c r="I1285" t="s">
        <v>52</v>
      </c>
      <c r="J1285" t="s">
        <v>316</v>
      </c>
      <c r="K1285" t="s">
        <v>54</v>
      </c>
      <c r="L1285" t="s">
        <v>74</v>
      </c>
      <c r="O1285" t="s">
        <v>75</v>
      </c>
      <c r="P1285" t="s">
        <v>76</v>
      </c>
      <c r="Q1285">
        <v>16837.13</v>
      </c>
      <c r="R1285">
        <v>41.48</v>
      </c>
      <c r="S1285" t="s">
        <v>2895</v>
      </c>
      <c r="T1285" t="s">
        <v>2896</v>
      </c>
      <c r="U1285" t="s">
        <v>2897</v>
      </c>
    </row>
    <row r="1286" spans="1:21">
      <c r="A1286" t="s">
        <v>2714</v>
      </c>
      <c r="B1286" s="7">
        <v>46254</v>
      </c>
      <c r="C1286" s="8">
        <v>0.47925925925925927</v>
      </c>
      <c r="D1286" t="s">
        <v>17</v>
      </c>
      <c r="E1286" t="s">
        <v>2</v>
      </c>
      <c r="F1286" t="s">
        <v>50</v>
      </c>
      <c r="G1286" t="s">
        <v>51</v>
      </c>
      <c r="H1286">
        <v>13.36</v>
      </c>
      <c r="I1286" t="s">
        <v>52</v>
      </c>
      <c r="J1286" t="s">
        <v>121</v>
      </c>
      <c r="K1286" t="s">
        <v>54</v>
      </c>
      <c r="L1286" t="s">
        <v>55</v>
      </c>
      <c r="O1286" t="s">
        <v>122</v>
      </c>
      <c r="P1286" t="s">
        <v>123</v>
      </c>
      <c r="Q1286">
        <v>16906.52</v>
      </c>
      <c r="R1286">
        <v>-13.36</v>
      </c>
      <c r="S1286" t="s">
        <v>2895</v>
      </c>
      <c r="T1286" t="s">
        <v>2896</v>
      </c>
      <c r="U1286" t="s">
        <v>2897</v>
      </c>
    </row>
    <row r="1287" spans="1:21">
      <c r="A1287" t="s">
        <v>2716</v>
      </c>
      <c r="B1287" s="7">
        <v>46254</v>
      </c>
      <c r="C1287" s="8">
        <v>0.53521990740740744</v>
      </c>
      <c r="D1287" t="s">
        <v>17</v>
      </c>
      <c r="E1287" t="s">
        <v>2</v>
      </c>
      <c r="F1287" t="s">
        <v>50</v>
      </c>
      <c r="G1287" t="s">
        <v>100</v>
      </c>
      <c r="H1287">
        <v>89.99</v>
      </c>
      <c r="I1287" t="s">
        <v>52</v>
      </c>
      <c r="J1287" t="s">
        <v>384</v>
      </c>
      <c r="K1287" t="s">
        <v>54</v>
      </c>
      <c r="L1287" t="s">
        <v>102</v>
      </c>
      <c r="O1287" t="s">
        <v>178</v>
      </c>
      <c r="P1287" t="s">
        <v>385</v>
      </c>
      <c r="Q1287">
        <v>38083.61</v>
      </c>
      <c r="R1287">
        <v>-89.99</v>
      </c>
      <c r="S1287" t="s">
        <v>2895</v>
      </c>
      <c r="T1287" t="s">
        <v>2896</v>
      </c>
      <c r="U1287" t="s">
        <v>2897</v>
      </c>
    </row>
    <row r="1288" spans="1:21">
      <c r="A1288" t="s">
        <v>2718</v>
      </c>
      <c r="B1288" s="7">
        <v>46254</v>
      </c>
      <c r="C1288" s="8">
        <v>0.56092592592592594</v>
      </c>
      <c r="D1288" t="s">
        <v>17</v>
      </c>
      <c r="E1288" t="s">
        <v>2</v>
      </c>
      <c r="F1288" t="s">
        <v>50</v>
      </c>
      <c r="G1288" t="s">
        <v>51</v>
      </c>
      <c r="H1288">
        <v>16.12</v>
      </c>
      <c r="I1288" t="s">
        <v>52</v>
      </c>
      <c r="J1288" t="s">
        <v>53</v>
      </c>
      <c r="K1288" t="s">
        <v>54</v>
      </c>
      <c r="L1288" t="s">
        <v>55</v>
      </c>
      <c r="O1288" t="s">
        <v>56</v>
      </c>
      <c r="P1288" t="s">
        <v>57</v>
      </c>
      <c r="Q1288">
        <v>16934.759999999998</v>
      </c>
      <c r="R1288">
        <v>-16.12</v>
      </c>
      <c r="S1288" t="s">
        <v>2895</v>
      </c>
      <c r="T1288" t="s">
        <v>2896</v>
      </c>
      <c r="U1288" t="s">
        <v>2897</v>
      </c>
    </row>
    <row r="1289" spans="1:21">
      <c r="A1289" t="s">
        <v>2720</v>
      </c>
      <c r="B1289" s="7">
        <v>46254</v>
      </c>
      <c r="C1289" s="8">
        <v>0.71383101851851849</v>
      </c>
      <c r="D1289" t="s">
        <v>17</v>
      </c>
      <c r="E1289" t="s">
        <v>2</v>
      </c>
      <c r="F1289" t="s">
        <v>50</v>
      </c>
      <c r="G1289" t="s">
        <v>51</v>
      </c>
      <c r="H1289">
        <v>107.33</v>
      </c>
      <c r="I1289" t="s">
        <v>52</v>
      </c>
      <c r="J1289" t="s">
        <v>65</v>
      </c>
      <c r="K1289" t="s">
        <v>54</v>
      </c>
      <c r="L1289" t="s">
        <v>55</v>
      </c>
      <c r="O1289" t="s">
        <v>66</v>
      </c>
      <c r="P1289" t="s">
        <v>67</v>
      </c>
      <c r="Q1289">
        <v>16950.88</v>
      </c>
      <c r="R1289">
        <v>-107.33</v>
      </c>
      <c r="S1289" t="s">
        <v>2895</v>
      </c>
      <c r="T1289" t="s">
        <v>2896</v>
      </c>
      <c r="U1289" t="s">
        <v>2897</v>
      </c>
    </row>
    <row r="1290" spans="1:21">
      <c r="A1290" t="s">
        <v>2722</v>
      </c>
      <c r="B1290" s="7">
        <v>46254</v>
      </c>
      <c r="C1290" s="8">
        <v>0.74543981481481481</v>
      </c>
      <c r="D1290" t="s">
        <v>17</v>
      </c>
      <c r="E1290" t="s">
        <v>2</v>
      </c>
      <c r="F1290" t="s">
        <v>50</v>
      </c>
      <c r="G1290" t="s">
        <v>51</v>
      </c>
      <c r="H1290">
        <v>110.87</v>
      </c>
      <c r="I1290" t="s">
        <v>52</v>
      </c>
      <c r="J1290" t="s">
        <v>196</v>
      </c>
      <c r="K1290" t="s">
        <v>54</v>
      </c>
      <c r="L1290" t="s">
        <v>55</v>
      </c>
      <c r="O1290" t="s">
        <v>197</v>
      </c>
      <c r="P1290" t="s">
        <v>198</v>
      </c>
      <c r="Q1290">
        <v>16795.650000000001</v>
      </c>
      <c r="R1290">
        <v>-110.87</v>
      </c>
      <c r="S1290" t="s">
        <v>2895</v>
      </c>
      <c r="T1290" t="s">
        <v>2896</v>
      </c>
      <c r="U1290" t="s">
        <v>2897</v>
      </c>
    </row>
    <row r="1291" spans="1:21">
      <c r="A1291" t="s">
        <v>2724</v>
      </c>
      <c r="B1291" s="7">
        <v>46254</v>
      </c>
      <c r="C1291" s="8">
        <v>0.76763888888888887</v>
      </c>
      <c r="D1291" t="s">
        <v>17</v>
      </c>
      <c r="E1291" t="s">
        <v>2</v>
      </c>
      <c r="F1291" t="s">
        <v>50</v>
      </c>
      <c r="G1291" t="s">
        <v>51</v>
      </c>
      <c r="H1291">
        <v>14.88</v>
      </c>
      <c r="I1291" t="s">
        <v>52</v>
      </c>
      <c r="J1291" t="s">
        <v>121</v>
      </c>
      <c r="K1291" t="s">
        <v>54</v>
      </c>
      <c r="L1291" t="s">
        <v>55</v>
      </c>
      <c r="O1291" t="s">
        <v>122</v>
      </c>
      <c r="P1291" t="s">
        <v>123</v>
      </c>
      <c r="Q1291">
        <v>16919.88</v>
      </c>
      <c r="R1291">
        <v>-14.88</v>
      </c>
      <c r="S1291" t="s">
        <v>2895</v>
      </c>
      <c r="T1291" t="s">
        <v>2896</v>
      </c>
      <c r="U1291" t="s">
        <v>2897</v>
      </c>
    </row>
    <row r="1292" spans="1:21">
      <c r="A1292" t="s">
        <v>2726</v>
      </c>
      <c r="B1292" s="7">
        <v>46255</v>
      </c>
      <c r="C1292" s="8">
        <v>0.27535879629629628</v>
      </c>
      <c r="D1292" t="s">
        <v>17</v>
      </c>
      <c r="E1292" t="s">
        <v>2</v>
      </c>
      <c r="F1292" t="s">
        <v>50</v>
      </c>
      <c r="G1292" t="s">
        <v>51</v>
      </c>
      <c r="H1292">
        <v>45.07</v>
      </c>
      <c r="I1292" t="s">
        <v>52</v>
      </c>
      <c r="J1292" t="s">
        <v>196</v>
      </c>
      <c r="K1292" t="s">
        <v>54</v>
      </c>
      <c r="L1292" t="s">
        <v>55</v>
      </c>
      <c r="O1292" t="s">
        <v>197</v>
      </c>
      <c r="P1292" t="s">
        <v>198</v>
      </c>
      <c r="Q1292">
        <v>16736.2</v>
      </c>
      <c r="R1292">
        <v>-45.07</v>
      </c>
      <c r="S1292" t="s">
        <v>2895</v>
      </c>
      <c r="T1292" t="s">
        <v>2896</v>
      </c>
      <c r="U1292" t="s">
        <v>2897</v>
      </c>
    </row>
    <row r="1293" spans="1:21">
      <c r="A1293" t="s">
        <v>2728</v>
      </c>
      <c r="B1293" s="7">
        <v>46255</v>
      </c>
      <c r="C1293" s="8">
        <v>0.29347222222222225</v>
      </c>
      <c r="D1293" t="s">
        <v>17</v>
      </c>
      <c r="E1293" t="s">
        <v>2</v>
      </c>
      <c r="F1293" t="s">
        <v>50</v>
      </c>
      <c r="G1293" t="s">
        <v>100</v>
      </c>
      <c r="H1293">
        <v>18.649999999999999</v>
      </c>
      <c r="I1293" t="s">
        <v>52</v>
      </c>
      <c r="J1293" t="s">
        <v>114</v>
      </c>
      <c r="K1293" t="s">
        <v>54</v>
      </c>
      <c r="L1293" t="s">
        <v>102</v>
      </c>
      <c r="O1293" t="s">
        <v>103</v>
      </c>
      <c r="P1293" t="s">
        <v>104</v>
      </c>
      <c r="Q1293">
        <v>16578.79</v>
      </c>
      <c r="R1293">
        <v>-18.649999999999999</v>
      </c>
      <c r="S1293" t="s">
        <v>2895</v>
      </c>
      <c r="T1293" t="s">
        <v>2896</v>
      </c>
      <c r="U1293" t="s">
        <v>2897</v>
      </c>
    </row>
    <row r="1294" spans="1:21">
      <c r="A1294" t="s">
        <v>2730</v>
      </c>
      <c r="B1294" s="7">
        <v>46255</v>
      </c>
      <c r="C1294" s="8">
        <v>0.40104166666666669</v>
      </c>
      <c r="D1294" t="s">
        <v>17</v>
      </c>
      <c r="E1294" t="s">
        <v>2</v>
      </c>
      <c r="F1294" t="s">
        <v>50</v>
      </c>
      <c r="G1294" t="s">
        <v>100</v>
      </c>
      <c r="H1294">
        <v>15</v>
      </c>
      <c r="I1294" t="s">
        <v>52</v>
      </c>
      <c r="J1294" t="s">
        <v>101</v>
      </c>
      <c r="K1294" t="s">
        <v>54</v>
      </c>
      <c r="L1294" t="s">
        <v>102</v>
      </c>
      <c r="O1294" t="s">
        <v>103</v>
      </c>
      <c r="P1294" t="s">
        <v>104</v>
      </c>
      <c r="Q1294">
        <v>16563.79</v>
      </c>
      <c r="R1294">
        <v>-15</v>
      </c>
      <c r="S1294" t="s">
        <v>2895</v>
      </c>
      <c r="T1294" t="s">
        <v>2896</v>
      </c>
      <c r="U1294" t="s">
        <v>2897</v>
      </c>
    </row>
    <row r="1295" spans="1:21">
      <c r="A1295" t="s">
        <v>2732</v>
      </c>
      <c r="B1295" s="7">
        <v>46255</v>
      </c>
      <c r="C1295" s="8">
        <v>0.42023148148148148</v>
      </c>
      <c r="D1295" t="s">
        <v>17</v>
      </c>
      <c r="E1295" t="s">
        <v>2</v>
      </c>
      <c r="F1295" t="s">
        <v>50</v>
      </c>
      <c r="G1295" t="s">
        <v>51</v>
      </c>
      <c r="H1295">
        <v>21.52</v>
      </c>
      <c r="I1295" t="s">
        <v>52</v>
      </c>
      <c r="J1295" t="s">
        <v>121</v>
      </c>
      <c r="K1295" t="s">
        <v>54</v>
      </c>
      <c r="L1295" t="s">
        <v>55</v>
      </c>
      <c r="O1295" t="s">
        <v>122</v>
      </c>
      <c r="P1295" t="s">
        <v>123</v>
      </c>
      <c r="Q1295">
        <v>16815.61</v>
      </c>
      <c r="R1295">
        <v>-21.52</v>
      </c>
      <c r="S1295" t="s">
        <v>2895</v>
      </c>
      <c r="T1295" t="s">
        <v>2896</v>
      </c>
      <c r="U1295" t="s">
        <v>2897</v>
      </c>
    </row>
    <row r="1296" spans="1:21">
      <c r="A1296" t="s">
        <v>2734</v>
      </c>
      <c r="B1296" s="7">
        <v>46255</v>
      </c>
      <c r="C1296" s="8">
        <v>0.60207175925925926</v>
      </c>
      <c r="D1296" t="s">
        <v>17</v>
      </c>
      <c r="E1296" t="s">
        <v>2</v>
      </c>
      <c r="F1296" t="s">
        <v>50</v>
      </c>
      <c r="G1296" t="s">
        <v>51</v>
      </c>
      <c r="H1296">
        <v>138.76</v>
      </c>
      <c r="I1296" t="s">
        <v>52</v>
      </c>
      <c r="J1296" t="s">
        <v>196</v>
      </c>
      <c r="K1296" t="s">
        <v>54</v>
      </c>
      <c r="L1296" t="s">
        <v>55</v>
      </c>
      <c r="O1296" t="s">
        <v>197</v>
      </c>
      <c r="P1296" t="s">
        <v>198</v>
      </c>
      <c r="Q1296">
        <v>16597.439999999999</v>
      </c>
      <c r="R1296">
        <v>-138.76</v>
      </c>
      <c r="S1296" t="s">
        <v>2895</v>
      </c>
      <c r="T1296" t="s">
        <v>2896</v>
      </c>
      <c r="U1296" t="s">
        <v>2897</v>
      </c>
    </row>
    <row r="1297" spans="1:21">
      <c r="A1297" t="s">
        <v>2736</v>
      </c>
      <c r="B1297" s="7">
        <v>46255</v>
      </c>
      <c r="C1297" s="8">
        <v>0.81887731481481485</v>
      </c>
      <c r="D1297" t="s">
        <v>17</v>
      </c>
      <c r="E1297" t="s">
        <v>2</v>
      </c>
      <c r="F1297" t="s">
        <v>50</v>
      </c>
      <c r="G1297" t="s">
        <v>51</v>
      </c>
      <c r="H1297">
        <v>19.34</v>
      </c>
      <c r="I1297" t="s">
        <v>52</v>
      </c>
      <c r="J1297" t="s">
        <v>121</v>
      </c>
      <c r="K1297" t="s">
        <v>54</v>
      </c>
      <c r="L1297" t="s">
        <v>55</v>
      </c>
      <c r="O1297" t="s">
        <v>122</v>
      </c>
      <c r="P1297" t="s">
        <v>123</v>
      </c>
      <c r="Q1297">
        <v>16796.27</v>
      </c>
      <c r="R1297">
        <v>-19.34</v>
      </c>
      <c r="S1297" t="s">
        <v>2895</v>
      </c>
      <c r="T1297" t="s">
        <v>2896</v>
      </c>
      <c r="U1297" t="s">
        <v>2897</v>
      </c>
    </row>
    <row r="1298" spans="1:21">
      <c r="A1298" t="s">
        <v>2738</v>
      </c>
      <c r="B1298" s="7">
        <v>46255</v>
      </c>
      <c r="C1298" s="8">
        <v>0.85025462962962961</v>
      </c>
      <c r="D1298" t="s">
        <v>17</v>
      </c>
      <c r="E1298" t="s">
        <v>2</v>
      </c>
      <c r="F1298" t="s">
        <v>50</v>
      </c>
      <c r="G1298" t="s">
        <v>100</v>
      </c>
      <c r="H1298">
        <v>15</v>
      </c>
      <c r="I1298" t="s">
        <v>52</v>
      </c>
      <c r="J1298" t="s">
        <v>101</v>
      </c>
      <c r="K1298" t="s">
        <v>54</v>
      </c>
      <c r="L1298" t="s">
        <v>102</v>
      </c>
      <c r="O1298" t="s">
        <v>103</v>
      </c>
      <c r="P1298" t="s">
        <v>104</v>
      </c>
      <c r="Q1298">
        <v>16781.27</v>
      </c>
      <c r="R1298">
        <v>-15</v>
      </c>
      <c r="S1298" t="s">
        <v>2895</v>
      </c>
      <c r="T1298" t="s">
        <v>2896</v>
      </c>
      <c r="U1298" t="s">
        <v>2897</v>
      </c>
    </row>
    <row r="1299" spans="1:21">
      <c r="A1299" t="s">
        <v>2740</v>
      </c>
      <c r="B1299" s="7">
        <v>46255</v>
      </c>
      <c r="C1299" s="8">
        <v>0.95472222222222225</v>
      </c>
      <c r="D1299" t="s">
        <v>17</v>
      </c>
      <c r="E1299" t="s">
        <v>2</v>
      </c>
      <c r="F1299" t="s">
        <v>50</v>
      </c>
      <c r="G1299" t="s">
        <v>51</v>
      </c>
      <c r="H1299">
        <v>29.1</v>
      </c>
      <c r="I1299" t="s">
        <v>52</v>
      </c>
      <c r="J1299" t="s">
        <v>60</v>
      </c>
      <c r="K1299" t="s">
        <v>54</v>
      </c>
      <c r="L1299" t="s">
        <v>55</v>
      </c>
      <c r="O1299" t="s">
        <v>61</v>
      </c>
      <c r="P1299" t="s">
        <v>62</v>
      </c>
      <c r="Q1299">
        <v>16534.689999999999</v>
      </c>
      <c r="R1299">
        <v>-29.1</v>
      </c>
      <c r="S1299" t="s">
        <v>2895</v>
      </c>
      <c r="T1299" t="s">
        <v>2896</v>
      </c>
      <c r="U1299" t="s">
        <v>2897</v>
      </c>
    </row>
    <row r="1300" spans="1:21">
      <c r="A1300" t="s">
        <v>2742</v>
      </c>
      <c r="B1300" s="7">
        <v>46256</v>
      </c>
      <c r="C1300" s="8">
        <v>0.2711689814814815</v>
      </c>
      <c r="D1300" t="s">
        <v>17</v>
      </c>
      <c r="E1300" t="s">
        <v>2</v>
      </c>
      <c r="F1300" t="s">
        <v>50</v>
      </c>
      <c r="G1300" t="s">
        <v>51</v>
      </c>
      <c r="H1300">
        <v>35.82</v>
      </c>
      <c r="I1300" t="s">
        <v>52</v>
      </c>
      <c r="J1300" t="s">
        <v>81</v>
      </c>
      <c r="K1300" t="s">
        <v>54</v>
      </c>
      <c r="L1300" t="s">
        <v>55</v>
      </c>
      <c r="O1300" t="s">
        <v>82</v>
      </c>
      <c r="P1300" t="s">
        <v>83</v>
      </c>
      <c r="Q1300">
        <v>16419.32</v>
      </c>
      <c r="R1300">
        <v>-35.82</v>
      </c>
      <c r="S1300" t="s">
        <v>2895</v>
      </c>
      <c r="T1300" t="s">
        <v>2896</v>
      </c>
      <c r="U1300" t="s">
        <v>2897</v>
      </c>
    </row>
    <row r="1301" spans="1:21">
      <c r="A1301" t="s">
        <v>2744</v>
      </c>
      <c r="B1301" s="7">
        <v>46256</v>
      </c>
      <c r="C1301" s="8">
        <v>0.32290509259259259</v>
      </c>
      <c r="D1301" t="s">
        <v>17</v>
      </c>
      <c r="E1301" t="s">
        <v>2</v>
      </c>
      <c r="F1301" t="s">
        <v>50</v>
      </c>
      <c r="G1301" t="s">
        <v>51</v>
      </c>
      <c r="H1301">
        <v>8.0500000000000007</v>
      </c>
      <c r="I1301" t="s">
        <v>52</v>
      </c>
      <c r="J1301" t="s">
        <v>53</v>
      </c>
      <c r="K1301" t="s">
        <v>54</v>
      </c>
      <c r="L1301" t="s">
        <v>55</v>
      </c>
      <c r="O1301" t="s">
        <v>56</v>
      </c>
      <c r="P1301" t="s">
        <v>57</v>
      </c>
      <c r="Q1301">
        <v>16387.68</v>
      </c>
      <c r="R1301">
        <v>-8.0500000000000007</v>
      </c>
      <c r="S1301" t="s">
        <v>2895</v>
      </c>
      <c r="T1301" t="s">
        <v>2896</v>
      </c>
      <c r="U1301" t="s">
        <v>2897</v>
      </c>
    </row>
    <row r="1302" spans="1:21">
      <c r="A1302" t="s">
        <v>2746</v>
      </c>
      <c r="B1302" s="7">
        <v>46256</v>
      </c>
      <c r="C1302" s="8">
        <v>0.34409722222222222</v>
      </c>
      <c r="D1302" t="s">
        <v>17</v>
      </c>
      <c r="E1302" t="s">
        <v>2</v>
      </c>
      <c r="F1302" t="s">
        <v>50</v>
      </c>
      <c r="G1302" t="s">
        <v>100</v>
      </c>
      <c r="H1302">
        <v>23.35</v>
      </c>
      <c r="I1302" t="s">
        <v>52</v>
      </c>
      <c r="J1302" t="s">
        <v>114</v>
      </c>
      <c r="K1302" t="s">
        <v>54</v>
      </c>
      <c r="L1302" t="s">
        <v>102</v>
      </c>
      <c r="O1302" t="s">
        <v>103</v>
      </c>
      <c r="P1302" t="s">
        <v>104</v>
      </c>
      <c r="Q1302">
        <v>16511.34</v>
      </c>
      <c r="R1302">
        <v>-23.35</v>
      </c>
      <c r="S1302" t="s">
        <v>2895</v>
      </c>
      <c r="T1302" t="s">
        <v>2896</v>
      </c>
      <c r="U1302" t="s">
        <v>2897</v>
      </c>
    </row>
    <row r="1303" spans="1:21">
      <c r="A1303" t="s">
        <v>2748</v>
      </c>
      <c r="B1303" s="7">
        <v>46256</v>
      </c>
      <c r="C1303" s="8">
        <v>0.65211805555555558</v>
      </c>
      <c r="D1303" t="s">
        <v>17</v>
      </c>
      <c r="E1303" t="s">
        <v>2</v>
      </c>
      <c r="F1303" t="s">
        <v>50</v>
      </c>
      <c r="G1303" t="s">
        <v>51</v>
      </c>
      <c r="H1303">
        <v>56.2</v>
      </c>
      <c r="I1303" t="s">
        <v>52</v>
      </c>
      <c r="J1303" t="s">
        <v>60</v>
      </c>
      <c r="K1303" t="s">
        <v>54</v>
      </c>
      <c r="L1303" t="s">
        <v>55</v>
      </c>
      <c r="O1303" t="s">
        <v>61</v>
      </c>
      <c r="P1303" t="s">
        <v>62</v>
      </c>
      <c r="Q1303">
        <v>16455.14</v>
      </c>
      <c r="R1303">
        <v>-56.2</v>
      </c>
      <c r="S1303" t="s">
        <v>2895</v>
      </c>
      <c r="T1303" t="s">
        <v>2896</v>
      </c>
      <c r="U1303" t="s">
        <v>2897</v>
      </c>
    </row>
    <row r="1304" spans="1:21">
      <c r="A1304" t="s">
        <v>2750</v>
      </c>
      <c r="B1304" s="7">
        <v>46256</v>
      </c>
      <c r="C1304" s="8">
        <v>0.68497685185185186</v>
      </c>
      <c r="D1304" t="s">
        <v>17</v>
      </c>
      <c r="E1304" t="s">
        <v>2</v>
      </c>
      <c r="F1304" t="s">
        <v>50</v>
      </c>
      <c r="G1304" t="s">
        <v>100</v>
      </c>
      <c r="H1304">
        <v>23.59</v>
      </c>
      <c r="I1304" t="s">
        <v>52</v>
      </c>
      <c r="J1304" t="s">
        <v>114</v>
      </c>
      <c r="K1304" t="s">
        <v>54</v>
      </c>
      <c r="L1304" t="s">
        <v>102</v>
      </c>
      <c r="O1304" t="s">
        <v>103</v>
      </c>
      <c r="P1304" t="s">
        <v>104</v>
      </c>
      <c r="Q1304">
        <v>16395.73</v>
      </c>
      <c r="R1304">
        <v>-23.59</v>
      </c>
      <c r="S1304" t="s">
        <v>2895</v>
      </c>
      <c r="T1304" t="s">
        <v>2896</v>
      </c>
      <c r="U1304" t="s">
        <v>2897</v>
      </c>
    </row>
    <row r="1305" spans="1:21">
      <c r="A1305" t="s">
        <v>2752</v>
      </c>
      <c r="B1305" s="7">
        <v>46257</v>
      </c>
      <c r="C1305" s="8">
        <v>0.26285879629629627</v>
      </c>
      <c r="D1305" t="s">
        <v>17</v>
      </c>
      <c r="E1305" t="s">
        <v>2</v>
      </c>
      <c r="F1305" t="s">
        <v>50</v>
      </c>
      <c r="G1305" t="s">
        <v>51</v>
      </c>
      <c r="H1305">
        <v>15.32</v>
      </c>
      <c r="I1305" t="s">
        <v>52</v>
      </c>
      <c r="J1305" t="s">
        <v>53</v>
      </c>
      <c r="K1305" t="s">
        <v>54</v>
      </c>
      <c r="L1305" t="s">
        <v>55</v>
      </c>
      <c r="O1305" t="s">
        <v>56</v>
      </c>
      <c r="P1305" t="s">
        <v>57</v>
      </c>
      <c r="Q1305">
        <v>16274.44</v>
      </c>
      <c r="R1305">
        <v>-15.32</v>
      </c>
      <c r="S1305" t="s">
        <v>2895</v>
      </c>
      <c r="T1305" t="s">
        <v>2896</v>
      </c>
      <c r="U1305" t="s">
        <v>2897</v>
      </c>
    </row>
    <row r="1306" spans="1:21">
      <c r="A1306" t="s">
        <v>2754</v>
      </c>
      <c r="B1306" s="7">
        <v>46257</v>
      </c>
      <c r="C1306" s="8">
        <v>0.37141203703703701</v>
      </c>
      <c r="D1306" t="s">
        <v>17</v>
      </c>
      <c r="E1306" t="s">
        <v>2</v>
      </c>
      <c r="F1306" t="s">
        <v>50</v>
      </c>
      <c r="G1306" t="s">
        <v>51</v>
      </c>
      <c r="H1306">
        <v>28.34</v>
      </c>
      <c r="I1306" t="s">
        <v>52</v>
      </c>
      <c r="J1306" t="s">
        <v>60</v>
      </c>
      <c r="K1306" t="s">
        <v>54</v>
      </c>
      <c r="L1306" t="s">
        <v>55</v>
      </c>
      <c r="O1306" t="s">
        <v>61</v>
      </c>
      <c r="P1306" t="s">
        <v>62</v>
      </c>
      <c r="Q1306">
        <v>16246.1</v>
      </c>
      <c r="R1306">
        <v>-28.34</v>
      </c>
      <c r="S1306" t="s">
        <v>2895</v>
      </c>
      <c r="T1306" t="s">
        <v>2896</v>
      </c>
      <c r="U1306" t="s">
        <v>2897</v>
      </c>
    </row>
    <row r="1307" spans="1:21">
      <c r="A1307" t="s">
        <v>2756</v>
      </c>
      <c r="B1307" s="7">
        <v>46257</v>
      </c>
      <c r="C1307" s="8">
        <v>0.40151620370370372</v>
      </c>
      <c r="D1307" t="s">
        <v>17</v>
      </c>
      <c r="E1307" t="s">
        <v>2</v>
      </c>
      <c r="F1307" t="s">
        <v>50</v>
      </c>
      <c r="G1307" t="s">
        <v>51</v>
      </c>
      <c r="H1307">
        <v>4.2</v>
      </c>
      <c r="I1307" t="s">
        <v>52</v>
      </c>
      <c r="J1307" t="s">
        <v>53</v>
      </c>
      <c r="K1307" t="s">
        <v>54</v>
      </c>
      <c r="L1307" t="s">
        <v>55</v>
      </c>
      <c r="O1307" t="s">
        <v>56</v>
      </c>
      <c r="P1307" t="s">
        <v>57</v>
      </c>
      <c r="Q1307">
        <v>16234.37</v>
      </c>
      <c r="R1307">
        <v>-4.2</v>
      </c>
      <c r="S1307" t="s">
        <v>2895</v>
      </c>
      <c r="T1307" t="s">
        <v>2896</v>
      </c>
      <c r="U1307" t="s">
        <v>2897</v>
      </c>
    </row>
    <row r="1308" spans="1:21">
      <c r="A1308" t="s">
        <v>2758</v>
      </c>
      <c r="B1308" s="7">
        <v>46257</v>
      </c>
      <c r="C1308" s="8">
        <v>0.48336805555555556</v>
      </c>
      <c r="D1308" t="s">
        <v>17</v>
      </c>
      <c r="E1308" t="s">
        <v>2</v>
      </c>
      <c r="F1308" t="s">
        <v>50</v>
      </c>
      <c r="G1308" t="s">
        <v>51</v>
      </c>
      <c r="H1308">
        <v>97.92</v>
      </c>
      <c r="I1308" t="s">
        <v>52</v>
      </c>
      <c r="J1308" t="s">
        <v>65</v>
      </c>
      <c r="K1308" t="s">
        <v>54</v>
      </c>
      <c r="L1308" t="s">
        <v>55</v>
      </c>
      <c r="O1308" t="s">
        <v>66</v>
      </c>
      <c r="P1308" t="s">
        <v>67</v>
      </c>
      <c r="Q1308">
        <v>16289.76</v>
      </c>
      <c r="R1308">
        <v>-97.92</v>
      </c>
      <c r="S1308" t="s">
        <v>2895</v>
      </c>
      <c r="T1308" t="s">
        <v>2896</v>
      </c>
      <c r="U1308" t="s">
        <v>2897</v>
      </c>
    </row>
    <row r="1309" spans="1:21">
      <c r="A1309" t="s">
        <v>2760</v>
      </c>
      <c r="B1309" s="7">
        <v>46257</v>
      </c>
      <c r="C1309" s="8">
        <v>0.56332175925925931</v>
      </c>
      <c r="D1309" t="s">
        <v>17</v>
      </c>
      <c r="E1309" t="s">
        <v>2</v>
      </c>
      <c r="F1309" t="s">
        <v>50</v>
      </c>
      <c r="G1309" t="s">
        <v>51</v>
      </c>
      <c r="H1309">
        <v>14.96</v>
      </c>
      <c r="I1309" t="s">
        <v>52</v>
      </c>
      <c r="J1309" t="s">
        <v>53</v>
      </c>
      <c r="K1309" t="s">
        <v>54</v>
      </c>
      <c r="L1309" t="s">
        <v>55</v>
      </c>
      <c r="O1309" t="s">
        <v>56</v>
      </c>
      <c r="P1309" t="s">
        <v>57</v>
      </c>
      <c r="Q1309">
        <v>16185.04</v>
      </c>
      <c r="R1309">
        <v>-14.96</v>
      </c>
      <c r="S1309" t="s">
        <v>2895</v>
      </c>
      <c r="T1309" t="s">
        <v>2896</v>
      </c>
      <c r="U1309" t="s">
        <v>2897</v>
      </c>
    </row>
    <row r="1310" spans="1:21">
      <c r="A1310" t="s">
        <v>2762</v>
      </c>
      <c r="B1310" s="7">
        <v>46257</v>
      </c>
      <c r="C1310" s="8">
        <v>0.59576388888888887</v>
      </c>
      <c r="D1310" t="s">
        <v>17</v>
      </c>
      <c r="E1310" t="s">
        <v>2</v>
      </c>
      <c r="F1310" t="s">
        <v>50</v>
      </c>
      <c r="G1310" t="s">
        <v>51</v>
      </c>
      <c r="H1310">
        <v>7.53</v>
      </c>
      <c r="I1310" t="s">
        <v>52</v>
      </c>
      <c r="J1310" t="s">
        <v>53</v>
      </c>
      <c r="K1310" t="s">
        <v>54</v>
      </c>
      <c r="L1310" t="s">
        <v>55</v>
      </c>
      <c r="O1310" t="s">
        <v>56</v>
      </c>
      <c r="P1310" t="s">
        <v>57</v>
      </c>
      <c r="Q1310">
        <v>16238.57</v>
      </c>
      <c r="R1310">
        <v>-7.53</v>
      </c>
      <c r="S1310" t="s">
        <v>2895</v>
      </c>
      <c r="T1310" t="s">
        <v>2896</v>
      </c>
      <c r="U1310" t="s">
        <v>2897</v>
      </c>
    </row>
    <row r="1311" spans="1:21">
      <c r="A1311" t="s">
        <v>2764</v>
      </c>
      <c r="B1311" s="7">
        <v>46257</v>
      </c>
      <c r="C1311" s="8">
        <v>0.74387731481481478</v>
      </c>
      <c r="D1311" t="s">
        <v>17</v>
      </c>
      <c r="E1311" t="s">
        <v>2</v>
      </c>
      <c r="F1311" t="s">
        <v>50</v>
      </c>
      <c r="G1311" t="s">
        <v>51</v>
      </c>
      <c r="H1311">
        <v>34.369999999999997</v>
      </c>
      <c r="I1311" t="s">
        <v>52</v>
      </c>
      <c r="J1311" t="s">
        <v>126</v>
      </c>
      <c r="K1311" t="s">
        <v>54</v>
      </c>
      <c r="L1311" t="s">
        <v>55</v>
      </c>
      <c r="O1311" t="s">
        <v>56</v>
      </c>
      <c r="P1311" t="s">
        <v>57</v>
      </c>
      <c r="Q1311">
        <v>16200</v>
      </c>
      <c r="R1311">
        <v>-34.369999999999997</v>
      </c>
      <c r="S1311" t="s">
        <v>2895</v>
      </c>
      <c r="T1311" t="s">
        <v>2896</v>
      </c>
      <c r="U1311" t="s">
        <v>2897</v>
      </c>
    </row>
    <row r="1312" spans="1:21">
      <c r="A1312" t="s">
        <v>2766</v>
      </c>
      <c r="B1312" s="7">
        <v>46258</v>
      </c>
      <c r="C1312" s="8">
        <v>0.37719907407407405</v>
      </c>
      <c r="D1312" t="s">
        <v>17</v>
      </c>
      <c r="E1312" t="s">
        <v>2</v>
      </c>
      <c r="F1312" t="s">
        <v>50</v>
      </c>
      <c r="G1312" t="s">
        <v>51</v>
      </c>
      <c r="H1312">
        <v>14.58</v>
      </c>
      <c r="I1312" t="s">
        <v>52</v>
      </c>
      <c r="J1312" t="s">
        <v>53</v>
      </c>
      <c r="K1312" t="s">
        <v>54</v>
      </c>
      <c r="L1312" t="s">
        <v>55</v>
      </c>
      <c r="O1312" t="s">
        <v>56</v>
      </c>
      <c r="P1312" t="s">
        <v>57</v>
      </c>
      <c r="Q1312">
        <v>16066.02</v>
      </c>
      <c r="R1312">
        <v>-14.58</v>
      </c>
      <c r="S1312" t="s">
        <v>2895</v>
      </c>
      <c r="T1312" t="s">
        <v>2896</v>
      </c>
      <c r="U1312" t="s">
        <v>2897</v>
      </c>
    </row>
    <row r="1313" spans="1:21">
      <c r="A1313" t="s">
        <v>2768</v>
      </c>
      <c r="B1313" s="7">
        <v>46258</v>
      </c>
      <c r="C1313" s="8">
        <v>0.45383101851851854</v>
      </c>
      <c r="D1313" t="s">
        <v>17</v>
      </c>
      <c r="E1313" t="s">
        <v>2</v>
      </c>
      <c r="F1313" t="s">
        <v>50</v>
      </c>
      <c r="G1313" t="s">
        <v>51</v>
      </c>
      <c r="H1313">
        <v>70.37</v>
      </c>
      <c r="I1313" t="s">
        <v>52</v>
      </c>
      <c r="J1313" t="s">
        <v>60</v>
      </c>
      <c r="K1313" t="s">
        <v>54</v>
      </c>
      <c r="L1313" t="s">
        <v>55</v>
      </c>
      <c r="O1313" t="s">
        <v>61</v>
      </c>
      <c r="P1313" t="s">
        <v>62</v>
      </c>
      <c r="Q1313">
        <v>16114.67</v>
      </c>
      <c r="R1313">
        <v>-70.37</v>
      </c>
      <c r="S1313" t="s">
        <v>2895</v>
      </c>
      <c r="T1313" t="s">
        <v>2896</v>
      </c>
      <c r="U1313" t="s">
        <v>2897</v>
      </c>
    </row>
    <row r="1314" spans="1:21">
      <c r="A1314" t="s">
        <v>2770</v>
      </c>
      <c r="B1314" s="7">
        <v>46258</v>
      </c>
      <c r="C1314" s="8">
        <v>0.57115740740740739</v>
      </c>
      <c r="D1314" t="s">
        <v>17</v>
      </c>
      <c r="E1314" t="s">
        <v>2</v>
      </c>
      <c r="F1314" t="s">
        <v>50</v>
      </c>
      <c r="G1314" t="s">
        <v>51</v>
      </c>
      <c r="H1314">
        <v>17.64</v>
      </c>
      <c r="I1314" t="s">
        <v>52</v>
      </c>
      <c r="J1314" t="s">
        <v>121</v>
      </c>
      <c r="K1314" t="s">
        <v>54</v>
      </c>
      <c r="L1314" t="s">
        <v>55</v>
      </c>
      <c r="O1314" t="s">
        <v>122</v>
      </c>
      <c r="P1314" t="s">
        <v>123</v>
      </c>
      <c r="Q1314">
        <v>16097.03</v>
      </c>
      <c r="R1314">
        <v>-17.64</v>
      </c>
      <c r="S1314" t="s">
        <v>2895</v>
      </c>
      <c r="T1314" t="s">
        <v>2896</v>
      </c>
      <c r="U1314" t="s">
        <v>2897</v>
      </c>
    </row>
    <row r="1315" spans="1:21">
      <c r="A1315" t="s">
        <v>2772</v>
      </c>
      <c r="B1315" s="7">
        <v>46258</v>
      </c>
      <c r="C1315" s="8">
        <v>0.64637731481481486</v>
      </c>
      <c r="D1315" t="s">
        <v>17</v>
      </c>
      <c r="E1315" t="s">
        <v>2</v>
      </c>
      <c r="F1315" t="s">
        <v>50</v>
      </c>
      <c r="G1315" t="s">
        <v>100</v>
      </c>
      <c r="H1315">
        <v>15</v>
      </c>
      <c r="I1315" t="s">
        <v>52</v>
      </c>
      <c r="J1315" t="s">
        <v>101</v>
      </c>
      <c r="K1315" t="s">
        <v>54</v>
      </c>
      <c r="L1315" t="s">
        <v>102</v>
      </c>
      <c r="O1315" t="s">
        <v>103</v>
      </c>
      <c r="P1315" t="s">
        <v>104</v>
      </c>
      <c r="Q1315">
        <v>16051.02</v>
      </c>
      <c r="R1315">
        <v>-15</v>
      </c>
      <c r="S1315" t="s">
        <v>2895</v>
      </c>
      <c r="T1315" t="s">
        <v>2896</v>
      </c>
      <c r="U1315" t="s">
        <v>2897</v>
      </c>
    </row>
    <row r="1316" spans="1:21">
      <c r="A1316" t="s">
        <v>2774</v>
      </c>
      <c r="B1316" s="7">
        <v>46258</v>
      </c>
      <c r="C1316" s="8">
        <v>0.71089120370370373</v>
      </c>
      <c r="D1316" t="s">
        <v>17</v>
      </c>
      <c r="E1316" t="s">
        <v>2</v>
      </c>
      <c r="F1316" t="s">
        <v>50</v>
      </c>
      <c r="G1316" t="s">
        <v>51</v>
      </c>
      <c r="H1316">
        <v>16.43</v>
      </c>
      <c r="I1316" t="s">
        <v>52</v>
      </c>
      <c r="J1316" t="s">
        <v>126</v>
      </c>
      <c r="K1316" t="s">
        <v>54</v>
      </c>
      <c r="L1316" t="s">
        <v>55</v>
      </c>
      <c r="O1316" t="s">
        <v>56</v>
      </c>
      <c r="P1316" t="s">
        <v>57</v>
      </c>
      <c r="Q1316">
        <v>16080.6</v>
      </c>
      <c r="R1316">
        <v>-16.43</v>
      </c>
      <c r="S1316" t="s">
        <v>2895</v>
      </c>
      <c r="T1316" t="s">
        <v>2896</v>
      </c>
      <c r="U1316" t="s">
        <v>2897</v>
      </c>
    </row>
    <row r="1317" spans="1:21">
      <c r="A1317" t="s">
        <v>2776</v>
      </c>
      <c r="B1317" s="7">
        <v>46258</v>
      </c>
      <c r="C1317" s="8">
        <v>0.77101851851851855</v>
      </c>
      <c r="D1317" t="s">
        <v>17</v>
      </c>
      <c r="E1317" t="s">
        <v>2</v>
      </c>
      <c r="F1317" t="s">
        <v>50</v>
      </c>
      <c r="G1317" t="s">
        <v>100</v>
      </c>
      <c r="H1317">
        <v>13.5</v>
      </c>
      <c r="I1317" t="s">
        <v>52</v>
      </c>
      <c r="J1317" t="s">
        <v>114</v>
      </c>
      <c r="K1317" t="s">
        <v>54</v>
      </c>
      <c r="L1317" t="s">
        <v>102</v>
      </c>
      <c r="O1317" t="s">
        <v>103</v>
      </c>
      <c r="P1317" t="s">
        <v>104</v>
      </c>
      <c r="Q1317">
        <v>16037.52</v>
      </c>
      <c r="R1317">
        <v>-13.5</v>
      </c>
      <c r="S1317" t="s">
        <v>2895</v>
      </c>
      <c r="T1317" t="s">
        <v>2896</v>
      </c>
      <c r="U1317" t="s">
        <v>2897</v>
      </c>
    </row>
    <row r="1318" spans="1:21">
      <c r="A1318" t="s">
        <v>2778</v>
      </c>
      <c r="B1318" s="7">
        <v>46258</v>
      </c>
      <c r="C1318" s="8">
        <v>0.791875</v>
      </c>
      <c r="D1318" t="s">
        <v>17</v>
      </c>
      <c r="E1318" t="s">
        <v>2</v>
      </c>
      <c r="F1318" t="s">
        <v>50</v>
      </c>
      <c r="G1318" t="s">
        <v>51</v>
      </c>
      <c r="H1318">
        <v>29.22</v>
      </c>
      <c r="I1318" t="s">
        <v>52</v>
      </c>
      <c r="J1318" t="s">
        <v>126</v>
      </c>
      <c r="K1318" t="s">
        <v>54</v>
      </c>
      <c r="L1318" t="s">
        <v>55</v>
      </c>
      <c r="O1318" t="s">
        <v>56</v>
      </c>
      <c r="P1318" t="s">
        <v>57</v>
      </c>
      <c r="Q1318">
        <v>16008.3</v>
      </c>
      <c r="R1318">
        <v>-29.22</v>
      </c>
      <c r="S1318" t="s">
        <v>2895</v>
      </c>
      <c r="T1318" t="s">
        <v>2896</v>
      </c>
      <c r="U1318" t="s">
        <v>2897</v>
      </c>
    </row>
    <row r="1319" spans="1:21">
      <c r="A1319" t="s">
        <v>2780</v>
      </c>
      <c r="B1319" s="7">
        <v>46259</v>
      </c>
      <c r="C1319" s="8">
        <v>0.27986111111111112</v>
      </c>
      <c r="D1319" t="s">
        <v>17</v>
      </c>
      <c r="E1319" t="s">
        <v>2</v>
      </c>
      <c r="F1319" t="s">
        <v>50</v>
      </c>
      <c r="G1319" t="s">
        <v>51</v>
      </c>
      <c r="H1319">
        <v>20.53</v>
      </c>
      <c r="I1319" t="s">
        <v>52</v>
      </c>
      <c r="J1319" t="s">
        <v>126</v>
      </c>
      <c r="K1319" t="s">
        <v>54</v>
      </c>
      <c r="L1319" t="s">
        <v>55</v>
      </c>
      <c r="O1319" t="s">
        <v>56</v>
      </c>
      <c r="P1319" t="s">
        <v>57</v>
      </c>
      <c r="Q1319">
        <v>15783.41</v>
      </c>
      <c r="R1319">
        <v>-20.53</v>
      </c>
      <c r="S1319" t="s">
        <v>2895</v>
      </c>
      <c r="T1319" t="s">
        <v>2896</v>
      </c>
      <c r="U1319" t="s">
        <v>2897</v>
      </c>
    </row>
    <row r="1320" spans="1:21">
      <c r="A1320" t="s">
        <v>2782</v>
      </c>
      <c r="B1320" s="7">
        <v>46259</v>
      </c>
      <c r="C1320" s="8">
        <v>0.29650462962962965</v>
      </c>
      <c r="D1320" t="s">
        <v>17</v>
      </c>
      <c r="E1320" t="s">
        <v>2</v>
      </c>
      <c r="F1320" t="s">
        <v>50</v>
      </c>
      <c r="G1320" t="s">
        <v>100</v>
      </c>
      <c r="H1320">
        <v>20.239999999999998</v>
      </c>
      <c r="I1320" t="s">
        <v>52</v>
      </c>
      <c r="J1320" t="s">
        <v>114</v>
      </c>
      <c r="K1320" t="s">
        <v>54</v>
      </c>
      <c r="L1320" t="s">
        <v>102</v>
      </c>
      <c r="O1320" t="s">
        <v>103</v>
      </c>
      <c r="P1320" t="s">
        <v>104</v>
      </c>
      <c r="Q1320">
        <v>15988.06</v>
      </c>
      <c r="R1320">
        <v>-20.239999999999998</v>
      </c>
      <c r="S1320" t="s">
        <v>2895</v>
      </c>
      <c r="T1320" t="s">
        <v>2896</v>
      </c>
      <c r="U1320" t="s">
        <v>2897</v>
      </c>
    </row>
    <row r="1321" spans="1:21">
      <c r="A1321" t="s">
        <v>2784</v>
      </c>
      <c r="B1321" s="7">
        <v>46259</v>
      </c>
      <c r="C1321" s="8">
        <v>0.3979861111111111</v>
      </c>
      <c r="D1321" t="s">
        <v>17</v>
      </c>
      <c r="E1321" t="s">
        <v>2</v>
      </c>
      <c r="F1321" t="s">
        <v>50</v>
      </c>
      <c r="G1321" t="s">
        <v>51</v>
      </c>
      <c r="H1321">
        <v>22.6</v>
      </c>
      <c r="I1321" t="s">
        <v>52</v>
      </c>
      <c r="J1321" t="s">
        <v>60</v>
      </c>
      <c r="K1321" t="s">
        <v>54</v>
      </c>
      <c r="L1321" t="s">
        <v>55</v>
      </c>
      <c r="O1321" t="s">
        <v>61</v>
      </c>
      <c r="P1321" t="s">
        <v>62</v>
      </c>
      <c r="Q1321">
        <v>15760.81</v>
      </c>
      <c r="R1321">
        <v>-22.6</v>
      </c>
      <c r="S1321" t="s">
        <v>2895</v>
      </c>
      <c r="T1321" t="s">
        <v>2896</v>
      </c>
      <c r="U1321" t="s">
        <v>2897</v>
      </c>
    </row>
    <row r="1322" spans="1:21">
      <c r="A1322" t="s">
        <v>2786</v>
      </c>
      <c r="B1322" s="7">
        <v>46259</v>
      </c>
      <c r="C1322" s="8">
        <v>0.52315972222222218</v>
      </c>
      <c r="D1322" t="s">
        <v>17</v>
      </c>
      <c r="E1322" t="s">
        <v>2</v>
      </c>
      <c r="F1322" t="s">
        <v>50</v>
      </c>
      <c r="G1322" t="s">
        <v>51</v>
      </c>
      <c r="H1322">
        <v>142.71</v>
      </c>
      <c r="I1322" t="s">
        <v>52</v>
      </c>
      <c r="J1322" t="s">
        <v>196</v>
      </c>
      <c r="K1322" t="s">
        <v>54</v>
      </c>
      <c r="L1322" t="s">
        <v>55</v>
      </c>
      <c r="O1322" t="s">
        <v>197</v>
      </c>
      <c r="P1322" t="s">
        <v>198</v>
      </c>
      <c r="Q1322">
        <v>15803.94</v>
      </c>
      <c r="R1322">
        <v>-142.71</v>
      </c>
      <c r="S1322" t="s">
        <v>2895</v>
      </c>
      <c r="T1322" t="s">
        <v>2896</v>
      </c>
      <c r="U1322" t="s">
        <v>2897</v>
      </c>
    </row>
    <row r="1323" spans="1:21">
      <c r="A1323" t="s">
        <v>2788</v>
      </c>
      <c r="B1323" s="7">
        <v>46259</v>
      </c>
      <c r="C1323" s="8">
        <v>0.61881944444444448</v>
      </c>
      <c r="D1323" t="s">
        <v>17</v>
      </c>
      <c r="E1323" t="s">
        <v>2</v>
      </c>
      <c r="F1323" t="s">
        <v>50</v>
      </c>
      <c r="G1323" t="s">
        <v>51</v>
      </c>
      <c r="H1323">
        <v>8.69</v>
      </c>
      <c r="I1323" t="s">
        <v>52</v>
      </c>
      <c r="J1323" t="s">
        <v>53</v>
      </c>
      <c r="K1323" t="s">
        <v>54</v>
      </c>
      <c r="L1323" t="s">
        <v>55</v>
      </c>
      <c r="O1323" t="s">
        <v>56</v>
      </c>
      <c r="P1323" t="s">
        <v>57</v>
      </c>
      <c r="Q1323">
        <v>15959.81</v>
      </c>
      <c r="R1323">
        <v>-8.69</v>
      </c>
      <c r="S1323" t="s">
        <v>2895</v>
      </c>
      <c r="T1323" t="s">
        <v>2896</v>
      </c>
      <c r="U1323" t="s">
        <v>2897</v>
      </c>
    </row>
    <row r="1324" spans="1:21">
      <c r="A1324" t="s">
        <v>2790</v>
      </c>
      <c r="B1324" s="7">
        <v>46259</v>
      </c>
      <c r="C1324" s="8">
        <v>0.7707060185185185</v>
      </c>
      <c r="D1324" t="s">
        <v>17</v>
      </c>
      <c r="E1324" t="s">
        <v>2</v>
      </c>
      <c r="F1324" t="s">
        <v>50</v>
      </c>
      <c r="G1324" t="s">
        <v>51</v>
      </c>
      <c r="H1324">
        <v>13.16</v>
      </c>
      <c r="I1324" t="s">
        <v>52</v>
      </c>
      <c r="J1324" t="s">
        <v>53</v>
      </c>
      <c r="K1324" t="s">
        <v>54</v>
      </c>
      <c r="L1324" t="s">
        <v>55</v>
      </c>
      <c r="O1324" t="s">
        <v>56</v>
      </c>
      <c r="P1324" t="s">
        <v>57</v>
      </c>
      <c r="Q1324">
        <v>15946.65</v>
      </c>
      <c r="R1324">
        <v>-13.16</v>
      </c>
      <c r="S1324" t="s">
        <v>2895</v>
      </c>
      <c r="T1324" t="s">
        <v>2896</v>
      </c>
      <c r="U1324" t="s">
        <v>2897</v>
      </c>
    </row>
    <row r="1325" spans="1:21">
      <c r="A1325" t="s">
        <v>2792</v>
      </c>
      <c r="B1325" s="7">
        <v>46259</v>
      </c>
      <c r="C1325" s="8">
        <v>0.81942129629629634</v>
      </c>
      <c r="D1325" t="s">
        <v>17</v>
      </c>
      <c r="E1325" t="s">
        <v>2</v>
      </c>
      <c r="F1325" t="s">
        <v>50</v>
      </c>
      <c r="G1325" t="s">
        <v>100</v>
      </c>
      <c r="H1325">
        <v>19.559999999999999</v>
      </c>
      <c r="I1325" t="s">
        <v>52</v>
      </c>
      <c r="J1325" t="s">
        <v>114</v>
      </c>
      <c r="K1325" t="s">
        <v>54</v>
      </c>
      <c r="L1325" t="s">
        <v>102</v>
      </c>
      <c r="O1325" t="s">
        <v>103</v>
      </c>
      <c r="P1325" t="s">
        <v>104</v>
      </c>
      <c r="Q1325">
        <v>15968.5</v>
      </c>
      <c r="R1325">
        <v>-19.559999999999999</v>
      </c>
      <c r="S1325" t="s">
        <v>2895</v>
      </c>
      <c r="T1325" t="s">
        <v>2896</v>
      </c>
      <c r="U1325" t="s">
        <v>2897</v>
      </c>
    </row>
    <row r="1326" spans="1:21">
      <c r="A1326" t="s">
        <v>2794</v>
      </c>
      <c r="B1326" s="7">
        <v>46260</v>
      </c>
      <c r="C1326" s="8">
        <v>0.27714120370370371</v>
      </c>
      <c r="D1326" t="s">
        <v>17</v>
      </c>
      <c r="E1326" t="s">
        <v>2</v>
      </c>
      <c r="F1326" t="s">
        <v>50</v>
      </c>
      <c r="G1326" t="s">
        <v>51</v>
      </c>
      <c r="H1326">
        <v>6.7</v>
      </c>
      <c r="I1326" t="s">
        <v>52</v>
      </c>
      <c r="J1326" t="s">
        <v>53</v>
      </c>
      <c r="K1326" t="s">
        <v>54</v>
      </c>
      <c r="L1326" t="s">
        <v>55</v>
      </c>
      <c r="O1326" t="s">
        <v>56</v>
      </c>
      <c r="P1326" t="s">
        <v>57</v>
      </c>
      <c r="Q1326">
        <v>15754.11</v>
      </c>
      <c r="R1326">
        <v>-6.7</v>
      </c>
      <c r="S1326" t="s">
        <v>2895</v>
      </c>
      <c r="T1326" t="s">
        <v>2896</v>
      </c>
      <c r="U1326" t="s">
        <v>2897</v>
      </c>
    </row>
    <row r="1327" spans="1:21">
      <c r="A1327" t="s">
        <v>2796</v>
      </c>
      <c r="B1327" s="7">
        <v>46260</v>
      </c>
      <c r="C1327" s="8">
        <v>0.34570601851851851</v>
      </c>
      <c r="D1327" t="s">
        <v>17</v>
      </c>
      <c r="E1327" t="s">
        <v>2</v>
      </c>
      <c r="F1327" t="s">
        <v>50</v>
      </c>
      <c r="G1327" t="s">
        <v>51</v>
      </c>
      <c r="H1327">
        <v>21.38</v>
      </c>
      <c r="I1327" t="s">
        <v>52</v>
      </c>
      <c r="J1327" t="s">
        <v>81</v>
      </c>
      <c r="K1327" t="s">
        <v>54</v>
      </c>
      <c r="L1327" t="s">
        <v>55</v>
      </c>
      <c r="O1327" t="s">
        <v>82</v>
      </c>
      <c r="P1327" t="s">
        <v>83</v>
      </c>
      <c r="Q1327">
        <v>15443.03</v>
      </c>
      <c r="R1327">
        <v>-21.38</v>
      </c>
      <c r="S1327" t="s">
        <v>2895</v>
      </c>
      <c r="T1327" t="s">
        <v>2896</v>
      </c>
      <c r="U1327" t="s">
        <v>2897</v>
      </c>
    </row>
    <row r="1328" spans="1:21">
      <c r="A1328" t="s">
        <v>2797</v>
      </c>
      <c r="B1328" s="7">
        <v>46260</v>
      </c>
      <c r="C1328" s="8">
        <v>0.3790972222222222</v>
      </c>
      <c r="D1328" t="s">
        <v>17</v>
      </c>
      <c r="E1328" t="s">
        <v>2</v>
      </c>
      <c r="F1328" t="s">
        <v>50</v>
      </c>
      <c r="G1328" t="s">
        <v>51</v>
      </c>
      <c r="H1328">
        <v>57.4</v>
      </c>
      <c r="I1328" t="s">
        <v>52</v>
      </c>
      <c r="J1328" t="s">
        <v>60</v>
      </c>
      <c r="K1328" t="s">
        <v>54</v>
      </c>
      <c r="L1328" t="s">
        <v>55</v>
      </c>
      <c r="O1328" t="s">
        <v>61</v>
      </c>
      <c r="P1328" t="s">
        <v>62</v>
      </c>
      <c r="Q1328">
        <v>15559.52</v>
      </c>
      <c r="R1328">
        <v>-57.4</v>
      </c>
      <c r="S1328" t="s">
        <v>2895</v>
      </c>
      <c r="T1328" t="s">
        <v>2896</v>
      </c>
      <c r="U1328" t="s">
        <v>2897</v>
      </c>
    </row>
    <row r="1329" spans="1:21">
      <c r="A1329" t="s">
        <v>2799</v>
      </c>
      <c r="B1329" s="7">
        <v>46260</v>
      </c>
      <c r="C1329" s="8">
        <v>0.49799768518518517</v>
      </c>
      <c r="D1329" t="s">
        <v>17</v>
      </c>
      <c r="E1329" t="s">
        <v>2</v>
      </c>
      <c r="F1329" t="s">
        <v>50</v>
      </c>
      <c r="G1329" t="s">
        <v>51</v>
      </c>
      <c r="H1329">
        <v>23.04</v>
      </c>
      <c r="I1329" t="s">
        <v>52</v>
      </c>
      <c r="J1329" t="s">
        <v>126</v>
      </c>
      <c r="K1329" t="s">
        <v>54</v>
      </c>
      <c r="L1329" t="s">
        <v>55</v>
      </c>
      <c r="O1329" t="s">
        <v>56</v>
      </c>
      <c r="P1329" t="s">
        <v>57</v>
      </c>
      <c r="Q1329">
        <v>15536.48</v>
      </c>
      <c r="R1329">
        <v>-23.04</v>
      </c>
      <c r="S1329" t="s">
        <v>2895</v>
      </c>
      <c r="T1329" t="s">
        <v>2896</v>
      </c>
      <c r="U1329" t="s">
        <v>2897</v>
      </c>
    </row>
    <row r="1330" spans="1:21">
      <c r="A1330" t="s">
        <v>2801</v>
      </c>
      <c r="B1330" s="7">
        <v>46260</v>
      </c>
      <c r="C1330" s="8">
        <v>0.5268518518518519</v>
      </c>
      <c r="D1330" t="s">
        <v>17</v>
      </c>
      <c r="E1330" t="s">
        <v>2</v>
      </c>
      <c r="F1330" t="s">
        <v>50</v>
      </c>
      <c r="G1330" t="s">
        <v>51</v>
      </c>
      <c r="H1330">
        <v>137.19</v>
      </c>
      <c r="I1330" t="s">
        <v>52</v>
      </c>
      <c r="J1330" t="s">
        <v>65</v>
      </c>
      <c r="K1330" t="s">
        <v>54</v>
      </c>
      <c r="L1330" t="s">
        <v>55</v>
      </c>
      <c r="O1330" t="s">
        <v>66</v>
      </c>
      <c r="P1330" t="s">
        <v>67</v>
      </c>
      <c r="Q1330">
        <v>15616.92</v>
      </c>
      <c r="R1330">
        <v>-137.19</v>
      </c>
      <c r="S1330" t="s">
        <v>2895</v>
      </c>
      <c r="T1330" t="s">
        <v>2896</v>
      </c>
      <c r="U1330" t="s">
        <v>2897</v>
      </c>
    </row>
    <row r="1331" spans="1:21">
      <c r="A1331" t="s">
        <v>2803</v>
      </c>
      <c r="B1331" s="7">
        <v>46260</v>
      </c>
      <c r="C1331" s="8">
        <v>0.59129629629629632</v>
      </c>
      <c r="D1331" t="s">
        <v>17</v>
      </c>
      <c r="E1331" t="s">
        <v>2</v>
      </c>
      <c r="F1331" t="s">
        <v>50</v>
      </c>
      <c r="G1331" t="s">
        <v>72</v>
      </c>
      <c r="H1331">
        <v>29.61</v>
      </c>
      <c r="I1331" t="s">
        <v>52</v>
      </c>
      <c r="J1331" t="s">
        <v>73</v>
      </c>
      <c r="K1331" t="s">
        <v>54</v>
      </c>
      <c r="L1331" t="s">
        <v>74</v>
      </c>
      <c r="O1331" t="s">
        <v>75</v>
      </c>
      <c r="P1331" t="s">
        <v>76</v>
      </c>
      <c r="Q1331">
        <v>15413.42</v>
      </c>
      <c r="R1331">
        <v>-29.61</v>
      </c>
      <c r="S1331" t="s">
        <v>2895</v>
      </c>
      <c r="T1331" t="s">
        <v>2896</v>
      </c>
      <c r="U1331" t="s">
        <v>2897</v>
      </c>
    </row>
    <row r="1332" spans="1:21">
      <c r="A1332" t="s">
        <v>2805</v>
      </c>
      <c r="B1332" s="7">
        <v>46260</v>
      </c>
      <c r="C1332" s="8">
        <v>0.61767361111111108</v>
      </c>
      <c r="D1332" t="s">
        <v>17</v>
      </c>
      <c r="E1332" t="s">
        <v>2</v>
      </c>
      <c r="F1332" t="s">
        <v>50</v>
      </c>
      <c r="G1332" t="s">
        <v>51</v>
      </c>
      <c r="H1332">
        <v>53.94</v>
      </c>
      <c r="I1332" t="s">
        <v>52</v>
      </c>
      <c r="J1332" t="s">
        <v>60</v>
      </c>
      <c r="K1332" t="s">
        <v>54</v>
      </c>
      <c r="L1332" t="s">
        <v>55</v>
      </c>
      <c r="O1332" t="s">
        <v>61</v>
      </c>
      <c r="P1332" t="s">
        <v>62</v>
      </c>
      <c r="Q1332">
        <v>15464.41</v>
      </c>
      <c r="R1332">
        <v>-53.94</v>
      </c>
      <c r="S1332" t="s">
        <v>2895</v>
      </c>
      <c r="T1332" t="s">
        <v>2896</v>
      </c>
      <c r="U1332" t="s">
        <v>2897</v>
      </c>
    </row>
    <row r="1333" spans="1:21">
      <c r="A1333" t="s">
        <v>2807</v>
      </c>
      <c r="B1333" s="7">
        <v>46260</v>
      </c>
      <c r="C1333" s="8">
        <v>0.7581134259259259</v>
      </c>
      <c r="D1333" t="s">
        <v>17</v>
      </c>
      <c r="E1333" t="s">
        <v>2</v>
      </c>
      <c r="F1333" t="s">
        <v>50</v>
      </c>
      <c r="G1333" t="s">
        <v>88</v>
      </c>
      <c r="H1333">
        <v>60</v>
      </c>
      <c r="I1333" t="s">
        <v>52</v>
      </c>
      <c r="J1333" t="s">
        <v>89</v>
      </c>
      <c r="K1333" t="s">
        <v>54</v>
      </c>
      <c r="L1333" t="s">
        <v>90</v>
      </c>
      <c r="M1333" t="s">
        <v>91</v>
      </c>
      <c r="N1333" t="s">
        <v>12</v>
      </c>
      <c r="O1333" t="s">
        <v>92</v>
      </c>
      <c r="P1333" t="s">
        <v>93</v>
      </c>
      <c r="Q1333">
        <v>15353.42</v>
      </c>
      <c r="R1333">
        <v>-60</v>
      </c>
      <c r="S1333" t="s">
        <v>2895</v>
      </c>
      <c r="T1333" t="s">
        <v>2896</v>
      </c>
      <c r="U1333" t="s">
        <v>2897</v>
      </c>
    </row>
    <row r="1334" spans="1:21">
      <c r="A1334" t="s">
        <v>2809</v>
      </c>
      <c r="B1334" s="7">
        <v>46260</v>
      </c>
      <c r="C1334" s="8">
        <v>0.86318287037037034</v>
      </c>
      <c r="D1334" t="s">
        <v>17</v>
      </c>
      <c r="E1334" t="s">
        <v>2</v>
      </c>
      <c r="F1334" t="s">
        <v>50</v>
      </c>
      <c r="G1334" t="s">
        <v>51</v>
      </c>
      <c r="H1334">
        <v>18.13</v>
      </c>
      <c r="I1334" t="s">
        <v>52</v>
      </c>
      <c r="J1334" t="s">
        <v>126</v>
      </c>
      <c r="K1334" t="s">
        <v>54</v>
      </c>
      <c r="L1334" t="s">
        <v>55</v>
      </c>
      <c r="O1334" t="s">
        <v>56</v>
      </c>
      <c r="P1334" t="s">
        <v>57</v>
      </c>
      <c r="Q1334">
        <v>15518.35</v>
      </c>
      <c r="R1334">
        <v>-18.13</v>
      </c>
      <c r="S1334" t="s">
        <v>2895</v>
      </c>
      <c r="T1334" t="s">
        <v>2896</v>
      </c>
      <c r="U1334" t="s">
        <v>2897</v>
      </c>
    </row>
    <row r="1335" spans="1:21">
      <c r="A1335" t="s">
        <v>2811</v>
      </c>
      <c r="B1335" s="7">
        <v>46261</v>
      </c>
      <c r="C1335" s="8">
        <v>0.26717592592592593</v>
      </c>
      <c r="D1335" t="s">
        <v>17</v>
      </c>
      <c r="E1335" t="s">
        <v>2</v>
      </c>
      <c r="F1335" t="s">
        <v>50</v>
      </c>
      <c r="G1335" t="s">
        <v>51</v>
      </c>
      <c r="H1335">
        <v>49.01</v>
      </c>
      <c r="I1335" t="s">
        <v>52</v>
      </c>
      <c r="J1335" t="s">
        <v>60</v>
      </c>
      <c r="K1335" t="s">
        <v>54</v>
      </c>
      <c r="L1335" t="s">
        <v>55</v>
      </c>
      <c r="O1335" t="s">
        <v>61</v>
      </c>
      <c r="P1335" t="s">
        <v>62</v>
      </c>
      <c r="Q1335">
        <v>14843.69</v>
      </c>
      <c r="R1335">
        <v>-49.01</v>
      </c>
      <c r="S1335" t="s">
        <v>2895</v>
      </c>
      <c r="T1335" t="s">
        <v>2896</v>
      </c>
      <c r="U1335" t="s">
        <v>2897</v>
      </c>
    </row>
    <row r="1336" spans="1:21">
      <c r="A1336" t="s">
        <v>2813</v>
      </c>
      <c r="B1336" s="7">
        <v>46261</v>
      </c>
      <c r="C1336" s="8">
        <v>0.27274305555555556</v>
      </c>
      <c r="D1336" t="s">
        <v>17</v>
      </c>
      <c r="E1336" t="s">
        <v>2</v>
      </c>
      <c r="F1336" t="s">
        <v>50</v>
      </c>
      <c r="G1336" t="s">
        <v>51</v>
      </c>
      <c r="H1336">
        <v>55.04</v>
      </c>
      <c r="I1336" t="s">
        <v>52</v>
      </c>
      <c r="J1336" t="s">
        <v>81</v>
      </c>
      <c r="K1336" t="s">
        <v>54</v>
      </c>
      <c r="L1336" t="s">
        <v>55</v>
      </c>
      <c r="O1336" t="s">
        <v>82</v>
      </c>
      <c r="P1336" t="s">
        <v>83</v>
      </c>
      <c r="Q1336">
        <v>14907.7</v>
      </c>
      <c r="R1336">
        <v>-55.04</v>
      </c>
      <c r="S1336" t="s">
        <v>2895</v>
      </c>
      <c r="T1336" t="s">
        <v>2896</v>
      </c>
      <c r="U1336" t="s">
        <v>2897</v>
      </c>
    </row>
    <row r="1337" spans="1:21">
      <c r="A1337" t="s">
        <v>2815</v>
      </c>
      <c r="B1337" s="7">
        <v>46261</v>
      </c>
      <c r="C1337" s="8">
        <v>0.44560185185185186</v>
      </c>
      <c r="D1337" t="s">
        <v>17</v>
      </c>
      <c r="E1337" t="s">
        <v>2</v>
      </c>
      <c r="F1337" t="s">
        <v>50</v>
      </c>
      <c r="G1337" t="s">
        <v>51</v>
      </c>
      <c r="H1337">
        <v>131.86000000000001</v>
      </c>
      <c r="I1337" t="s">
        <v>52</v>
      </c>
      <c r="J1337" t="s">
        <v>65</v>
      </c>
      <c r="K1337" t="s">
        <v>54</v>
      </c>
      <c r="L1337" t="s">
        <v>55</v>
      </c>
      <c r="O1337" t="s">
        <v>66</v>
      </c>
      <c r="P1337" t="s">
        <v>67</v>
      </c>
      <c r="Q1337">
        <v>15099.22</v>
      </c>
      <c r="R1337">
        <v>-131.86000000000001</v>
      </c>
      <c r="S1337" t="s">
        <v>2895</v>
      </c>
      <c r="T1337" t="s">
        <v>2896</v>
      </c>
      <c r="U1337" t="s">
        <v>2897</v>
      </c>
    </row>
    <row r="1338" spans="1:21">
      <c r="A1338" t="s">
        <v>2817</v>
      </c>
      <c r="B1338" s="7">
        <v>46261</v>
      </c>
      <c r="C1338" s="8">
        <v>0.5875231481481481</v>
      </c>
      <c r="D1338" t="s">
        <v>17</v>
      </c>
      <c r="E1338" t="s">
        <v>2</v>
      </c>
      <c r="F1338" t="s">
        <v>50</v>
      </c>
      <c r="G1338" t="s">
        <v>51</v>
      </c>
      <c r="H1338">
        <v>67.63</v>
      </c>
      <c r="I1338" t="s">
        <v>52</v>
      </c>
      <c r="J1338" t="s">
        <v>60</v>
      </c>
      <c r="K1338" t="s">
        <v>54</v>
      </c>
      <c r="L1338" t="s">
        <v>55</v>
      </c>
      <c r="O1338" t="s">
        <v>61</v>
      </c>
      <c r="P1338" t="s">
        <v>62</v>
      </c>
      <c r="Q1338">
        <v>15256.6</v>
      </c>
      <c r="R1338">
        <v>-67.63</v>
      </c>
      <c r="S1338" t="s">
        <v>2895</v>
      </c>
      <c r="T1338" t="s">
        <v>2896</v>
      </c>
      <c r="U1338" t="s">
        <v>2897</v>
      </c>
    </row>
    <row r="1339" spans="1:21">
      <c r="A1339" t="s">
        <v>2819</v>
      </c>
      <c r="B1339" s="7">
        <v>46261</v>
      </c>
      <c r="C1339" s="8">
        <v>0.61768518518518523</v>
      </c>
      <c r="D1339" t="s">
        <v>17</v>
      </c>
      <c r="E1339" t="s">
        <v>2</v>
      </c>
      <c r="F1339" t="s">
        <v>50</v>
      </c>
      <c r="G1339" t="s">
        <v>51</v>
      </c>
      <c r="H1339">
        <v>25.52</v>
      </c>
      <c r="I1339" t="s">
        <v>52</v>
      </c>
      <c r="J1339" t="s">
        <v>60</v>
      </c>
      <c r="K1339" t="s">
        <v>54</v>
      </c>
      <c r="L1339" t="s">
        <v>55</v>
      </c>
      <c r="O1339" t="s">
        <v>61</v>
      </c>
      <c r="P1339" t="s">
        <v>62</v>
      </c>
      <c r="Q1339">
        <v>15231.08</v>
      </c>
      <c r="R1339">
        <v>-25.52</v>
      </c>
      <c r="S1339" t="s">
        <v>2895</v>
      </c>
      <c r="T1339" t="s">
        <v>2896</v>
      </c>
      <c r="U1339" t="s">
        <v>2897</v>
      </c>
    </row>
    <row r="1340" spans="1:21">
      <c r="A1340" t="s">
        <v>2821</v>
      </c>
      <c r="B1340" s="7">
        <v>46261</v>
      </c>
      <c r="C1340" s="8">
        <v>0.7619097222222222</v>
      </c>
      <c r="D1340" t="s">
        <v>17</v>
      </c>
      <c r="E1340" t="s">
        <v>2</v>
      </c>
      <c r="F1340" t="s">
        <v>50</v>
      </c>
      <c r="G1340" t="s">
        <v>51</v>
      </c>
      <c r="H1340">
        <v>136.47999999999999</v>
      </c>
      <c r="I1340" t="s">
        <v>52</v>
      </c>
      <c r="J1340" t="s">
        <v>65</v>
      </c>
      <c r="K1340" t="s">
        <v>54</v>
      </c>
      <c r="L1340" t="s">
        <v>55</v>
      </c>
      <c r="O1340" t="s">
        <v>66</v>
      </c>
      <c r="P1340" t="s">
        <v>67</v>
      </c>
      <c r="Q1340">
        <v>14962.74</v>
      </c>
      <c r="R1340">
        <v>-136.47999999999999</v>
      </c>
      <c r="S1340" t="s">
        <v>2895</v>
      </c>
      <c r="T1340" t="s">
        <v>2896</v>
      </c>
      <c r="U1340" t="s">
        <v>2897</v>
      </c>
    </row>
    <row r="1341" spans="1:21">
      <c r="A1341" t="s">
        <v>2823</v>
      </c>
      <c r="B1341" s="7">
        <v>46261</v>
      </c>
      <c r="C1341" s="8">
        <v>0.78803240740740743</v>
      </c>
      <c r="D1341" t="s">
        <v>17</v>
      </c>
      <c r="E1341" t="s">
        <v>2</v>
      </c>
      <c r="F1341" t="s">
        <v>50</v>
      </c>
      <c r="G1341" t="s">
        <v>100</v>
      </c>
      <c r="H1341">
        <v>15</v>
      </c>
      <c r="I1341" t="s">
        <v>52</v>
      </c>
      <c r="J1341" t="s">
        <v>101</v>
      </c>
      <c r="K1341" t="s">
        <v>54</v>
      </c>
      <c r="L1341" t="s">
        <v>102</v>
      </c>
      <c r="O1341" t="s">
        <v>103</v>
      </c>
      <c r="P1341" t="s">
        <v>104</v>
      </c>
      <c r="Q1341">
        <v>14892.7</v>
      </c>
      <c r="R1341">
        <v>-15</v>
      </c>
      <c r="S1341" t="s">
        <v>2895</v>
      </c>
      <c r="T1341" t="s">
        <v>2896</v>
      </c>
      <c r="U1341" t="s">
        <v>2897</v>
      </c>
    </row>
    <row r="1342" spans="1:21">
      <c r="A1342" t="s">
        <v>2825</v>
      </c>
      <c r="B1342" s="7">
        <v>46261</v>
      </c>
      <c r="C1342" s="8">
        <v>0.80114583333333333</v>
      </c>
      <c r="D1342" t="s">
        <v>17</v>
      </c>
      <c r="E1342" t="s">
        <v>2</v>
      </c>
      <c r="F1342" t="s">
        <v>50</v>
      </c>
      <c r="G1342" t="s">
        <v>51</v>
      </c>
      <c r="H1342">
        <v>29.19</v>
      </c>
      <c r="I1342" t="s">
        <v>52</v>
      </c>
      <c r="J1342" t="s">
        <v>60</v>
      </c>
      <c r="K1342" t="s">
        <v>54</v>
      </c>
      <c r="L1342" t="s">
        <v>55</v>
      </c>
      <c r="O1342" t="s">
        <v>61</v>
      </c>
      <c r="P1342" t="s">
        <v>62</v>
      </c>
      <c r="Q1342">
        <v>15324.23</v>
      </c>
      <c r="R1342">
        <v>-29.19</v>
      </c>
      <c r="S1342" t="s">
        <v>2895</v>
      </c>
      <c r="T1342" t="s">
        <v>2896</v>
      </c>
      <c r="U1342" t="s">
        <v>2897</v>
      </c>
    </row>
    <row r="1343" spans="1:21">
      <c r="A1343" t="s">
        <v>2827</v>
      </c>
      <c r="B1343" s="7">
        <v>46262</v>
      </c>
      <c r="C1343" s="8">
        <v>0.28237268518518521</v>
      </c>
      <c r="D1343" t="s">
        <v>17</v>
      </c>
      <c r="E1343" t="s">
        <v>2</v>
      </c>
      <c r="F1343" t="s">
        <v>50</v>
      </c>
      <c r="G1343" t="s">
        <v>51</v>
      </c>
      <c r="H1343">
        <v>9.43</v>
      </c>
      <c r="I1343" t="s">
        <v>52</v>
      </c>
      <c r="J1343" t="s">
        <v>126</v>
      </c>
      <c r="K1343" t="s">
        <v>54</v>
      </c>
      <c r="L1343" t="s">
        <v>55</v>
      </c>
      <c r="O1343" t="s">
        <v>56</v>
      </c>
      <c r="P1343" t="s">
        <v>57</v>
      </c>
      <c r="Q1343">
        <v>14658.31</v>
      </c>
      <c r="R1343">
        <v>-9.43</v>
      </c>
      <c r="S1343" t="s">
        <v>2895</v>
      </c>
      <c r="T1343" t="s">
        <v>2896</v>
      </c>
      <c r="U1343" t="s">
        <v>2897</v>
      </c>
    </row>
    <row r="1344" spans="1:21">
      <c r="A1344" t="s">
        <v>2829</v>
      </c>
      <c r="B1344" s="7">
        <v>46262</v>
      </c>
      <c r="C1344" s="8">
        <v>0.40328703703703705</v>
      </c>
      <c r="D1344" t="s">
        <v>17</v>
      </c>
      <c r="E1344" t="s">
        <v>2</v>
      </c>
      <c r="F1344" t="s">
        <v>50</v>
      </c>
      <c r="G1344" t="s">
        <v>51</v>
      </c>
      <c r="H1344">
        <v>13.74</v>
      </c>
      <c r="I1344" t="s">
        <v>52</v>
      </c>
      <c r="J1344" t="s">
        <v>53</v>
      </c>
      <c r="K1344" t="s">
        <v>54</v>
      </c>
      <c r="L1344" t="s">
        <v>55</v>
      </c>
      <c r="O1344" t="s">
        <v>56</v>
      </c>
      <c r="P1344" t="s">
        <v>57</v>
      </c>
      <c r="Q1344">
        <v>14701.04</v>
      </c>
      <c r="R1344">
        <v>-13.74</v>
      </c>
      <c r="S1344" t="s">
        <v>2895</v>
      </c>
      <c r="T1344" t="s">
        <v>2896</v>
      </c>
      <c r="U1344" t="s">
        <v>2897</v>
      </c>
    </row>
    <row r="1345" spans="1:21">
      <c r="A1345" t="s">
        <v>2831</v>
      </c>
      <c r="B1345" s="7">
        <v>46262</v>
      </c>
      <c r="C1345" s="8">
        <v>0.64692129629629624</v>
      </c>
      <c r="D1345" t="s">
        <v>17</v>
      </c>
      <c r="E1345" t="s">
        <v>2</v>
      </c>
      <c r="F1345" t="s">
        <v>50</v>
      </c>
      <c r="G1345" t="s">
        <v>72</v>
      </c>
      <c r="H1345">
        <v>106.49</v>
      </c>
      <c r="I1345" t="s">
        <v>52</v>
      </c>
      <c r="J1345" t="s">
        <v>73</v>
      </c>
      <c r="K1345" t="s">
        <v>54</v>
      </c>
      <c r="L1345" t="s">
        <v>74</v>
      </c>
      <c r="O1345" t="s">
        <v>75</v>
      </c>
      <c r="P1345" t="s">
        <v>76</v>
      </c>
      <c r="Q1345">
        <v>14551.82</v>
      </c>
      <c r="R1345">
        <v>-106.49</v>
      </c>
      <c r="S1345" t="s">
        <v>2895</v>
      </c>
      <c r="T1345" t="s">
        <v>2896</v>
      </c>
      <c r="U1345" t="s">
        <v>2897</v>
      </c>
    </row>
    <row r="1346" spans="1:21">
      <c r="A1346" t="s">
        <v>2833</v>
      </c>
      <c r="B1346" s="7">
        <v>46262</v>
      </c>
      <c r="C1346" s="8">
        <v>0.65361111111111114</v>
      </c>
      <c r="D1346" t="s">
        <v>17</v>
      </c>
      <c r="E1346" t="s">
        <v>2</v>
      </c>
      <c r="F1346" t="s">
        <v>50</v>
      </c>
      <c r="G1346" t="s">
        <v>100</v>
      </c>
      <c r="H1346">
        <v>15</v>
      </c>
      <c r="I1346" t="s">
        <v>52</v>
      </c>
      <c r="J1346" t="s">
        <v>101</v>
      </c>
      <c r="K1346" t="s">
        <v>54</v>
      </c>
      <c r="L1346" t="s">
        <v>102</v>
      </c>
      <c r="O1346" t="s">
        <v>103</v>
      </c>
      <c r="P1346" t="s">
        <v>104</v>
      </c>
      <c r="Q1346">
        <v>14744.96</v>
      </c>
      <c r="R1346">
        <v>-15</v>
      </c>
      <c r="S1346" t="s">
        <v>2895</v>
      </c>
      <c r="T1346" t="s">
        <v>2896</v>
      </c>
      <c r="U1346" t="s">
        <v>2897</v>
      </c>
    </row>
    <row r="1347" spans="1:21">
      <c r="A1347" t="s">
        <v>2835</v>
      </c>
      <c r="B1347" s="7">
        <v>46262</v>
      </c>
      <c r="C1347" s="8">
        <v>0.67075231481481479</v>
      </c>
      <c r="D1347" t="s">
        <v>17</v>
      </c>
      <c r="E1347" t="s">
        <v>2</v>
      </c>
      <c r="F1347" t="s">
        <v>50</v>
      </c>
      <c r="G1347" t="s">
        <v>51</v>
      </c>
      <c r="H1347">
        <v>40.270000000000003</v>
      </c>
      <c r="I1347" t="s">
        <v>52</v>
      </c>
      <c r="J1347" t="s">
        <v>60</v>
      </c>
      <c r="K1347" t="s">
        <v>54</v>
      </c>
      <c r="L1347" t="s">
        <v>55</v>
      </c>
      <c r="O1347" t="s">
        <v>61</v>
      </c>
      <c r="P1347" t="s">
        <v>62</v>
      </c>
      <c r="Q1347">
        <v>14759.96</v>
      </c>
      <c r="R1347">
        <v>-40.270000000000003</v>
      </c>
      <c r="S1347" t="s">
        <v>2895</v>
      </c>
      <c r="T1347" t="s">
        <v>2896</v>
      </c>
      <c r="U1347" t="s">
        <v>2897</v>
      </c>
    </row>
    <row r="1348" spans="1:21">
      <c r="A1348" t="s">
        <v>2837</v>
      </c>
      <c r="B1348" s="7">
        <v>46262</v>
      </c>
      <c r="C1348" s="8">
        <v>0.75254629629629632</v>
      </c>
      <c r="D1348" t="s">
        <v>17</v>
      </c>
      <c r="E1348" t="s">
        <v>2</v>
      </c>
      <c r="F1348" t="s">
        <v>50</v>
      </c>
      <c r="G1348" t="s">
        <v>51</v>
      </c>
      <c r="H1348">
        <v>43.46</v>
      </c>
      <c r="I1348" t="s">
        <v>52</v>
      </c>
      <c r="J1348" t="s">
        <v>81</v>
      </c>
      <c r="K1348" t="s">
        <v>54</v>
      </c>
      <c r="L1348" t="s">
        <v>55</v>
      </c>
      <c r="O1348" t="s">
        <v>82</v>
      </c>
      <c r="P1348" t="s">
        <v>83</v>
      </c>
      <c r="Q1348">
        <v>14800.23</v>
      </c>
      <c r="R1348">
        <v>-43.46</v>
      </c>
      <c r="S1348" t="s">
        <v>2895</v>
      </c>
      <c r="T1348" t="s">
        <v>2896</v>
      </c>
      <c r="U1348" t="s">
        <v>2897</v>
      </c>
    </row>
    <row r="1349" spans="1:21">
      <c r="A1349" t="s">
        <v>2839</v>
      </c>
      <c r="B1349" s="7">
        <v>46262</v>
      </c>
      <c r="C1349" s="8">
        <v>0.77930555555555558</v>
      </c>
      <c r="D1349" t="s">
        <v>17</v>
      </c>
      <c r="E1349" t="s">
        <v>2</v>
      </c>
      <c r="F1349" t="s">
        <v>50</v>
      </c>
      <c r="G1349" t="s">
        <v>51</v>
      </c>
      <c r="H1349">
        <v>30.18</v>
      </c>
      <c r="I1349" t="s">
        <v>52</v>
      </c>
      <c r="J1349" t="s">
        <v>126</v>
      </c>
      <c r="K1349" t="s">
        <v>54</v>
      </c>
      <c r="L1349" t="s">
        <v>55</v>
      </c>
      <c r="O1349" t="s">
        <v>56</v>
      </c>
      <c r="P1349" t="s">
        <v>57</v>
      </c>
      <c r="Q1349">
        <v>14714.78</v>
      </c>
      <c r="R1349">
        <v>-30.18</v>
      </c>
      <c r="S1349" t="s">
        <v>2895</v>
      </c>
      <c r="T1349" t="s">
        <v>2896</v>
      </c>
      <c r="U1349" t="s">
        <v>2897</v>
      </c>
    </row>
    <row r="1350" spans="1:21">
      <c r="A1350" t="s">
        <v>2841</v>
      </c>
      <c r="B1350" s="7">
        <v>46262</v>
      </c>
      <c r="C1350" s="8">
        <v>0.86541666666666661</v>
      </c>
      <c r="D1350" t="s">
        <v>17</v>
      </c>
      <c r="E1350" t="s">
        <v>2</v>
      </c>
      <c r="F1350" t="s">
        <v>149</v>
      </c>
      <c r="G1350" t="s">
        <v>321</v>
      </c>
      <c r="H1350">
        <v>3124.7</v>
      </c>
      <c r="I1350" t="s">
        <v>52</v>
      </c>
      <c r="J1350" t="s">
        <v>9</v>
      </c>
      <c r="K1350" t="s">
        <v>54</v>
      </c>
      <c r="L1350" t="s">
        <v>102</v>
      </c>
      <c r="O1350" t="s">
        <v>322</v>
      </c>
      <c r="P1350" t="s">
        <v>323</v>
      </c>
      <c r="Q1350">
        <v>51049.23</v>
      </c>
      <c r="R1350">
        <v>3124.7</v>
      </c>
      <c r="S1350" t="s">
        <v>2895</v>
      </c>
      <c r="T1350" t="s">
        <v>2896</v>
      </c>
      <c r="U1350" t="s">
        <v>2897</v>
      </c>
    </row>
    <row r="1351" spans="1:21">
      <c r="A1351" t="s">
        <v>2842</v>
      </c>
      <c r="B1351" s="7">
        <v>46262</v>
      </c>
      <c r="C1351" s="8">
        <v>0.86611111111111116</v>
      </c>
      <c r="D1351" t="s">
        <v>17</v>
      </c>
      <c r="E1351" t="s">
        <v>2</v>
      </c>
      <c r="F1351" t="s">
        <v>50</v>
      </c>
      <c r="G1351" t="s">
        <v>51</v>
      </c>
      <c r="H1351">
        <v>33.299999999999997</v>
      </c>
      <c r="I1351" t="s">
        <v>52</v>
      </c>
      <c r="J1351" t="s">
        <v>81</v>
      </c>
      <c r="K1351" t="s">
        <v>54</v>
      </c>
      <c r="L1351" t="s">
        <v>55</v>
      </c>
      <c r="O1351" t="s">
        <v>82</v>
      </c>
      <c r="P1351" t="s">
        <v>83</v>
      </c>
      <c r="Q1351">
        <v>14667.74</v>
      </c>
      <c r="R1351">
        <v>-33.299999999999997</v>
      </c>
      <c r="S1351" t="s">
        <v>2895</v>
      </c>
      <c r="T1351" t="s">
        <v>2896</v>
      </c>
      <c r="U1351" t="s">
        <v>2897</v>
      </c>
    </row>
    <row r="1352" spans="1:21">
      <c r="A1352" t="s">
        <v>2844</v>
      </c>
      <c r="B1352" s="7">
        <v>46263</v>
      </c>
      <c r="C1352" s="8">
        <v>0.30682870370370369</v>
      </c>
      <c r="D1352" t="s">
        <v>17</v>
      </c>
      <c r="E1352" t="s">
        <v>2</v>
      </c>
      <c r="F1352" t="s">
        <v>50</v>
      </c>
      <c r="G1352" t="s">
        <v>51</v>
      </c>
      <c r="H1352">
        <v>22.7</v>
      </c>
      <c r="I1352" t="s">
        <v>52</v>
      </c>
      <c r="J1352" t="s">
        <v>65</v>
      </c>
      <c r="K1352" t="s">
        <v>54</v>
      </c>
      <c r="L1352" t="s">
        <v>55</v>
      </c>
      <c r="O1352" t="s">
        <v>66</v>
      </c>
      <c r="P1352" t="s">
        <v>67</v>
      </c>
      <c r="Q1352">
        <v>14529.12</v>
      </c>
      <c r="R1352">
        <v>-22.7</v>
      </c>
      <c r="S1352" t="s">
        <v>2895</v>
      </c>
      <c r="T1352" t="s">
        <v>2896</v>
      </c>
      <c r="U1352" t="s">
        <v>2897</v>
      </c>
    </row>
    <row r="1353" spans="1:21">
      <c r="A1353" t="s">
        <v>2846</v>
      </c>
      <c r="B1353" s="7">
        <v>46263</v>
      </c>
      <c r="C1353" s="8">
        <v>0.3244097222222222</v>
      </c>
      <c r="D1353" t="s">
        <v>17</v>
      </c>
      <c r="E1353" t="s">
        <v>2</v>
      </c>
      <c r="F1353" t="s">
        <v>50</v>
      </c>
      <c r="G1353" t="s">
        <v>51</v>
      </c>
      <c r="H1353">
        <v>176.62</v>
      </c>
      <c r="I1353" t="s">
        <v>52</v>
      </c>
      <c r="J1353" t="s">
        <v>196</v>
      </c>
      <c r="K1353" t="s">
        <v>54</v>
      </c>
      <c r="L1353" t="s">
        <v>55</v>
      </c>
      <c r="O1353" t="s">
        <v>197</v>
      </c>
      <c r="P1353" t="s">
        <v>198</v>
      </c>
      <c r="Q1353">
        <v>14266.12</v>
      </c>
      <c r="R1353">
        <v>-176.62</v>
      </c>
      <c r="S1353" t="s">
        <v>2895</v>
      </c>
      <c r="T1353" t="s">
        <v>2896</v>
      </c>
      <c r="U1353" t="s">
        <v>2897</v>
      </c>
    </row>
    <row r="1354" spans="1:21">
      <c r="A1354" t="s">
        <v>2848</v>
      </c>
      <c r="B1354" s="7">
        <v>46263</v>
      </c>
      <c r="C1354" s="8">
        <v>0.36888888888888888</v>
      </c>
      <c r="D1354" t="s">
        <v>17</v>
      </c>
      <c r="E1354" t="s">
        <v>2</v>
      </c>
      <c r="F1354" t="s">
        <v>149</v>
      </c>
      <c r="G1354" t="s">
        <v>72</v>
      </c>
      <c r="H1354">
        <v>118.5</v>
      </c>
      <c r="I1354" t="s">
        <v>52</v>
      </c>
      <c r="J1354" t="s">
        <v>73</v>
      </c>
      <c r="K1354" t="s">
        <v>54</v>
      </c>
      <c r="L1354" t="s">
        <v>74</v>
      </c>
      <c r="O1354" t="s">
        <v>75</v>
      </c>
      <c r="P1354" t="s">
        <v>76</v>
      </c>
      <c r="Q1354">
        <v>14146.5</v>
      </c>
      <c r="R1354">
        <v>118.5</v>
      </c>
      <c r="S1354" t="s">
        <v>2895</v>
      </c>
      <c r="T1354" t="s">
        <v>2896</v>
      </c>
      <c r="U1354" t="s">
        <v>2897</v>
      </c>
    </row>
    <row r="1355" spans="1:21">
      <c r="A1355" t="s">
        <v>2850</v>
      </c>
      <c r="B1355" s="7">
        <v>46263</v>
      </c>
      <c r="C1355" s="8">
        <v>0.37004629629629632</v>
      </c>
      <c r="D1355" t="s">
        <v>17</v>
      </c>
      <c r="E1355" t="s">
        <v>2</v>
      </c>
      <c r="F1355" t="s">
        <v>50</v>
      </c>
      <c r="G1355" t="s">
        <v>51</v>
      </c>
      <c r="H1355">
        <v>41.41</v>
      </c>
      <c r="I1355" t="s">
        <v>52</v>
      </c>
      <c r="J1355" t="s">
        <v>126</v>
      </c>
      <c r="K1355" t="s">
        <v>54</v>
      </c>
      <c r="L1355" t="s">
        <v>55</v>
      </c>
      <c r="O1355" t="s">
        <v>56</v>
      </c>
      <c r="P1355" t="s">
        <v>57</v>
      </c>
      <c r="Q1355">
        <v>14028</v>
      </c>
      <c r="R1355">
        <v>-41.41</v>
      </c>
      <c r="S1355" t="s">
        <v>2895</v>
      </c>
      <c r="T1355" t="s">
        <v>2896</v>
      </c>
      <c r="U1355" t="s">
        <v>2897</v>
      </c>
    </row>
    <row r="1356" spans="1:21">
      <c r="A1356" t="s">
        <v>2852</v>
      </c>
      <c r="B1356" s="7">
        <v>46263</v>
      </c>
      <c r="C1356" s="8">
        <v>0.39559027777777778</v>
      </c>
      <c r="D1356" t="s">
        <v>17</v>
      </c>
      <c r="E1356" t="s">
        <v>2</v>
      </c>
      <c r="F1356" t="s">
        <v>50</v>
      </c>
      <c r="G1356" t="s">
        <v>51</v>
      </c>
      <c r="H1356">
        <v>132.88999999999999</v>
      </c>
      <c r="I1356" t="s">
        <v>52</v>
      </c>
      <c r="J1356" t="s">
        <v>65</v>
      </c>
      <c r="K1356" t="s">
        <v>54</v>
      </c>
      <c r="L1356" t="s">
        <v>55</v>
      </c>
      <c r="O1356" t="s">
        <v>66</v>
      </c>
      <c r="P1356" t="s">
        <v>67</v>
      </c>
      <c r="Q1356">
        <v>14069.41</v>
      </c>
      <c r="R1356">
        <v>-132.88999999999999</v>
      </c>
      <c r="S1356" t="s">
        <v>2895</v>
      </c>
      <c r="T1356" t="s">
        <v>2896</v>
      </c>
      <c r="U1356" t="s">
        <v>2897</v>
      </c>
    </row>
    <row r="1357" spans="1:21">
      <c r="A1357" t="s">
        <v>2853</v>
      </c>
      <c r="B1357" s="7">
        <v>46263</v>
      </c>
      <c r="C1357" s="8">
        <v>0.4167939814814815</v>
      </c>
      <c r="D1357" t="s">
        <v>17</v>
      </c>
      <c r="E1357" t="s">
        <v>2</v>
      </c>
      <c r="F1357" t="s">
        <v>50</v>
      </c>
      <c r="G1357" t="s">
        <v>51</v>
      </c>
      <c r="H1357">
        <v>48.82</v>
      </c>
      <c r="I1357" t="s">
        <v>52</v>
      </c>
      <c r="J1357" t="s">
        <v>65</v>
      </c>
      <c r="K1357" t="s">
        <v>54</v>
      </c>
      <c r="L1357" t="s">
        <v>55</v>
      </c>
      <c r="O1357" t="s">
        <v>66</v>
      </c>
      <c r="P1357" t="s">
        <v>67</v>
      </c>
      <c r="Q1357">
        <v>14202.3</v>
      </c>
      <c r="R1357">
        <v>-48.82</v>
      </c>
      <c r="S1357" t="s">
        <v>2895</v>
      </c>
      <c r="T1357" t="s">
        <v>2896</v>
      </c>
      <c r="U1357" t="s">
        <v>2897</v>
      </c>
    </row>
    <row r="1358" spans="1:21">
      <c r="A1358" t="s">
        <v>2855</v>
      </c>
      <c r="B1358" s="7">
        <v>46263</v>
      </c>
      <c r="C1358" s="8">
        <v>0.44973379629629628</v>
      </c>
      <c r="D1358" t="s">
        <v>17</v>
      </c>
      <c r="E1358" t="s">
        <v>2</v>
      </c>
      <c r="F1358" t="s">
        <v>50</v>
      </c>
      <c r="G1358" t="s">
        <v>100</v>
      </c>
      <c r="H1358">
        <v>16.88</v>
      </c>
      <c r="I1358" t="s">
        <v>52</v>
      </c>
      <c r="J1358" t="s">
        <v>114</v>
      </c>
      <c r="K1358" t="s">
        <v>54</v>
      </c>
      <c r="L1358" t="s">
        <v>102</v>
      </c>
      <c r="O1358" t="s">
        <v>103</v>
      </c>
      <c r="P1358" t="s">
        <v>104</v>
      </c>
      <c r="Q1358">
        <v>14442.74</v>
      </c>
      <c r="R1358">
        <v>-16.88</v>
      </c>
      <c r="S1358" t="s">
        <v>2895</v>
      </c>
      <c r="T1358" t="s">
        <v>2896</v>
      </c>
      <c r="U1358" t="s">
        <v>2897</v>
      </c>
    </row>
    <row r="1359" spans="1:21">
      <c r="A1359" t="s">
        <v>2857</v>
      </c>
      <c r="B1359" s="7">
        <v>46263</v>
      </c>
      <c r="C1359" s="8">
        <v>0.53589120370370369</v>
      </c>
      <c r="D1359" t="s">
        <v>17</v>
      </c>
      <c r="E1359" t="s">
        <v>2</v>
      </c>
      <c r="F1359" t="s">
        <v>50</v>
      </c>
      <c r="G1359" t="s">
        <v>51</v>
      </c>
      <c r="H1359">
        <v>69.5</v>
      </c>
      <c r="I1359" t="s">
        <v>52</v>
      </c>
      <c r="J1359" t="s">
        <v>65</v>
      </c>
      <c r="K1359" t="s">
        <v>54</v>
      </c>
      <c r="L1359" t="s">
        <v>55</v>
      </c>
      <c r="O1359" t="s">
        <v>66</v>
      </c>
      <c r="P1359" t="s">
        <v>67</v>
      </c>
      <c r="Q1359">
        <v>14459.62</v>
      </c>
      <c r="R1359">
        <v>-69.5</v>
      </c>
      <c r="S1359" t="s">
        <v>2895</v>
      </c>
      <c r="T1359" t="s">
        <v>2896</v>
      </c>
      <c r="U1359" t="s">
        <v>2897</v>
      </c>
    </row>
    <row r="1360" spans="1:21">
      <c r="A1360" t="s">
        <v>2859</v>
      </c>
      <c r="B1360" s="7">
        <v>46263</v>
      </c>
      <c r="C1360" s="8">
        <v>0.91594907407407411</v>
      </c>
      <c r="D1360" t="s">
        <v>17</v>
      </c>
      <c r="E1360" t="s">
        <v>2</v>
      </c>
      <c r="F1360" t="s">
        <v>50</v>
      </c>
      <c r="G1360" t="s">
        <v>100</v>
      </c>
      <c r="H1360">
        <v>15</v>
      </c>
      <c r="I1360" t="s">
        <v>52</v>
      </c>
      <c r="J1360" t="s">
        <v>101</v>
      </c>
      <c r="K1360" t="s">
        <v>54</v>
      </c>
      <c r="L1360" t="s">
        <v>102</v>
      </c>
      <c r="O1360" t="s">
        <v>103</v>
      </c>
      <c r="P1360" t="s">
        <v>104</v>
      </c>
      <c r="Q1360">
        <v>14251.12</v>
      </c>
      <c r="R1360">
        <v>-15</v>
      </c>
      <c r="S1360" t="s">
        <v>2895</v>
      </c>
      <c r="T1360" t="s">
        <v>2896</v>
      </c>
      <c r="U1360" t="s">
        <v>2897</v>
      </c>
    </row>
    <row r="1361" spans="1:21">
      <c r="A1361" t="s">
        <v>2861</v>
      </c>
      <c r="B1361" s="7">
        <v>46264</v>
      </c>
      <c r="C1361" s="8">
        <v>0.31818287037037035</v>
      </c>
      <c r="D1361" t="s">
        <v>17</v>
      </c>
      <c r="E1361" t="s">
        <v>2</v>
      </c>
      <c r="F1361" t="s">
        <v>50</v>
      </c>
      <c r="G1361" t="s">
        <v>72</v>
      </c>
      <c r="H1361">
        <v>170.09</v>
      </c>
      <c r="I1361" t="s">
        <v>52</v>
      </c>
      <c r="J1361" t="s">
        <v>73</v>
      </c>
      <c r="K1361" t="s">
        <v>54</v>
      </c>
      <c r="L1361" t="s">
        <v>74</v>
      </c>
      <c r="O1361" t="s">
        <v>75</v>
      </c>
      <c r="P1361" t="s">
        <v>76</v>
      </c>
      <c r="Q1361">
        <v>13516.93</v>
      </c>
      <c r="R1361">
        <v>-170.09</v>
      </c>
      <c r="S1361" t="s">
        <v>2895</v>
      </c>
      <c r="T1361" t="s">
        <v>2896</v>
      </c>
      <c r="U1361" t="s">
        <v>2897</v>
      </c>
    </row>
    <row r="1362" spans="1:21">
      <c r="A1362" t="s">
        <v>2863</v>
      </c>
      <c r="B1362" s="7">
        <v>46264</v>
      </c>
      <c r="C1362" s="8">
        <v>0.33333333333333331</v>
      </c>
      <c r="D1362" t="s">
        <v>17</v>
      </c>
      <c r="E1362" t="s">
        <v>2</v>
      </c>
      <c r="F1362" t="s">
        <v>50</v>
      </c>
      <c r="G1362" t="s">
        <v>51</v>
      </c>
      <c r="H1362">
        <v>129.71</v>
      </c>
      <c r="I1362" t="s">
        <v>52</v>
      </c>
      <c r="J1362" t="s">
        <v>65</v>
      </c>
      <c r="K1362" t="s">
        <v>54</v>
      </c>
      <c r="L1362" t="s">
        <v>55</v>
      </c>
      <c r="O1362" t="s">
        <v>66</v>
      </c>
      <c r="P1362" t="s">
        <v>67</v>
      </c>
      <c r="Q1362">
        <v>13747.07</v>
      </c>
      <c r="R1362">
        <v>-129.71</v>
      </c>
      <c r="S1362" t="s">
        <v>2895</v>
      </c>
      <c r="T1362" t="s">
        <v>2896</v>
      </c>
      <c r="U1362" t="s">
        <v>2897</v>
      </c>
    </row>
    <row r="1363" spans="1:21">
      <c r="A1363" t="s">
        <v>2865</v>
      </c>
      <c r="B1363" s="7">
        <v>46264</v>
      </c>
      <c r="C1363" s="8">
        <v>0.43116898148148147</v>
      </c>
      <c r="D1363" t="s">
        <v>17</v>
      </c>
      <c r="E1363" t="s">
        <v>2</v>
      </c>
      <c r="F1363" t="s">
        <v>50</v>
      </c>
      <c r="G1363" t="s">
        <v>51</v>
      </c>
      <c r="H1363">
        <v>14.28</v>
      </c>
      <c r="I1363" t="s">
        <v>52</v>
      </c>
      <c r="J1363" t="s">
        <v>81</v>
      </c>
      <c r="K1363" t="s">
        <v>54</v>
      </c>
      <c r="L1363" t="s">
        <v>55</v>
      </c>
      <c r="O1363" t="s">
        <v>82</v>
      </c>
      <c r="P1363" t="s">
        <v>83</v>
      </c>
      <c r="Q1363">
        <v>14132.22</v>
      </c>
      <c r="R1363">
        <v>-14.28</v>
      </c>
      <c r="S1363" t="s">
        <v>2895</v>
      </c>
      <c r="T1363" t="s">
        <v>2896</v>
      </c>
      <c r="U1363" t="s">
        <v>2897</v>
      </c>
    </row>
    <row r="1364" spans="1:21">
      <c r="A1364" t="s">
        <v>2867</v>
      </c>
      <c r="B1364" s="7">
        <v>46264</v>
      </c>
      <c r="C1364" s="8">
        <v>0.47296296296296297</v>
      </c>
      <c r="D1364" t="s">
        <v>17</v>
      </c>
      <c r="E1364" t="s">
        <v>2</v>
      </c>
      <c r="F1364" t="s">
        <v>50</v>
      </c>
      <c r="G1364" t="s">
        <v>51</v>
      </c>
      <c r="H1364">
        <v>148.03</v>
      </c>
      <c r="I1364" t="s">
        <v>52</v>
      </c>
      <c r="J1364" t="s">
        <v>196</v>
      </c>
      <c r="K1364" t="s">
        <v>54</v>
      </c>
      <c r="L1364" t="s">
        <v>55</v>
      </c>
      <c r="O1364" t="s">
        <v>197</v>
      </c>
      <c r="P1364" t="s">
        <v>198</v>
      </c>
      <c r="Q1364">
        <v>13984.19</v>
      </c>
      <c r="R1364">
        <v>-148.03</v>
      </c>
      <c r="S1364" t="s">
        <v>2895</v>
      </c>
      <c r="T1364" t="s">
        <v>2896</v>
      </c>
      <c r="U1364" t="s">
        <v>2897</v>
      </c>
    </row>
    <row r="1365" spans="1:21">
      <c r="A1365" t="s">
        <v>2869</v>
      </c>
      <c r="B1365" s="7">
        <v>46264</v>
      </c>
      <c r="C1365" s="8">
        <v>0.50671296296296298</v>
      </c>
      <c r="D1365" t="s">
        <v>17</v>
      </c>
      <c r="E1365" t="s">
        <v>2</v>
      </c>
      <c r="F1365" t="s">
        <v>50</v>
      </c>
      <c r="G1365" t="s">
        <v>100</v>
      </c>
      <c r="H1365">
        <v>15</v>
      </c>
      <c r="I1365" t="s">
        <v>52</v>
      </c>
      <c r="J1365" t="s">
        <v>101</v>
      </c>
      <c r="K1365" t="s">
        <v>54</v>
      </c>
      <c r="L1365" t="s">
        <v>102</v>
      </c>
      <c r="O1365" t="s">
        <v>103</v>
      </c>
      <c r="P1365" t="s">
        <v>104</v>
      </c>
      <c r="Q1365">
        <v>13687.02</v>
      </c>
      <c r="R1365">
        <v>-15</v>
      </c>
      <c r="S1365" t="s">
        <v>2895</v>
      </c>
      <c r="T1365" t="s">
        <v>2896</v>
      </c>
      <c r="U1365" t="s">
        <v>2897</v>
      </c>
    </row>
    <row r="1366" spans="1:21">
      <c r="A1366" t="s">
        <v>2871</v>
      </c>
      <c r="B1366" s="7">
        <v>46264</v>
      </c>
      <c r="C1366" s="8">
        <v>0.64356481481481487</v>
      </c>
      <c r="D1366" t="s">
        <v>17</v>
      </c>
      <c r="E1366" t="s">
        <v>2</v>
      </c>
      <c r="F1366" t="s">
        <v>50</v>
      </c>
      <c r="G1366" t="s">
        <v>51</v>
      </c>
      <c r="H1366">
        <v>45.05</v>
      </c>
      <c r="I1366" t="s">
        <v>52</v>
      </c>
      <c r="J1366" t="s">
        <v>126</v>
      </c>
      <c r="K1366" t="s">
        <v>54</v>
      </c>
      <c r="L1366" t="s">
        <v>55</v>
      </c>
      <c r="O1366" t="s">
        <v>56</v>
      </c>
      <c r="P1366" t="s">
        <v>57</v>
      </c>
      <c r="Q1366">
        <v>13702.02</v>
      </c>
      <c r="R1366">
        <v>-45.05</v>
      </c>
      <c r="S1366" t="s">
        <v>2895</v>
      </c>
      <c r="T1366" t="s">
        <v>2896</v>
      </c>
      <c r="U1366" t="s">
        <v>2897</v>
      </c>
    </row>
    <row r="1367" spans="1:21">
      <c r="A1367" t="s">
        <v>2873</v>
      </c>
      <c r="B1367" s="7">
        <v>46264</v>
      </c>
      <c r="C1367" s="8">
        <v>0.78414351851851849</v>
      </c>
      <c r="D1367" t="s">
        <v>17</v>
      </c>
      <c r="E1367" t="s">
        <v>2</v>
      </c>
      <c r="F1367" t="s">
        <v>50</v>
      </c>
      <c r="G1367" t="s">
        <v>51</v>
      </c>
      <c r="H1367">
        <v>34.94</v>
      </c>
      <c r="I1367" t="s">
        <v>52</v>
      </c>
      <c r="J1367" t="s">
        <v>65</v>
      </c>
      <c r="K1367" t="s">
        <v>54</v>
      </c>
      <c r="L1367" t="s">
        <v>55</v>
      </c>
      <c r="O1367" t="s">
        <v>66</v>
      </c>
      <c r="P1367" t="s">
        <v>67</v>
      </c>
      <c r="Q1367">
        <v>13876.78</v>
      </c>
      <c r="R1367">
        <v>-34.94</v>
      </c>
      <c r="S1367" t="s">
        <v>2895</v>
      </c>
      <c r="T1367" t="s">
        <v>2896</v>
      </c>
      <c r="U1367" t="s">
        <v>2897</v>
      </c>
    </row>
    <row r="1368" spans="1:21">
      <c r="A1368" t="s">
        <v>2875</v>
      </c>
      <c r="B1368" s="7">
        <v>46264</v>
      </c>
      <c r="C1368" s="8">
        <v>0.79912037037037043</v>
      </c>
      <c r="D1368" t="s">
        <v>17</v>
      </c>
      <c r="E1368" t="s">
        <v>2</v>
      </c>
      <c r="F1368" t="s">
        <v>50</v>
      </c>
      <c r="G1368" t="s">
        <v>51</v>
      </c>
      <c r="H1368">
        <v>35.69</v>
      </c>
      <c r="I1368" t="s">
        <v>52</v>
      </c>
      <c r="J1368" t="s">
        <v>60</v>
      </c>
      <c r="K1368" t="s">
        <v>54</v>
      </c>
      <c r="L1368" t="s">
        <v>55</v>
      </c>
      <c r="O1368" t="s">
        <v>61</v>
      </c>
      <c r="P1368" t="s">
        <v>62</v>
      </c>
      <c r="Q1368">
        <v>13948.5</v>
      </c>
      <c r="R1368">
        <v>-35.69</v>
      </c>
      <c r="S1368" t="s">
        <v>2895</v>
      </c>
      <c r="T1368" t="s">
        <v>2896</v>
      </c>
      <c r="U1368" t="s">
        <v>2897</v>
      </c>
    </row>
    <row r="1369" spans="1:21">
      <c r="A1369" t="s">
        <v>2877</v>
      </c>
      <c r="B1369" s="7">
        <v>46264</v>
      </c>
      <c r="C1369" s="8">
        <v>0.8444328703703704</v>
      </c>
      <c r="D1369" t="s">
        <v>17</v>
      </c>
      <c r="E1369" t="s">
        <v>2</v>
      </c>
      <c r="F1369" t="s">
        <v>50</v>
      </c>
      <c r="G1369" t="s">
        <v>51</v>
      </c>
      <c r="H1369">
        <v>36.78</v>
      </c>
      <c r="I1369" t="s">
        <v>52</v>
      </c>
      <c r="J1369" t="s">
        <v>81</v>
      </c>
      <c r="K1369" t="s">
        <v>54</v>
      </c>
      <c r="L1369" t="s">
        <v>55</v>
      </c>
      <c r="O1369" t="s">
        <v>82</v>
      </c>
      <c r="P1369" t="s">
        <v>83</v>
      </c>
      <c r="Q1369">
        <v>13911.72</v>
      </c>
      <c r="R1369">
        <v>-36.78</v>
      </c>
      <c r="S1369" t="s">
        <v>2895</v>
      </c>
      <c r="T1369" t="s">
        <v>2896</v>
      </c>
      <c r="U1369" t="s">
        <v>2897</v>
      </c>
    </row>
    <row r="1370" spans="1:21">
      <c r="A1370" t="s">
        <v>2879</v>
      </c>
      <c r="B1370" s="7">
        <v>46265</v>
      </c>
      <c r="C1370" s="8">
        <v>0.27447916666666666</v>
      </c>
      <c r="D1370" t="s">
        <v>17</v>
      </c>
      <c r="E1370" t="s">
        <v>2</v>
      </c>
      <c r="F1370" t="s">
        <v>50</v>
      </c>
      <c r="G1370" t="s">
        <v>51</v>
      </c>
      <c r="H1370">
        <v>8.8699999999999992</v>
      </c>
      <c r="I1370" t="s">
        <v>52</v>
      </c>
      <c r="J1370" t="s">
        <v>53</v>
      </c>
      <c r="K1370" t="s">
        <v>54</v>
      </c>
      <c r="L1370" t="s">
        <v>55</v>
      </c>
      <c r="O1370" t="s">
        <v>56</v>
      </c>
      <c r="P1370" t="s">
        <v>57</v>
      </c>
      <c r="Q1370">
        <v>13508.06</v>
      </c>
      <c r="R1370">
        <v>-8.8699999999999992</v>
      </c>
      <c r="S1370" t="s">
        <v>2895</v>
      </c>
      <c r="T1370" t="s">
        <v>2896</v>
      </c>
      <c r="U1370" t="s">
        <v>2897</v>
      </c>
    </row>
    <row r="1371" spans="1:21">
      <c r="A1371" t="s">
        <v>2881</v>
      </c>
      <c r="B1371" s="7">
        <v>46265</v>
      </c>
      <c r="C1371" s="8">
        <v>0.50543981481481481</v>
      </c>
      <c r="D1371" t="s">
        <v>17</v>
      </c>
      <c r="E1371" t="s">
        <v>2</v>
      </c>
      <c r="F1371" t="s">
        <v>50</v>
      </c>
      <c r="G1371" t="s">
        <v>51</v>
      </c>
      <c r="H1371">
        <v>61.2</v>
      </c>
      <c r="I1371" t="s">
        <v>52</v>
      </c>
      <c r="J1371" t="s">
        <v>196</v>
      </c>
      <c r="K1371" t="s">
        <v>54</v>
      </c>
      <c r="L1371" t="s">
        <v>55</v>
      </c>
      <c r="O1371" t="s">
        <v>197</v>
      </c>
      <c r="P1371" t="s">
        <v>198</v>
      </c>
      <c r="Q1371">
        <v>13361.08</v>
      </c>
      <c r="R1371">
        <v>-61.2</v>
      </c>
      <c r="S1371" t="s">
        <v>2895</v>
      </c>
      <c r="T1371" t="s">
        <v>2896</v>
      </c>
      <c r="U1371" t="s">
        <v>2897</v>
      </c>
    </row>
    <row r="1372" spans="1:21">
      <c r="A1372" t="s">
        <v>2883</v>
      </c>
      <c r="B1372" s="7">
        <v>46265</v>
      </c>
      <c r="C1372" s="8">
        <v>0.51893518518518522</v>
      </c>
      <c r="D1372" t="s">
        <v>17</v>
      </c>
      <c r="E1372" t="s">
        <v>2</v>
      </c>
      <c r="F1372" t="s">
        <v>50</v>
      </c>
      <c r="G1372" t="s">
        <v>72</v>
      </c>
      <c r="H1372">
        <v>78.27</v>
      </c>
      <c r="I1372" t="s">
        <v>52</v>
      </c>
      <c r="J1372" t="s">
        <v>150</v>
      </c>
      <c r="K1372" t="s">
        <v>54</v>
      </c>
      <c r="L1372" t="s">
        <v>74</v>
      </c>
      <c r="O1372" t="s">
        <v>75</v>
      </c>
      <c r="P1372" t="s">
        <v>76</v>
      </c>
      <c r="Q1372">
        <v>13247.4</v>
      </c>
      <c r="R1372">
        <v>-78.27</v>
      </c>
      <c r="S1372" t="s">
        <v>2895</v>
      </c>
      <c r="T1372" t="s">
        <v>2896</v>
      </c>
      <c r="U1372" t="s">
        <v>2897</v>
      </c>
    </row>
    <row r="1373" spans="1:21">
      <c r="A1373" t="s">
        <v>2885</v>
      </c>
      <c r="B1373" s="7">
        <v>46265</v>
      </c>
      <c r="C1373" s="8">
        <v>0.89665509259259257</v>
      </c>
      <c r="D1373" t="s">
        <v>17</v>
      </c>
      <c r="E1373" t="s">
        <v>2</v>
      </c>
      <c r="F1373" t="s">
        <v>50</v>
      </c>
      <c r="G1373" t="s">
        <v>51</v>
      </c>
      <c r="H1373">
        <v>35.409999999999997</v>
      </c>
      <c r="I1373" t="s">
        <v>52</v>
      </c>
      <c r="J1373" t="s">
        <v>126</v>
      </c>
      <c r="K1373" t="s">
        <v>54</v>
      </c>
      <c r="L1373" t="s">
        <v>55</v>
      </c>
      <c r="O1373" t="s">
        <v>56</v>
      </c>
      <c r="P1373" t="s">
        <v>57</v>
      </c>
      <c r="Q1373">
        <v>13325.67</v>
      </c>
      <c r="R1373">
        <v>-35.409999999999997</v>
      </c>
      <c r="S1373" t="s">
        <v>2895</v>
      </c>
      <c r="T1373" t="s">
        <v>2896</v>
      </c>
      <c r="U1373" t="s">
        <v>2897</v>
      </c>
    </row>
    <row r="1374" spans="1:21">
      <c r="A1374" t="s">
        <v>2887</v>
      </c>
      <c r="B1374" s="7">
        <v>46265</v>
      </c>
      <c r="C1374" s="8">
        <v>0.92128472222222224</v>
      </c>
      <c r="D1374" t="s">
        <v>17</v>
      </c>
      <c r="E1374" t="s">
        <v>2</v>
      </c>
      <c r="F1374" t="s">
        <v>50</v>
      </c>
      <c r="G1374" t="s">
        <v>51</v>
      </c>
      <c r="H1374">
        <v>32.92</v>
      </c>
      <c r="I1374" t="s">
        <v>52</v>
      </c>
      <c r="J1374" t="s">
        <v>196</v>
      </c>
      <c r="K1374" t="s">
        <v>54</v>
      </c>
      <c r="L1374" t="s">
        <v>55</v>
      </c>
      <c r="O1374" t="s">
        <v>197</v>
      </c>
      <c r="P1374" t="s">
        <v>198</v>
      </c>
      <c r="Q1374">
        <v>13475.14</v>
      </c>
      <c r="R1374">
        <v>-32.92</v>
      </c>
      <c r="S1374" t="s">
        <v>2895</v>
      </c>
      <c r="T1374" t="s">
        <v>2896</v>
      </c>
      <c r="U1374" t="s">
        <v>2897</v>
      </c>
    </row>
    <row r="1375" spans="1:21">
      <c r="A1375" t="s">
        <v>2889</v>
      </c>
      <c r="B1375" s="7">
        <v>46265</v>
      </c>
      <c r="C1375" s="8">
        <v>0.92672453703703705</v>
      </c>
      <c r="D1375" t="s">
        <v>17</v>
      </c>
      <c r="E1375" t="s">
        <v>2</v>
      </c>
      <c r="F1375" t="s">
        <v>50</v>
      </c>
      <c r="G1375" t="s">
        <v>51</v>
      </c>
      <c r="H1375">
        <v>52.86</v>
      </c>
      <c r="I1375" t="s">
        <v>52</v>
      </c>
      <c r="J1375" t="s">
        <v>81</v>
      </c>
      <c r="K1375" t="s">
        <v>54</v>
      </c>
      <c r="L1375" t="s">
        <v>55</v>
      </c>
      <c r="O1375" t="s">
        <v>82</v>
      </c>
      <c r="P1375" t="s">
        <v>83</v>
      </c>
      <c r="Q1375">
        <v>13422.28</v>
      </c>
      <c r="R1375">
        <v>-52.86</v>
      </c>
      <c r="S1375" t="s">
        <v>2895</v>
      </c>
      <c r="T1375" t="s">
        <v>2896</v>
      </c>
      <c r="U1375" t="s">
        <v>2897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163A-DA73-4B6D-B46E-020BC66435B2}">
  <dimension ref="A1:K36"/>
  <sheetViews>
    <sheetView zoomScale="90" zoomScaleNormal="90" workbookViewId="0">
      <selection activeCell="J28" sqref="J28"/>
    </sheetView>
  </sheetViews>
  <sheetFormatPr defaultRowHeight="13.8"/>
  <cols>
    <col min="1" max="1" width="18.59765625" bestFit="1" customWidth="1"/>
    <col min="2" max="2" width="19.5" bestFit="1" customWidth="1"/>
    <col min="3" max="3" width="15.19921875" bestFit="1" customWidth="1"/>
    <col min="4" max="4" width="29.8984375" bestFit="1" customWidth="1"/>
    <col min="5" max="5" width="31.69921875" bestFit="1" customWidth="1"/>
    <col min="6" max="6" width="21.09765625" bestFit="1" customWidth="1"/>
  </cols>
  <sheetData>
    <row r="1" spans="1:11">
      <c r="A1" t="s">
        <v>37</v>
      </c>
      <c r="B1" t="s">
        <v>2900</v>
      </c>
      <c r="C1" t="s">
        <v>2903</v>
      </c>
      <c r="D1" t="s">
        <v>2901</v>
      </c>
      <c r="E1" t="s">
        <v>2902</v>
      </c>
      <c r="F1" t="s">
        <v>2904</v>
      </c>
    </row>
    <row r="2" spans="1:11">
      <c r="A2" t="s">
        <v>1969</v>
      </c>
      <c r="B2" s="10">
        <v>7</v>
      </c>
      <c r="C2" s="11">
        <v>67080</v>
      </c>
      <c r="D2" s="10">
        <v>7</v>
      </c>
      <c r="E2" s="10">
        <v>67080</v>
      </c>
      <c r="F2" s="9">
        <v>1</v>
      </c>
    </row>
    <row r="3" spans="1:11">
      <c r="A3" t="s">
        <v>51</v>
      </c>
      <c r="B3" s="10">
        <v>902</v>
      </c>
      <c r="C3" s="11">
        <v>39300.170000000035</v>
      </c>
      <c r="D3" s="10">
        <v>0</v>
      </c>
      <c r="E3" s="10">
        <v>0</v>
      </c>
      <c r="F3" s="9">
        <v>0</v>
      </c>
    </row>
    <row r="4" spans="1:11">
      <c r="A4" t="s">
        <v>72</v>
      </c>
      <c r="B4" s="10">
        <v>104</v>
      </c>
      <c r="C4" s="11">
        <v>25497.730000000003</v>
      </c>
      <c r="D4" s="10">
        <v>0</v>
      </c>
      <c r="E4" s="10">
        <v>0</v>
      </c>
      <c r="F4" s="9">
        <v>0</v>
      </c>
    </row>
    <row r="5" spans="1:11">
      <c r="A5" t="s">
        <v>88</v>
      </c>
      <c r="B5" s="10">
        <v>20</v>
      </c>
      <c r="C5" s="11">
        <v>2160</v>
      </c>
      <c r="D5" s="10">
        <v>0</v>
      </c>
      <c r="E5" s="10">
        <v>0</v>
      </c>
      <c r="F5" s="9">
        <v>0</v>
      </c>
    </row>
    <row r="6" spans="1:11">
      <c r="A6" t="s">
        <v>100</v>
      </c>
      <c r="B6" s="10">
        <v>318</v>
      </c>
      <c r="C6" s="11">
        <v>17714.300000000003</v>
      </c>
      <c r="D6" s="10">
        <v>0</v>
      </c>
      <c r="E6" s="10">
        <v>0</v>
      </c>
      <c r="F6" s="9">
        <v>0</v>
      </c>
    </row>
    <row r="7" spans="1:11">
      <c r="A7" t="s">
        <v>321</v>
      </c>
      <c r="B7" s="10">
        <v>12</v>
      </c>
      <c r="C7" s="11">
        <v>37801.83</v>
      </c>
      <c r="D7" s="10">
        <v>0</v>
      </c>
      <c r="E7" s="10">
        <v>0</v>
      </c>
      <c r="F7" s="9">
        <v>0</v>
      </c>
    </row>
    <row r="8" spans="1:11">
      <c r="A8" t="s">
        <v>1722</v>
      </c>
      <c r="B8" s="10">
        <v>3</v>
      </c>
      <c r="C8" s="11">
        <v>18500</v>
      </c>
      <c r="D8" s="10">
        <v>0</v>
      </c>
      <c r="E8" s="10">
        <v>0</v>
      </c>
      <c r="F8" s="9">
        <v>0</v>
      </c>
    </row>
    <row r="9" spans="1:11">
      <c r="A9" t="s">
        <v>1816</v>
      </c>
      <c r="B9" s="10">
        <v>5</v>
      </c>
      <c r="C9" s="11">
        <v>50000</v>
      </c>
      <c r="D9" s="10">
        <v>0</v>
      </c>
      <c r="E9" s="10">
        <v>0</v>
      </c>
      <c r="F9" s="9">
        <v>0</v>
      </c>
    </row>
    <row r="10" spans="1:11">
      <c r="A10" t="s">
        <v>2490</v>
      </c>
      <c r="B10" s="10">
        <v>3</v>
      </c>
      <c r="C10" s="11">
        <v>15800</v>
      </c>
      <c r="D10" s="10">
        <v>0</v>
      </c>
      <c r="E10" s="10">
        <v>0</v>
      </c>
      <c r="F10" s="9">
        <v>0</v>
      </c>
    </row>
    <row r="11" spans="1:11">
      <c r="B11" s="10"/>
      <c r="C11" s="11"/>
      <c r="D11" s="10"/>
      <c r="E11" s="10"/>
      <c r="F11" s="9"/>
    </row>
    <row r="13" spans="1:11" ht="15.6">
      <c r="H13" s="39" t="s">
        <v>2910</v>
      </c>
      <c r="I13" s="39"/>
      <c r="J13" s="39"/>
      <c r="K13" s="39"/>
    </row>
    <row r="14" spans="1:11">
      <c r="H14" s="17" t="s">
        <v>2909</v>
      </c>
      <c r="I14" s="17"/>
      <c r="J14" s="17"/>
      <c r="K14" s="18">
        <f>COUNTIF(TransactionsTable_1[Near_10k_Flag],"Near 10k")</f>
        <v>10</v>
      </c>
    </row>
    <row r="15" spans="1:11">
      <c r="H15" s="17" t="s">
        <v>2913</v>
      </c>
      <c r="I15" s="17"/>
      <c r="J15" s="17"/>
      <c r="K15" s="19">
        <f>SUMIF(TransactionsTable_1[Near_10k_Flag],"Near 10k",TransactionsTable_1[Amount])</f>
        <v>93280</v>
      </c>
    </row>
    <row r="16" spans="1:11">
      <c r="H16" s="17" t="s">
        <v>2911</v>
      </c>
      <c r="I16" s="17"/>
      <c r="J16" s="17"/>
      <c r="K16" s="18">
        <f>COUNTIFS(TransactionsTable_1[Near_10k_Flag], "Near 10k",TransactionsTable_1[Transaction_Type],"Cash Deposit")</f>
        <v>7</v>
      </c>
    </row>
    <row r="17" spans="5:11">
      <c r="H17" s="17" t="s">
        <v>2912</v>
      </c>
      <c r="I17" s="17"/>
      <c r="J17" s="17"/>
      <c r="K17" s="19">
        <f>SUMIFS(TransactionsTable_1[Amount],TransactionsTable_1[Near_10k_Flag],'Transactions Table'!U1026,TransactionsTable_1[Transaction_Type],"cash deposit")</f>
        <v>67080</v>
      </c>
    </row>
    <row r="21" spans="5:11">
      <c r="H21" s="40" t="s">
        <v>2914</v>
      </c>
      <c r="I21" s="40"/>
      <c r="J21" s="40"/>
      <c r="K21" s="40"/>
    </row>
    <row r="22" spans="5:11">
      <c r="H22" s="17" t="s">
        <v>2915</v>
      </c>
      <c r="I22" s="17"/>
      <c r="J22" s="17"/>
      <c r="K22" s="18">
        <f>COUNTIFS(TransactionsTable_1[Near_10k_Flag],"Near 10k",TransactionsTable_1[Transaction_Type],"Wire Transfer")</f>
        <v>3</v>
      </c>
    </row>
    <row r="23" spans="5:11">
      <c r="H23" s="17" t="s">
        <v>2916</v>
      </c>
      <c r="I23" s="17"/>
      <c r="J23" s="17"/>
      <c r="K23" s="19">
        <f>SUMIFS(TransactionsTable_1[Amount],TransactionsTable_1[Near_10k_Flag],'Transactions Table'!U1018,TransactionsTable_1[Transaction_Type],"Wire Transfer")</f>
        <v>26200</v>
      </c>
    </row>
    <row r="27" spans="5:11">
      <c r="H27" s="34" t="s">
        <v>2917</v>
      </c>
      <c r="I27" s="34"/>
      <c r="J27" s="34"/>
      <c r="K27" s="34"/>
    </row>
    <row r="28" spans="5:11">
      <c r="H28" s="17" t="s">
        <v>2903</v>
      </c>
      <c r="I28" s="17"/>
      <c r="J28" s="17"/>
      <c r="K28" s="18">
        <f>SUMIFS(TransactionsTable_1[Amount],TransactionsTable_1[Near_10k_Flag],"Near 10k")</f>
        <v>93280</v>
      </c>
    </row>
    <row r="29" spans="5:11">
      <c r="H29" s="17"/>
      <c r="I29" s="17"/>
      <c r="J29" s="17"/>
      <c r="K29" s="17"/>
    </row>
    <row r="30" spans="5:11">
      <c r="G30" s="13"/>
      <c r="H30" s="17"/>
      <c r="I30" s="17"/>
      <c r="J30" s="17"/>
      <c r="K30" s="17"/>
    </row>
    <row r="31" spans="5:11">
      <c r="G31" s="13"/>
    </row>
    <row r="32" spans="5:11" ht="15.6">
      <c r="E32" s="38" t="s">
        <v>2908</v>
      </c>
      <c r="F32" s="38"/>
      <c r="G32" s="13"/>
    </row>
    <row r="33" spans="5:7">
      <c r="E33" s="12" t="s">
        <v>2906</v>
      </c>
      <c r="F33" s="14">
        <f>SUM(Merge1[AML Summary Flagged Amount])</f>
        <v>67080</v>
      </c>
      <c r="G33" s="13"/>
    </row>
    <row r="34" spans="5:7">
      <c r="E34" s="12" t="s">
        <v>2905</v>
      </c>
      <c r="F34" s="15">
        <f>SUM(Merge1[AML Summary.Flagged_Count])</f>
        <v>7</v>
      </c>
    </row>
    <row r="35" spans="5:7">
      <c r="E35" s="12" t="s">
        <v>2907</v>
      </c>
      <c r="F35" s="20">
        <f>SUM(Merge1[AML Summary.Flagged_Count])/SUM(Merge1[Transaction_Count])</f>
        <v>5.0946142649199418E-3</v>
      </c>
    </row>
    <row r="36" spans="5:7">
      <c r="E36" s="12" t="s">
        <v>2908</v>
      </c>
      <c r="F36" s="16" t="str">
        <f>INDEX(Merge1[Transaction_Type],MATCH(MAX(Merge1[AML Summary.Flagged_Count]),Merge1[AML Summary.Flagged_Count],0))</f>
        <v>Cash Deposit</v>
      </c>
    </row>
  </sheetData>
  <mergeCells count="4">
    <mergeCell ref="E32:F32"/>
    <mergeCell ref="H13:K13"/>
    <mergeCell ref="H21:K21"/>
    <mergeCell ref="H27:K27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F0AE-9EDE-446E-B933-BEE03F4261D8}">
  <dimension ref="A1:X1389"/>
  <sheetViews>
    <sheetView topLeftCell="A945" zoomScale="90" zoomScaleNormal="90" workbookViewId="0">
      <selection activeCell="I1398" sqref="I1398"/>
    </sheetView>
  </sheetViews>
  <sheetFormatPr defaultRowHeight="13.8"/>
  <cols>
    <col min="1" max="1" width="15.59765625" customWidth="1"/>
    <col min="2" max="2" width="19.296875" customWidth="1"/>
    <col min="3" max="3" width="18.19921875" customWidth="1"/>
    <col min="4" max="4" width="12.59765625" customWidth="1"/>
    <col min="5" max="5" width="14" customWidth="1"/>
    <col min="6" max="6" width="10.5" customWidth="1"/>
    <col min="7" max="7" width="18.19921875" customWidth="1"/>
    <col min="8" max="8" width="9.5" customWidth="1"/>
    <col min="9" max="9" width="10.69921875" customWidth="1"/>
    <col min="10" max="10" width="19.69921875" bestFit="1" customWidth="1"/>
    <col min="11" max="11" width="21.69921875" bestFit="1" customWidth="1"/>
    <col min="12" max="12" width="9.59765625" bestFit="1" customWidth="1"/>
    <col min="13" max="13" width="13.296875" customWidth="1"/>
    <col min="14" max="14" width="14.296875" customWidth="1"/>
    <col min="15" max="15" width="19.69921875" customWidth="1"/>
    <col min="16" max="16" width="22.59765625" bestFit="1" customWidth="1"/>
    <col min="17" max="17" width="14.8984375" customWidth="1"/>
    <col min="18" max="18" width="16.09765625" customWidth="1"/>
    <col min="19" max="19" width="23.5" customWidth="1"/>
    <col min="20" max="20" width="11.69921875" customWidth="1"/>
    <col min="21" max="21" width="15.3984375" customWidth="1"/>
    <col min="22" max="22" width="21.69921875" customWidth="1"/>
    <col min="23" max="23" width="27" customWidth="1"/>
  </cols>
  <sheetData>
    <row r="1" spans="1:24">
      <c r="A1" t="s">
        <v>33</v>
      </c>
      <c r="B1" t="s">
        <v>2921</v>
      </c>
      <c r="C1" t="s">
        <v>35</v>
      </c>
      <c r="D1" t="s">
        <v>16</v>
      </c>
      <c r="E1" t="s">
        <v>1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2891</v>
      </c>
      <c r="S1" t="s">
        <v>2892</v>
      </c>
      <c r="T1" t="s">
        <v>2893</v>
      </c>
      <c r="U1" t="s">
        <v>2894</v>
      </c>
      <c r="V1" t="s">
        <v>2918</v>
      </c>
      <c r="W1" t="s">
        <v>2919</v>
      </c>
      <c r="X1" t="s">
        <v>7386</v>
      </c>
    </row>
    <row r="2" spans="1:24" hidden="1">
      <c r="A2" t="s">
        <v>48</v>
      </c>
      <c r="B2" t="s">
        <v>2922</v>
      </c>
      <c r="C2" t="s">
        <v>2923</v>
      </c>
      <c r="D2" t="s">
        <v>17</v>
      </c>
      <c r="E2" t="s">
        <v>2</v>
      </c>
      <c r="F2" t="s">
        <v>50</v>
      </c>
      <c r="G2" t="s">
        <v>51</v>
      </c>
      <c r="H2" t="s">
        <v>2924</v>
      </c>
      <c r="I2" t="s">
        <v>52</v>
      </c>
      <c r="J2" t="s">
        <v>53</v>
      </c>
      <c r="K2" t="s">
        <v>54</v>
      </c>
      <c r="L2" t="s">
        <v>55</v>
      </c>
      <c r="O2" t="s">
        <v>56</v>
      </c>
      <c r="P2" t="s">
        <v>57</v>
      </c>
      <c r="Q2" t="s">
        <v>2925</v>
      </c>
      <c r="R2" t="s">
        <v>2926</v>
      </c>
      <c r="S2" t="s">
        <v>2895</v>
      </c>
      <c r="T2" t="s">
        <v>2896</v>
      </c>
      <c r="U2" t="s">
        <v>2897</v>
      </c>
    </row>
    <row r="3" spans="1:24" hidden="1">
      <c r="A3" t="s">
        <v>58</v>
      </c>
      <c r="B3" t="s">
        <v>2922</v>
      </c>
      <c r="C3" t="s">
        <v>2927</v>
      </c>
      <c r="D3" t="s">
        <v>17</v>
      </c>
      <c r="E3" t="s">
        <v>2</v>
      </c>
      <c r="F3" t="s">
        <v>50</v>
      </c>
      <c r="G3" t="s">
        <v>51</v>
      </c>
      <c r="H3" t="s">
        <v>2928</v>
      </c>
      <c r="I3" t="s">
        <v>52</v>
      </c>
      <c r="J3" t="s">
        <v>60</v>
      </c>
      <c r="K3" t="s">
        <v>54</v>
      </c>
      <c r="L3" t="s">
        <v>55</v>
      </c>
      <c r="O3" t="s">
        <v>61</v>
      </c>
      <c r="P3" t="s">
        <v>62</v>
      </c>
      <c r="Q3" t="s">
        <v>2929</v>
      </c>
      <c r="R3" t="s">
        <v>2930</v>
      </c>
      <c r="S3" t="s">
        <v>2895</v>
      </c>
      <c r="T3" t="s">
        <v>2896</v>
      </c>
      <c r="U3" t="s">
        <v>2897</v>
      </c>
    </row>
    <row r="4" spans="1:24" hidden="1">
      <c r="A4" t="s">
        <v>63</v>
      </c>
      <c r="B4" t="s">
        <v>2922</v>
      </c>
      <c r="C4" t="s">
        <v>2931</v>
      </c>
      <c r="D4" t="s">
        <v>17</v>
      </c>
      <c r="E4" t="s">
        <v>2</v>
      </c>
      <c r="F4" t="s">
        <v>50</v>
      </c>
      <c r="G4" t="s">
        <v>51</v>
      </c>
      <c r="H4" t="s">
        <v>2932</v>
      </c>
      <c r="I4" t="s">
        <v>52</v>
      </c>
      <c r="J4" t="s">
        <v>65</v>
      </c>
      <c r="K4" t="s">
        <v>54</v>
      </c>
      <c r="L4" t="s">
        <v>55</v>
      </c>
      <c r="O4" t="s">
        <v>66</v>
      </c>
      <c r="P4" t="s">
        <v>67</v>
      </c>
      <c r="Q4" t="s">
        <v>2933</v>
      </c>
      <c r="R4" t="s">
        <v>2934</v>
      </c>
      <c r="S4" t="s">
        <v>2895</v>
      </c>
      <c r="T4" t="s">
        <v>2896</v>
      </c>
      <c r="U4" t="s">
        <v>2897</v>
      </c>
    </row>
    <row r="5" spans="1:24" hidden="1">
      <c r="A5" t="s">
        <v>68</v>
      </c>
      <c r="B5" t="s">
        <v>2922</v>
      </c>
      <c r="C5" t="s">
        <v>2935</v>
      </c>
      <c r="D5" t="s">
        <v>17</v>
      </c>
      <c r="E5" t="s">
        <v>2</v>
      </c>
      <c r="F5" t="s">
        <v>50</v>
      </c>
      <c r="G5" t="s">
        <v>51</v>
      </c>
      <c r="H5" t="s">
        <v>2936</v>
      </c>
      <c r="I5" t="s">
        <v>52</v>
      </c>
      <c r="J5" t="s">
        <v>65</v>
      </c>
      <c r="K5" t="s">
        <v>54</v>
      </c>
      <c r="L5" t="s">
        <v>55</v>
      </c>
      <c r="O5" t="s">
        <v>66</v>
      </c>
      <c r="P5" t="s">
        <v>67</v>
      </c>
      <c r="Q5" t="s">
        <v>2937</v>
      </c>
      <c r="R5" t="s">
        <v>2938</v>
      </c>
      <c r="S5" t="s">
        <v>2895</v>
      </c>
      <c r="T5" t="s">
        <v>2896</v>
      </c>
      <c r="U5" t="s">
        <v>2897</v>
      </c>
    </row>
    <row r="6" spans="1:24" hidden="1">
      <c r="A6" t="s">
        <v>70</v>
      </c>
      <c r="B6" t="s">
        <v>2922</v>
      </c>
      <c r="C6" t="s">
        <v>2939</v>
      </c>
      <c r="D6" t="s">
        <v>17</v>
      </c>
      <c r="E6" t="s">
        <v>2</v>
      </c>
      <c r="F6" t="s">
        <v>50</v>
      </c>
      <c r="G6" t="s">
        <v>72</v>
      </c>
      <c r="H6" t="s">
        <v>2940</v>
      </c>
      <c r="I6" t="s">
        <v>52</v>
      </c>
      <c r="J6" t="s">
        <v>73</v>
      </c>
      <c r="K6" t="s">
        <v>54</v>
      </c>
      <c r="L6" t="s">
        <v>74</v>
      </c>
      <c r="O6" t="s">
        <v>75</v>
      </c>
      <c r="P6" t="s">
        <v>76</v>
      </c>
      <c r="Q6" t="s">
        <v>2941</v>
      </c>
      <c r="R6" t="s">
        <v>2942</v>
      </c>
      <c r="S6" t="s">
        <v>2895</v>
      </c>
      <c r="T6" t="s">
        <v>2896</v>
      </c>
      <c r="U6" t="s">
        <v>2897</v>
      </c>
    </row>
    <row r="7" spans="1:24" hidden="1">
      <c r="A7" t="s">
        <v>77</v>
      </c>
      <c r="B7" t="s">
        <v>2922</v>
      </c>
      <c r="C7" t="s">
        <v>2943</v>
      </c>
      <c r="D7" t="s">
        <v>17</v>
      </c>
      <c r="E7" t="s">
        <v>2</v>
      </c>
      <c r="F7" t="s">
        <v>50</v>
      </c>
      <c r="G7" t="s">
        <v>51</v>
      </c>
      <c r="H7" t="s">
        <v>2944</v>
      </c>
      <c r="I7" t="s">
        <v>52</v>
      </c>
      <c r="J7" t="s">
        <v>65</v>
      </c>
      <c r="K7" t="s">
        <v>54</v>
      </c>
      <c r="L7" t="s">
        <v>55</v>
      </c>
      <c r="O7" t="s">
        <v>66</v>
      </c>
      <c r="P7" t="s">
        <v>67</v>
      </c>
      <c r="Q7" t="s">
        <v>2945</v>
      </c>
      <c r="R7" t="s">
        <v>2946</v>
      </c>
      <c r="S7" t="s">
        <v>2895</v>
      </c>
      <c r="T7" t="s">
        <v>2896</v>
      </c>
      <c r="U7" t="s">
        <v>2897</v>
      </c>
    </row>
    <row r="8" spans="1:24" hidden="1">
      <c r="A8" t="s">
        <v>79</v>
      </c>
      <c r="B8" t="s">
        <v>2947</v>
      </c>
      <c r="C8" t="s">
        <v>2948</v>
      </c>
      <c r="D8" t="s">
        <v>17</v>
      </c>
      <c r="E8" t="s">
        <v>2</v>
      </c>
      <c r="F8" t="s">
        <v>50</v>
      </c>
      <c r="G8" t="s">
        <v>51</v>
      </c>
      <c r="H8" t="s">
        <v>2949</v>
      </c>
      <c r="I8" t="s">
        <v>52</v>
      </c>
      <c r="J8" t="s">
        <v>81</v>
      </c>
      <c r="K8" t="s">
        <v>54</v>
      </c>
      <c r="L8" t="s">
        <v>55</v>
      </c>
      <c r="O8" t="s">
        <v>82</v>
      </c>
      <c r="P8" t="s">
        <v>83</v>
      </c>
      <c r="Q8" t="s">
        <v>2950</v>
      </c>
      <c r="R8" t="s">
        <v>2951</v>
      </c>
      <c r="S8" t="s">
        <v>2895</v>
      </c>
      <c r="T8" t="s">
        <v>2896</v>
      </c>
      <c r="U8" t="s">
        <v>2897</v>
      </c>
    </row>
    <row r="9" spans="1:24" hidden="1">
      <c r="A9" t="s">
        <v>84</v>
      </c>
      <c r="B9" t="s">
        <v>2947</v>
      </c>
      <c r="C9" t="s">
        <v>2952</v>
      </c>
      <c r="D9" t="s">
        <v>17</v>
      </c>
      <c r="E9" t="s">
        <v>2</v>
      </c>
      <c r="F9" t="s">
        <v>50</v>
      </c>
      <c r="G9" t="s">
        <v>51</v>
      </c>
      <c r="H9" t="s">
        <v>2953</v>
      </c>
      <c r="I9" t="s">
        <v>52</v>
      </c>
      <c r="J9" t="s">
        <v>60</v>
      </c>
      <c r="K9" t="s">
        <v>54</v>
      </c>
      <c r="L9" t="s">
        <v>55</v>
      </c>
      <c r="O9" t="s">
        <v>61</v>
      </c>
      <c r="P9" t="s">
        <v>62</v>
      </c>
      <c r="Q9" t="s">
        <v>2954</v>
      </c>
      <c r="R9" t="s">
        <v>2955</v>
      </c>
      <c r="S9" t="s">
        <v>2895</v>
      </c>
      <c r="T9" t="s">
        <v>2896</v>
      </c>
      <c r="U9" t="s">
        <v>2897</v>
      </c>
    </row>
    <row r="10" spans="1:24" hidden="1">
      <c r="A10" t="s">
        <v>86</v>
      </c>
      <c r="B10" t="s">
        <v>2947</v>
      </c>
      <c r="C10" t="s">
        <v>2956</v>
      </c>
      <c r="D10" t="s">
        <v>17</v>
      </c>
      <c r="E10" t="s">
        <v>2</v>
      </c>
      <c r="F10" t="s">
        <v>50</v>
      </c>
      <c r="G10" t="s">
        <v>88</v>
      </c>
      <c r="H10" t="s">
        <v>2957</v>
      </c>
      <c r="I10" t="s">
        <v>52</v>
      </c>
      <c r="J10" t="s">
        <v>89</v>
      </c>
      <c r="K10" t="s">
        <v>54</v>
      </c>
      <c r="L10" t="s">
        <v>90</v>
      </c>
      <c r="M10" t="s">
        <v>91</v>
      </c>
      <c r="N10" t="s">
        <v>12</v>
      </c>
      <c r="O10" t="s">
        <v>92</v>
      </c>
      <c r="P10" t="s">
        <v>93</v>
      </c>
      <c r="Q10" t="s">
        <v>2958</v>
      </c>
      <c r="R10" t="s">
        <v>2959</v>
      </c>
      <c r="S10" t="s">
        <v>2895</v>
      </c>
      <c r="T10" t="s">
        <v>2896</v>
      </c>
      <c r="U10" t="s">
        <v>2897</v>
      </c>
    </row>
    <row r="11" spans="1:24" hidden="1">
      <c r="A11" t="s">
        <v>94</v>
      </c>
      <c r="B11" t="s">
        <v>2947</v>
      </c>
      <c r="C11" t="s">
        <v>2960</v>
      </c>
      <c r="D11" t="s">
        <v>17</v>
      </c>
      <c r="E11" t="s">
        <v>2</v>
      </c>
      <c r="F11" t="s">
        <v>50</v>
      </c>
      <c r="G11" t="s">
        <v>51</v>
      </c>
      <c r="H11" t="s">
        <v>2961</v>
      </c>
      <c r="I11" t="s">
        <v>52</v>
      </c>
      <c r="J11" t="s">
        <v>60</v>
      </c>
      <c r="K11" t="s">
        <v>54</v>
      </c>
      <c r="L11" t="s">
        <v>55</v>
      </c>
      <c r="O11" t="s">
        <v>61</v>
      </c>
      <c r="P11" t="s">
        <v>62</v>
      </c>
      <c r="Q11" t="s">
        <v>2962</v>
      </c>
      <c r="R11" t="s">
        <v>2963</v>
      </c>
      <c r="S11" t="s">
        <v>2895</v>
      </c>
      <c r="T11" t="s">
        <v>2896</v>
      </c>
      <c r="U11" t="s">
        <v>2897</v>
      </c>
    </row>
    <row r="12" spans="1:24" hidden="1">
      <c r="A12" t="s">
        <v>96</v>
      </c>
      <c r="B12" t="s">
        <v>2947</v>
      </c>
      <c r="C12" t="s">
        <v>2964</v>
      </c>
      <c r="D12" t="s">
        <v>17</v>
      </c>
      <c r="E12" t="s">
        <v>2</v>
      </c>
      <c r="F12" t="s">
        <v>50</v>
      </c>
      <c r="G12" t="s">
        <v>51</v>
      </c>
      <c r="H12" t="s">
        <v>2965</v>
      </c>
      <c r="I12" t="s">
        <v>52</v>
      </c>
      <c r="J12" t="s">
        <v>81</v>
      </c>
      <c r="K12" t="s">
        <v>54</v>
      </c>
      <c r="L12" t="s">
        <v>55</v>
      </c>
      <c r="O12" t="s">
        <v>82</v>
      </c>
      <c r="P12" t="s">
        <v>83</v>
      </c>
      <c r="Q12" t="s">
        <v>2966</v>
      </c>
      <c r="R12" t="s">
        <v>2967</v>
      </c>
      <c r="S12" t="s">
        <v>2895</v>
      </c>
      <c r="T12" t="s">
        <v>2896</v>
      </c>
      <c r="U12" t="s">
        <v>2897</v>
      </c>
    </row>
    <row r="13" spans="1:24" hidden="1">
      <c r="A13" t="s">
        <v>98</v>
      </c>
      <c r="B13" t="s">
        <v>2947</v>
      </c>
      <c r="C13" t="s">
        <v>2968</v>
      </c>
      <c r="D13" t="s">
        <v>17</v>
      </c>
      <c r="E13" t="s">
        <v>2</v>
      </c>
      <c r="F13" t="s">
        <v>50</v>
      </c>
      <c r="G13" t="s">
        <v>100</v>
      </c>
      <c r="H13" t="s">
        <v>2969</v>
      </c>
      <c r="I13" t="s">
        <v>52</v>
      </c>
      <c r="J13" t="s">
        <v>101</v>
      </c>
      <c r="K13" t="s">
        <v>54</v>
      </c>
      <c r="L13" t="s">
        <v>102</v>
      </c>
      <c r="O13" t="s">
        <v>103</v>
      </c>
      <c r="P13" t="s">
        <v>104</v>
      </c>
      <c r="Q13" t="s">
        <v>2970</v>
      </c>
      <c r="R13" t="s">
        <v>2971</v>
      </c>
      <c r="S13" t="s">
        <v>2895</v>
      </c>
      <c r="T13" t="s">
        <v>2896</v>
      </c>
      <c r="U13" t="s">
        <v>2897</v>
      </c>
    </row>
    <row r="14" spans="1:24" hidden="1">
      <c r="A14" t="s">
        <v>105</v>
      </c>
      <c r="B14" t="s">
        <v>2947</v>
      </c>
      <c r="C14" t="s">
        <v>2972</v>
      </c>
      <c r="D14" t="s">
        <v>17</v>
      </c>
      <c r="E14" t="s">
        <v>2</v>
      </c>
      <c r="F14" t="s">
        <v>50</v>
      </c>
      <c r="G14" t="s">
        <v>100</v>
      </c>
      <c r="H14" t="s">
        <v>2973</v>
      </c>
      <c r="I14" t="s">
        <v>52</v>
      </c>
      <c r="J14" t="s">
        <v>107</v>
      </c>
      <c r="K14" t="s">
        <v>54</v>
      </c>
      <c r="L14" t="s">
        <v>102</v>
      </c>
      <c r="O14" t="s">
        <v>108</v>
      </c>
      <c r="P14" t="s">
        <v>109</v>
      </c>
      <c r="Q14" t="s">
        <v>2974</v>
      </c>
      <c r="R14" t="s">
        <v>2975</v>
      </c>
      <c r="S14" t="s">
        <v>2895</v>
      </c>
      <c r="T14" t="s">
        <v>2896</v>
      </c>
      <c r="U14" t="s">
        <v>2897</v>
      </c>
    </row>
    <row r="15" spans="1:24" hidden="1">
      <c r="A15" t="s">
        <v>110</v>
      </c>
      <c r="B15" t="s">
        <v>2947</v>
      </c>
      <c r="C15" t="s">
        <v>2976</v>
      </c>
      <c r="D15" t="s">
        <v>17</v>
      </c>
      <c r="E15" t="s">
        <v>2</v>
      </c>
      <c r="F15" t="s">
        <v>50</v>
      </c>
      <c r="G15" t="s">
        <v>51</v>
      </c>
      <c r="H15" t="s">
        <v>2977</v>
      </c>
      <c r="I15" t="s">
        <v>52</v>
      </c>
      <c r="J15" t="s">
        <v>53</v>
      </c>
      <c r="K15" t="s">
        <v>54</v>
      </c>
      <c r="L15" t="s">
        <v>55</v>
      </c>
      <c r="O15" t="s">
        <v>56</v>
      </c>
      <c r="P15" t="s">
        <v>57</v>
      </c>
      <c r="Q15" t="s">
        <v>2978</v>
      </c>
      <c r="R15" t="s">
        <v>2979</v>
      </c>
      <c r="S15" t="s">
        <v>2895</v>
      </c>
      <c r="T15" t="s">
        <v>2896</v>
      </c>
      <c r="U15" t="s">
        <v>2897</v>
      </c>
    </row>
    <row r="16" spans="1:24" hidden="1">
      <c r="A16" t="s">
        <v>112</v>
      </c>
      <c r="B16" t="s">
        <v>2947</v>
      </c>
      <c r="C16" t="s">
        <v>2980</v>
      </c>
      <c r="D16" t="s">
        <v>17</v>
      </c>
      <c r="E16" t="s">
        <v>2</v>
      </c>
      <c r="F16" t="s">
        <v>50</v>
      </c>
      <c r="G16" t="s">
        <v>100</v>
      </c>
      <c r="H16" t="s">
        <v>2981</v>
      </c>
      <c r="I16" t="s">
        <v>52</v>
      </c>
      <c r="J16" t="s">
        <v>114</v>
      </c>
      <c r="K16" t="s">
        <v>54</v>
      </c>
      <c r="L16" t="s">
        <v>102</v>
      </c>
      <c r="O16" t="s">
        <v>103</v>
      </c>
      <c r="P16" t="s">
        <v>104</v>
      </c>
      <c r="Q16" t="s">
        <v>2982</v>
      </c>
      <c r="R16" t="s">
        <v>2983</v>
      </c>
      <c r="S16" t="s">
        <v>2895</v>
      </c>
      <c r="T16" t="s">
        <v>2896</v>
      </c>
      <c r="U16" t="s">
        <v>2897</v>
      </c>
    </row>
    <row r="17" spans="1:21" hidden="1">
      <c r="A17" t="s">
        <v>115</v>
      </c>
      <c r="B17" t="s">
        <v>2984</v>
      </c>
      <c r="C17" t="s">
        <v>2985</v>
      </c>
      <c r="D17" t="s">
        <v>17</v>
      </c>
      <c r="E17" t="s">
        <v>2</v>
      </c>
      <c r="F17" t="s">
        <v>50</v>
      </c>
      <c r="G17" t="s">
        <v>51</v>
      </c>
      <c r="H17" t="s">
        <v>2986</v>
      </c>
      <c r="I17" t="s">
        <v>52</v>
      </c>
      <c r="J17" t="s">
        <v>65</v>
      </c>
      <c r="K17" t="s">
        <v>54</v>
      </c>
      <c r="L17" t="s">
        <v>55</v>
      </c>
      <c r="O17" t="s">
        <v>66</v>
      </c>
      <c r="P17" t="s">
        <v>67</v>
      </c>
      <c r="Q17" t="s">
        <v>2987</v>
      </c>
      <c r="R17" t="s">
        <v>2988</v>
      </c>
      <c r="S17" t="s">
        <v>2895</v>
      </c>
      <c r="T17" t="s">
        <v>2896</v>
      </c>
      <c r="U17" t="s">
        <v>2897</v>
      </c>
    </row>
    <row r="18" spans="1:21" hidden="1">
      <c r="A18" t="s">
        <v>117</v>
      </c>
      <c r="B18" t="s">
        <v>2984</v>
      </c>
      <c r="C18" t="s">
        <v>2989</v>
      </c>
      <c r="D18" t="s">
        <v>17</v>
      </c>
      <c r="E18" t="s">
        <v>2</v>
      </c>
      <c r="F18" t="s">
        <v>50</v>
      </c>
      <c r="G18" t="s">
        <v>100</v>
      </c>
      <c r="H18" t="s">
        <v>2969</v>
      </c>
      <c r="I18" t="s">
        <v>52</v>
      </c>
      <c r="J18" t="s">
        <v>101</v>
      </c>
      <c r="K18" t="s">
        <v>54</v>
      </c>
      <c r="L18" t="s">
        <v>102</v>
      </c>
      <c r="O18" t="s">
        <v>103</v>
      </c>
      <c r="P18" t="s">
        <v>104</v>
      </c>
      <c r="Q18" t="s">
        <v>2990</v>
      </c>
      <c r="R18" t="s">
        <v>2971</v>
      </c>
      <c r="S18" t="s">
        <v>2895</v>
      </c>
      <c r="T18" t="s">
        <v>2896</v>
      </c>
      <c r="U18" t="s">
        <v>2897</v>
      </c>
    </row>
    <row r="19" spans="1:21" hidden="1">
      <c r="A19" t="s">
        <v>119</v>
      </c>
      <c r="B19" t="s">
        <v>2984</v>
      </c>
      <c r="C19" t="s">
        <v>2991</v>
      </c>
      <c r="D19" t="s">
        <v>17</v>
      </c>
      <c r="E19" t="s">
        <v>2</v>
      </c>
      <c r="F19" t="s">
        <v>50</v>
      </c>
      <c r="G19" t="s">
        <v>51</v>
      </c>
      <c r="H19" t="s">
        <v>2992</v>
      </c>
      <c r="I19" t="s">
        <v>52</v>
      </c>
      <c r="J19" t="s">
        <v>121</v>
      </c>
      <c r="K19" t="s">
        <v>54</v>
      </c>
      <c r="L19" t="s">
        <v>55</v>
      </c>
      <c r="O19" t="s">
        <v>122</v>
      </c>
      <c r="P19" t="s">
        <v>123</v>
      </c>
      <c r="Q19" t="s">
        <v>2993</v>
      </c>
      <c r="R19" t="s">
        <v>2994</v>
      </c>
      <c r="S19" t="s">
        <v>2895</v>
      </c>
      <c r="T19" t="s">
        <v>2896</v>
      </c>
      <c r="U19" t="s">
        <v>2897</v>
      </c>
    </row>
    <row r="20" spans="1:21" hidden="1">
      <c r="A20" t="s">
        <v>124</v>
      </c>
      <c r="B20" t="s">
        <v>2984</v>
      </c>
      <c r="C20" t="s">
        <v>2995</v>
      </c>
      <c r="D20" t="s">
        <v>17</v>
      </c>
      <c r="E20" t="s">
        <v>2</v>
      </c>
      <c r="F20" t="s">
        <v>50</v>
      </c>
      <c r="G20" t="s">
        <v>51</v>
      </c>
      <c r="H20" t="s">
        <v>2996</v>
      </c>
      <c r="I20" t="s">
        <v>52</v>
      </c>
      <c r="J20" t="s">
        <v>126</v>
      </c>
      <c r="K20" t="s">
        <v>54</v>
      </c>
      <c r="L20" t="s">
        <v>55</v>
      </c>
      <c r="O20" t="s">
        <v>56</v>
      </c>
      <c r="P20" t="s">
        <v>57</v>
      </c>
      <c r="Q20" t="s">
        <v>2997</v>
      </c>
      <c r="R20" t="s">
        <v>2998</v>
      </c>
      <c r="S20" t="s">
        <v>2895</v>
      </c>
      <c r="T20" t="s">
        <v>2896</v>
      </c>
      <c r="U20" t="s">
        <v>2897</v>
      </c>
    </row>
    <row r="21" spans="1:21" hidden="1">
      <c r="A21" t="s">
        <v>127</v>
      </c>
      <c r="B21" t="s">
        <v>2984</v>
      </c>
      <c r="C21" t="s">
        <v>2999</v>
      </c>
      <c r="D21" t="s">
        <v>17</v>
      </c>
      <c r="E21" t="s">
        <v>2</v>
      </c>
      <c r="F21" t="s">
        <v>50</v>
      </c>
      <c r="G21" t="s">
        <v>100</v>
      </c>
      <c r="H21" t="s">
        <v>3000</v>
      </c>
      <c r="I21" t="s">
        <v>52</v>
      </c>
      <c r="J21" t="s">
        <v>114</v>
      </c>
      <c r="K21" t="s">
        <v>54</v>
      </c>
      <c r="L21" t="s">
        <v>102</v>
      </c>
      <c r="O21" t="s">
        <v>103</v>
      </c>
      <c r="P21" t="s">
        <v>104</v>
      </c>
      <c r="Q21" t="s">
        <v>3001</v>
      </c>
      <c r="R21" t="s">
        <v>3002</v>
      </c>
      <c r="S21" t="s">
        <v>2895</v>
      </c>
      <c r="T21" t="s">
        <v>2896</v>
      </c>
      <c r="U21" t="s">
        <v>2897</v>
      </c>
    </row>
    <row r="22" spans="1:21" hidden="1">
      <c r="A22" t="s">
        <v>129</v>
      </c>
      <c r="B22" t="s">
        <v>2984</v>
      </c>
      <c r="C22" t="s">
        <v>3003</v>
      </c>
      <c r="D22" t="s">
        <v>17</v>
      </c>
      <c r="E22" t="s">
        <v>2</v>
      </c>
      <c r="F22" t="s">
        <v>50</v>
      </c>
      <c r="G22" t="s">
        <v>51</v>
      </c>
      <c r="H22" t="s">
        <v>3004</v>
      </c>
      <c r="I22" t="s">
        <v>52</v>
      </c>
      <c r="J22" t="s">
        <v>81</v>
      </c>
      <c r="K22" t="s">
        <v>54</v>
      </c>
      <c r="L22" t="s">
        <v>55</v>
      </c>
      <c r="O22" t="s">
        <v>82</v>
      </c>
      <c r="P22" t="s">
        <v>83</v>
      </c>
      <c r="Q22" t="s">
        <v>3005</v>
      </c>
      <c r="R22" t="s">
        <v>3006</v>
      </c>
      <c r="S22" t="s">
        <v>2895</v>
      </c>
      <c r="T22" t="s">
        <v>2896</v>
      </c>
      <c r="U22" t="s">
        <v>2897</v>
      </c>
    </row>
    <row r="23" spans="1:21" hidden="1">
      <c r="A23" t="s">
        <v>131</v>
      </c>
      <c r="B23" t="s">
        <v>3007</v>
      </c>
      <c r="C23" t="s">
        <v>3008</v>
      </c>
      <c r="D23" t="s">
        <v>17</v>
      </c>
      <c r="E23" t="s">
        <v>2</v>
      </c>
      <c r="F23" t="s">
        <v>50</v>
      </c>
      <c r="G23" t="s">
        <v>100</v>
      </c>
      <c r="H23" t="s">
        <v>3009</v>
      </c>
      <c r="I23" t="s">
        <v>52</v>
      </c>
      <c r="J23" t="s">
        <v>114</v>
      </c>
      <c r="K23" t="s">
        <v>54</v>
      </c>
      <c r="L23" t="s">
        <v>102</v>
      </c>
      <c r="O23" t="s">
        <v>103</v>
      </c>
      <c r="P23" t="s">
        <v>104</v>
      </c>
      <c r="Q23" t="s">
        <v>3010</v>
      </c>
      <c r="R23" t="s">
        <v>3011</v>
      </c>
      <c r="S23" t="s">
        <v>2895</v>
      </c>
      <c r="T23" t="s">
        <v>2896</v>
      </c>
      <c r="U23" t="s">
        <v>2897</v>
      </c>
    </row>
    <row r="24" spans="1:21" hidden="1">
      <c r="A24" t="s">
        <v>133</v>
      </c>
      <c r="B24" t="s">
        <v>3007</v>
      </c>
      <c r="C24" t="s">
        <v>3012</v>
      </c>
      <c r="D24" t="s">
        <v>17</v>
      </c>
      <c r="E24" t="s">
        <v>2</v>
      </c>
      <c r="F24" t="s">
        <v>50</v>
      </c>
      <c r="G24" t="s">
        <v>51</v>
      </c>
      <c r="H24" t="s">
        <v>3013</v>
      </c>
      <c r="I24" t="s">
        <v>52</v>
      </c>
      <c r="J24" t="s">
        <v>60</v>
      </c>
      <c r="K24" t="s">
        <v>54</v>
      </c>
      <c r="L24" t="s">
        <v>55</v>
      </c>
      <c r="O24" t="s">
        <v>61</v>
      </c>
      <c r="P24" t="s">
        <v>62</v>
      </c>
      <c r="Q24" t="s">
        <v>3014</v>
      </c>
      <c r="R24" t="s">
        <v>3015</v>
      </c>
      <c r="S24" t="s">
        <v>2895</v>
      </c>
      <c r="T24" t="s">
        <v>2896</v>
      </c>
      <c r="U24" t="s">
        <v>2897</v>
      </c>
    </row>
    <row r="25" spans="1:21" hidden="1">
      <c r="A25" t="s">
        <v>135</v>
      </c>
      <c r="B25" t="s">
        <v>3007</v>
      </c>
      <c r="C25" t="s">
        <v>3016</v>
      </c>
      <c r="D25" t="s">
        <v>17</v>
      </c>
      <c r="E25" t="s">
        <v>2</v>
      </c>
      <c r="F25" t="s">
        <v>50</v>
      </c>
      <c r="G25" t="s">
        <v>51</v>
      </c>
      <c r="H25" t="s">
        <v>3017</v>
      </c>
      <c r="I25" t="s">
        <v>52</v>
      </c>
      <c r="J25" t="s">
        <v>121</v>
      </c>
      <c r="K25" t="s">
        <v>54</v>
      </c>
      <c r="L25" t="s">
        <v>55</v>
      </c>
      <c r="O25" t="s">
        <v>122</v>
      </c>
      <c r="P25" t="s">
        <v>123</v>
      </c>
      <c r="Q25" t="s">
        <v>3018</v>
      </c>
      <c r="R25" t="s">
        <v>3019</v>
      </c>
      <c r="S25" t="s">
        <v>2895</v>
      </c>
      <c r="T25" t="s">
        <v>2896</v>
      </c>
      <c r="U25" t="s">
        <v>2897</v>
      </c>
    </row>
    <row r="26" spans="1:21" hidden="1">
      <c r="A26" t="s">
        <v>137</v>
      </c>
      <c r="B26" t="s">
        <v>3007</v>
      </c>
      <c r="C26" t="s">
        <v>3020</v>
      </c>
      <c r="D26" t="s">
        <v>17</v>
      </c>
      <c r="E26" t="s">
        <v>2</v>
      </c>
      <c r="F26" t="s">
        <v>50</v>
      </c>
      <c r="G26" t="s">
        <v>51</v>
      </c>
      <c r="H26" t="s">
        <v>3021</v>
      </c>
      <c r="I26" t="s">
        <v>52</v>
      </c>
      <c r="J26" t="s">
        <v>65</v>
      </c>
      <c r="K26" t="s">
        <v>54</v>
      </c>
      <c r="L26" t="s">
        <v>55</v>
      </c>
      <c r="O26" t="s">
        <v>66</v>
      </c>
      <c r="P26" t="s">
        <v>67</v>
      </c>
      <c r="Q26" t="s">
        <v>3022</v>
      </c>
      <c r="R26" t="s">
        <v>3023</v>
      </c>
      <c r="S26" t="s">
        <v>2895</v>
      </c>
      <c r="T26" t="s">
        <v>2896</v>
      </c>
      <c r="U26" t="s">
        <v>2897</v>
      </c>
    </row>
    <row r="27" spans="1:21" hidden="1">
      <c r="A27" t="s">
        <v>139</v>
      </c>
      <c r="B27" t="s">
        <v>3007</v>
      </c>
      <c r="C27" t="s">
        <v>3024</v>
      </c>
      <c r="D27" t="s">
        <v>17</v>
      </c>
      <c r="E27" t="s">
        <v>2</v>
      </c>
      <c r="F27" t="s">
        <v>50</v>
      </c>
      <c r="G27" t="s">
        <v>51</v>
      </c>
      <c r="H27" t="s">
        <v>3025</v>
      </c>
      <c r="I27" t="s">
        <v>52</v>
      </c>
      <c r="J27" t="s">
        <v>60</v>
      </c>
      <c r="K27" t="s">
        <v>54</v>
      </c>
      <c r="L27" t="s">
        <v>55</v>
      </c>
      <c r="O27" t="s">
        <v>61</v>
      </c>
      <c r="P27" t="s">
        <v>62</v>
      </c>
      <c r="Q27" t="s">
        <v>3026</v>
      </c>
      <c r="R27" t="s">
        <v>3027</v>
      </c>
      <c r="S27" t="s">
        <v>2895</v>
      </c>
      <c r="T27" t="s">
        <v>2896</v>
      </c>
      <c r="U27" t="s">
        <v>2897</v>
      </c>
    </row>
    <row r="28" spans="1:21" hidden="1">
      <c r="A28" t="s">
        <v>141</v>
      </c>
      <c r="B28" t="s">
        <v>3007</v>
      </c>
      <c r="C28" t="s">
        <v>3028</v>
      </c>
      <c r="D28" t="s">
        <v>17</v>
      </c>
      <c r="E28" t="s">
        <v>2</v>
      </c>
      <c r="F28" t="s">
        <v>50</v>
      </c>
      <c r="G28" t="s">
        <v>51</v>
      </c>
      <c r="H28" t="s">
        <v>3029</v>
      </c>
      <c r="I28" t="s">
        <v>52</v>
      </c>
      <c r="J28" t="s">
        <v>81</v>
      </c>
      <c r="K28" t="s">
        <v>54</v>
      </c>
      <c r="L28" t="s">
        <v>55</v>
      </c>
      <c r="O28" t="s">
        <v>82</v>
      </c>
      <c r="P28" t="s">
        <v>83</v>
      </c>
      <c r="Q28" t="s">
        <v>3030</v>
      </c>
      <c r="R28" t="s">
        <v>3031</v>
      </c>
      <c r="S28" t="s">
        <v>2895</v>
      </c>
      <c r="T28" t="s">
        <v>2896</v>
      </c>
      <c r="U28" t="s">
        <v>2897</v>
      </c>
    </row>
    <row r="29" spans="1:21" hidden="1">
      <c r="A29" t="s">
        <v>143</v>
      </c>
      <c r="B29" t="s">
        <v>3007</v>
      </c>
      <c r="C29" t="s">
        <v>3032</v>
      </c>
      <c r="D29" t="s">
        <v>17</v>
      </c>
      <c r="E29" t="s">
        <v>2</v>
      </c>
      <c r="F29" t="s">
        <v>50</v>
      </c>
      <c r="G29" t="s">
        <v>51</v>
      </c>
      <c r="H29" t="s">
        <v>3033</v>
      </c>
      <c r="I29" t="s">
        <v>52</v>
      </c>
      <c r="J29" t="s">
        <v>126</v>
      </c>
      <c r="K29" t="s">
        <v>54</v>
      </c>
      <c r="L29" t="s">
        <v>55</v>
      </c>
      <c r="O29" t="s">
        <v>56</v>
      </c>
      <c r="P29" t="s">
        <v>57</v>
      </c>
      <c r="Q29" t="s">
        <v>3034</v>
      </c>
      <c r="R29" t="s">
        <v>3035</v>
      </c>
      <c r="S29" t="s">
        <v>2895</v>
      </c>
      <c r="T29" t="s">
        <v>2896</v>
      </c>
      <c r="U29" t="s">
        <v>2897</v>
      </c>
    </row>
    <row r="30" spans="1:21" hidden="1">
      <c r="A30" t="s">
        <v>145</v>
      </c>
      <c r="B30" t="s">
        <v>3007</v>
      </c>
      <c r="C30" t="s">
        <v>3036</v>
      </c>
      <c r="D30" t="s">
        <v>17</v>
      </c>
      <c r="E30" t="s">
        <v>2</v>
      </c>
      <c r="F30" t="s">
        <v>50</v>
      </c>
      <c r="G30" t="s">
        <v>51</v>
      </c>
      <c r="H30" t="s">
        <v>3037</v>
      </c>
      <c r="I30" t="s">
        <v>52</v>
      </c>
      <c r="J30" t="s">
        <v>121</v>
      </c>
      <c r="K30" t="s">
        <v>54</v>
      </c>
      <c r="L30" t="s">
        <v>55</v>
      </c>
      <c r="O30" t="s">
        <v>122</v>
      </c>
      <c r="P30" t="s">
        <v>123</v>
      </c>
      <c r="Q30" t="s">
        <v>3038</v>
      </c>
      <c r="R30" t="s">
        <v>3039</v>
      </c>
      <c r="S30" t="s">
        <v>2895</v>
      </c>
      <c r="T30" t="s">
        <v>2896</v>
      </c>
      <c r="U30" t="s">
        <v>2897</v>
      </c>
    </row>
    <row r="31" spans="1:21" hidden="1">
      <c r="A31" t="s">
        <v>147</v>
      </c>
      <c r="B31" t="s">
        <v>3007</v>
      </c>
      <c r="C31" t="s">
        <v>3040</v>
      </c>
      <c r="D31" t="s">
        <v>17</v>
      </c>
      <c r="E31" t="s">
        <v>2</v>
      </c>
      <c r="F31" t="s">
        <v>149</v>
      </c>
      <c r="G31" t="s">
        <v>72</v>
      </c>
      <c r="H31" t="s">
        <v>3041</v>
      </c>
      <c r="I31" t="s">
        <v>52</v>
      </c>
      <c r="J31" t="s">
        <v>150</v>
      </c>
      <c r="K31" t="s">
        <v>54</v>
      </c>
      <c r="L31" t="s">
        <v>74</v>
      </c>
      <c r="O31" t="s">
        <v>75</v>
      </c>
      <c r="P31" t="s">
        <v>76</v>
      </c>
      <c r="Q31" t="s">
        <v>3042</v>
      </c>
      <c r="R31" t="s">
        <v>3041</v>
      </c>
      <c r="S31" t="s">
        <v>2895</v>
      </c>
      <c r="T31" t="s">
        <v>2896</v>
      </c>
      <c r="U31" t="s">
        <v>2897</v>
      </c>
    </row>
    <row r="32" spans="1:21" hidden="1">
      <c r="A32" t="s">
        <v>151</v>
      </c>
      <c r="B32" t="s">
        <v>3043</v>
      </c>
      <c r="C32" t="s">
        <v>3044</v>
      </c>
      <c r="D32" t="s">
        <v>17</v>
      </c>
      <c r="E32" t="s">
        <v>2</v>
      </c>
      <c r="F32" t="s">
        <v>50</v>
      </c>
      <c r="G32" t="s">
        <v>51</v>
      </c>
      <c r="H32" t="s">
        <v>3045</v>
      </c>
      <c r="I32" t="s">
        <v>52</v>
      </c>
      <c r="J32" t="s">
        <v>81</v>
      </c>
      <c r="K32" t="s">
        <v>54</v>
      </c>
      <c r="L32" t="s">
        <v>55</v>
      </c>
      <c r="O32" t="s">
        <v>82</v>
      </c>
      <c r="P32" t="s">
        <v>83</v>
      </c>
      <c r="Q32" t="s">
        <v>3046</v>
      </c>
      <c r="R32" t="s">
        <v>3047</v>
      </c>
      <c r="S32" t="s">
        <v>2895</v>
      </c>
      <c r="T32" t="s">
        <v>2896</v>
      </c>
      <c r="U32" t="s">
        <v>2897</v>
      </c>
    </row>
    <row r="33" spans="1:21" hidden="1">
      <c r="A33" t="s">
        <v>153</v>
      </c>
      <c r="B33" t="s">
        <v>3043</v>
      </c>
      <c r="C33" t="s">
        <v>3048</v>
      </c>
      <c r="D33" t="s">
        <v>17</v>
      </c>
      <c r="E33" t="s">
        <v>2</v>
      </c>
      <c r="F33" t="s">
        <v>50</v>
      </c>
      <c r="G33" t="s">
        <v>100</v>
      </c>
      <c r="H33" t="s">
        <v>3049</v>
      </c>
      <c r="I33" t="s">
        <v>52</v>
      </c>
      <c r="J33" t="s">
        <v>114</v>
      </c>
      <c r="K33" t="s">
        <v>54</v>
      </c>
      <c r="L33" t="s">
        <v>102</v>
      </c>
      <c r="O33" t="s">
        <v>103</v>
      </c>
      <c r="P33" t="s">
        <v>104</v>
      </c>
      <c r="Q33" t="s">
        <v>3050</v>
      </c>
      <c r="R33" t="s">
        <v>3051</v>
      </c>
      <c r="S33" t="s">
        <v>2895</v>
      </c>
      <c r="T33" t="s">
        <v>2896</v>
      </c>
      <c r="U33" t="s">
        <v>2897</v>
      </c>
    </row>
    <row r="34" spans="1:21" hidden="1">
      <c r="A34" t="s">
        <v>155</v>
      </c>
      <c r="B34" t="s">
        <v>3043</v>
      </c>
      <c r="C34" t="s">
        <v>3052</v>
      </c>
      <c r="D34" t="s">
        <v>17</v>
      </c>
      <c r="E34" t="s">
        <v>2</v>
      </c>
      <c r="F34" t="s">
        <v>50</v>
      </c>
      <c r="G34" t="s">
        <v>51</v>
      </c>
      <c r="H34" t="s">
        <v>3053</v>
      </c>
      <c r="I34" t="s">
        <v>52</v>
      </c>
      <c r="J34" t="s">
        <v>53</v>
      </c>
      <c r="K34" t="s">
        <v>54</v>
      </c>
      <c r="L34" t="s">
        <v>55</v>
      </c>
      <c r="O34" t="s">
        <v>56</v>
      </c>
      <c r="P34" t="s">
        <v>57</v>
      </c>
      <c r="Q34" t="s">
        <v>3054</v>
      </c>
      <c r="R34" t="s">
        <v>3055</v>
      </c>
      <c r="S34" t="s">
        <v>2895</v>
      </c>
      <c r="T34" t="s">
        <v>2896</v>
      </c>
      <c r="U34" t="s">
        <v>2897</v>
      </c>
    </row>
    <row r="35" spans="1:21" hidden="1">
      <c r="A35" t="s">
        <v>157</v>
      </c>
      <c r="B35" t="s">
        <v>3043</v>
      </c>
      <c r="C35" t="s">
        <v>3056</v>
      </c>
      <c r="D35" t="s">
        <v>17</v>
      </c>
      <c r="E35" t="s">
        <v>2</v>
      </c>
      <c r="F35" t="s">
        <v>50</v>
      </c>
      <c r="G35" t="s">
        <v>51</v>
      </c>
      <c r="H35" t="s">
        <v>3057</v>
      </c>
      <c r="I35" t="s">
        <v>52</v>
      </c>
      <c r="J35" t="s">
        <v>60</v>
      </c>
      <c r="K35" t="s">
        <v>54</v>
      </c>
      <c r="L35" t="s">
        <v>55</v>
      </c>
      <c r="O35" t="s">
        <v>61</v>
      </c>
      <c r="P35" t="s">
        <v>62</v>
      </c>
      <c r="Q35" t="s">
        <v>3058</v>
      </c>
      <c r="R35" t="s">
        <v>3059</v>
      </c>
      <c r="S35" t="s">
        <v>2895</v>
      </c>
      <c r="T35" t="s">
        <v>2896</v>
      </c>
      <c r="U35" t="s">
        <v>2897</v>
      </c>
    </row>
    <row r="36" spans="1:21" hidden="1">
      <c r="A36" t="s">
        <v>159</v>
      </c>
      <c r="B36" t="s">
        <v>3043</v>
      </c>
      <c r="C36" t="s">
        <v>3060</v>
      </c>
      <c r="D36" t="s">
        <v>17</v>
      </c>
      <c r="E36" t="s">
        <v>2</v>
      </c>
      <c r="F36" t="s">
        <v>50</v>
      </c>
      <c r="G36" t="s">
        <v>100</v>
      </c>
      <c r="H36" t="s">
        <v>3061</v>
      </c>
      <c r="I36" t="s">
        <v>52</v>
      </c>
      <c r="J36" t="s">
        <v>114</v>
      </c>
      <c r="K36" t="s">
        <v>54</v>
      </c>
      <c r="L36" t="s">
        <v>102</v>
      </c>
      <c r="O36" t="s">
        <v>103</v>
      </c>
      <c r="P36" t="s">
        <v>104</v>
      </c>
      <c r="Q36" t="s">
        <v>3062</v>
      </c>
      <c r="R36" t="s">
        <v>3063</v>
      </c>
      <c r="S36" t="s">
        <v>2895</v>
      </c>
      <c r="T36" t="s">
        <v>2896</v>
      </c>
      <c r="U36" t="s">
        <v>2897</v>
      </c>
    </row>
    <row r="37" spans="1:21" hidden="1">
      <c r="A37" t="s">
        <v>161</v>
      </c>
      <c r="B37" t="s">
        <v>3043</v>
      </c>
      <c r="C37" t="s">
        <v>3064</v>
      </c>
      <c r="D37" t="s">
        <v>17</v>
      </c>
      <c r="E37" t="s">
        <v>2</v>
      </c>
      <c r="F37" t="s">
        <v>50</v>
      </c>
      <c r="G37" t="s">
        <v>100</v>
      </c>
      <c r="H37" t="s">
        <v>3065</v>
      </c>
      <c r="I37" t="s">
        <v>52</v>
      </c>
      <c r="J37" t="s">
        <v>114</v>
      </c>
      <c r="K37" t="s">
        <v>54</v>
      </c>
      <c r="L37" t="s">
        <v>102</v>
      </c>
      <c r="O37" t="s">
        <v>103</v>
      </c>
      <c r="P37" t="s">
        <v>104</v>
      </c>
      <c r="Q37" t="s">
        <v>3066</v>
      </c>
      <c r="R37" t="s">
        <v>3067</v>
      </c>
      <c r="S37" t="s">
        <v>2895</v>
      </c>
      <c r="T37" t="s">
        <v>2896</v>
      </c>
      <c r="U37" t="s">
        <v>2897</v>
      </c>
    </row>
    <row r="38" spans="1:21" hidden="1">
      <c r="A38" t="s">
        <v>163</v>
      </c>
      <c r="B38" t="s">
        <v>3068</v>
      </c>
      <c r="C38" t="s">
        <v>3069</v>
      </c>
      <c r="D38" t="s">
        <v>17</v>
      </c>
      <c r="E38" t="s">
        <v>2</v>
      </c>
      <c r="F38" t="s">
        <v>50</v>
      </c>
      <c r="G38" t="s">
        <v>51</v>
      </c>
      <c r="H38" t="s">
        <v>3070</v>
      </c>
      <c r="I38" t="s">
        <v>52</v>
      </c>
      <c r="J38" t="s">
        <v>65</v>
      </c>
      <c r="K38" t="s">
        <v>54</v>
      </c>
      <c r="L38" t="s">
        <v>55</v>
      </c>
      <c r="O38" t="s">
        <v>66</v>
      </c>
      <c r="P38" t="s">
        <v>67</v>
      </c>
      <c r="Q38" t="s">
        <v>3071</v>
      </c>
      <c r="R38" t="s">
        <v>3072</v>
      </c>
      <c r="S38" t="s">
        <v>2895</v>
      </c>
      <c r="T38" t="s">
        <v>2896</v>
      </c>
      <c r="U38" t="s">
        <v>2897</v>
      </c>
    </row>
    <row r="39" spans="1:21" hidden="1">
      <c r="A39" t="s">
        <v>165</v>
      </c>
      <c r="B39" t="s">
        <v>3068</v>
      </c>
      <c r="C39" t="s">
        <v>3073</v>
      </c>
      <c r="D39" t="s">
        <v>17</v>
      </c>
      <c r="E39" t="s">
        <v>2</v>
      </c>
      <c r="F39" t="s">
        <v>50</v>
      </c>
      <c r="G39" t="s">
        <v>51</v>
      </c>
      <c r="H39" t="s">
        <v>3074</v>
      </c>
      <c r="I39" t="s">
        <v>52</v>
      </c>
      <c r="J39" t="s">
        <v>65</v>
      </c>
      <c r="K39" t="s">
        <v>54</v>
      </c>
      <c r="L39" t="s">
        <v>55</v>
      </c>
      <c r="O39" t="s">
        <v>66</v>
      </c>
      <c r="P39" t="s">
        <v>67</v>
      </c>
      <c r="Q39" t="s">
        <v>3075</v>
      </c>
      <c r="R39" t="s">
        <v>3076</v>
      </c>
      <c r="S39" t="s">
        <v>2895</v>
      </c>
      <c r="T39" t="s">
        <v>2896</v>
      </c>
      <c r="U39" t="s">
        <v>2897</v>
      </c>
    </row>
    <row r="40" spans="1:21" hidden="1">
      <c r="A40" t="s">
        <v>167</v>
      </c>
      <c r="B40" t="s">
        <v>3068</v>
      </c>
      <c r="C40" t="s">
        <v>3077</v>
      </c>
      <c r="D40" t="s">
        <v>17</v>
      </c>
      <c r="E40" t="s">
        <v>2</v>
      </c>
      <c r="F40" t="s">
        <v>50</v>
      </c>
      <c r="G40" t="s">
        <v>51</v>
      </c>
      <c r="H40" t="s">
        <v>3078</v>
      </c>
      <c r="I40" t="s">
        <v>52</v>
      </c>
      <c r="J40" t="s">
        <v>53</v>
      </c>
      <c r="K40" t="s">
        <v>54</v>
      </c>
      <c r="L40" t="s">
        <v>55</v>
      </c>
      <c r="O40" t="s">
        <v>56</v>
      </c>
      <c r="P40" t="s">
        <v>57</v>
      </c>
      <c r="Q40" t="s">
        <v>3079</v>
      </c>
      <c r="R40" t="s">
        <v>3080</v>
      </c>
      <c r="S40" t="s">
        <v>2895</v>
      </c>
      <c r="T40" t="s">
        <v>2896</v>
      </c>
      <c r="U40" t="s">
        <v>2897</v>
      </c>
    </row>
    <row r="41" spans="1:21" hidden="1">
      <c r="A41" t="s">
        <v>169</v>
      </c>
      <c r="B41" t="s">
        <v>3068</v>
      </c>
      <c r="C41" t="s">
        <v>2935</v>
      </c>
      <c r="D41" t="s">
        <v>17</v>
      </c>
      <c r="E41" t="s">
        <v>2</v>
      </c>
      <c r="F41" t="s">
        <v>50</v>
      </c>
      <c r="G41" t="s">
        <v>100</v>
      </c>
      <c r="H41" t="s">
        <v>3081</v>
      </c>
      <c r="I41" t="s">
        <v>52</v>
      </c>
      <c r="J41" t="s">
        <v>114</v>
      </c>
      <c r="K41" t="s">
        <v>54</v>
      </c>
      <c r="L41" t="s">
        <v>102</v>
      </c>
      <c r="O41" t="s">
        <v>103</v>
      </c>
      <c r="P41" t="s">
        <v>104</v>
      </c>
      <c r="Q41" t="s">
        <v>3082</v>
      </c>
      <c r="R41" t="s">
        <v>3083</v>
      </c>
      <c r="S41" t="s">
        <v>2895</v>
      </c>
      <c r="T41" t="s">
        <v>2896</v>
      </c>
      <c r="U41" t="s">
        <v>2897</v>
      </c>
    </row>
    <row r="42" spans="1:21" hidden="1">
      <c r="A42" t="s">
        <v>171</v>
      </c>
      <c r="B42" t="s">
        <v>3068</v>
      </c>
      <c r="C42" t="s">
        <v>3084</v>
      </c>
      <c r="D42" t="s">
        <v>17</v>
      </c>
      <c r="E42" t="s">
        <v>2</v>
      </c>
      <c r="F42" t="s">
        <v>50</v>
      </c>
      <c r="G42" t="s">
        <v>51</v>
      </c>
      <c r="H42" t="s">
        <v>3085</v>
      </c>
      <c r="I42" t="s">
        <v>52</v>
      </c>
      <c r="J42" t="s">
        <v>81</v>
      </c>
      <c r="K42" t="s">
        <v>54</v>
      </c>
      <c r="L42" t="s">
        <v>55</v>
      </c>
      <c r="O42" t="s">
        <v>82</v>
      </c>
      <c r="P42" t="s">
        <v>83</v>
      </c>
      <c r="Q42" t="s">
        <v>3086</v>
      </c>
      <c r="R42" t="s">
        <v>3087</v>
      </c>
      <c r="S42" t="s">
        <v>2895</v>
      </c>
      <c r="T42" t="s">
        <v>2896</v>
      </c>
      <c r="U42" t="s">
        <v>2897</v>
      </c>
    </row>
    <row r="43" spans="1:21" hidden="1">
      <c r="A43" t="s">
        <v>173</v>
      </c>
      <c r="B43" t="s">
        <v>3068</v>
      </c>
      <c r="C43" t="s">
        <v>3088</v>
      </c>
      <c r="D43" t="s">
        <v>17</v>
      </c>
      <c r="E43" t="s">
        <v>2</v>
      </c>
      <c r="F43" t="s">
        <v>50</v>
      </c>
      <c r="G43" t="s">
        <v>51</v>
      </c>
      <c r="H43" t="s">
        <v>3089</v>
      </c>
      <c r="I43" t="s">
        <v>52</v>
      </c>
      <c r="J43" t="s">
        <v>53</v>
      </c>
      <c r="K43" t="s">
        <v>54</v>
      </c>
      <c r="L43" t="s">
        <v>55</v>
      </c>
      <c r="O43" t="s">
        <v>56</v>
      </c>
      <c r="P43" t="s">
        <v>57</v>
      </c>
      <c r="Q43" t="s">
        <v>3090</v>
      </c>
      <c r="R43" t="s">
        <v>3091</v>
      </c>
      <c r="S43" t="s">
        <v>2895</v>
      </c>
      <c r="T43" t="s">
        <v>2896</v>
      </c>
      <c r="U43" t="s">
        <v>2897</v>
      </c>
    </row>
    <row r="44" spans="1:21" hidden="1">
      <c r="A44" t="s">
        <v>175</v>
      </c>
      <c r="B44" t="s">
        <v>3092</v>
      </c>
      <c r="C44" t="s">
        <v>3093</v>
      </c>
      <c r="D44" t="s">
        <v>17</v>
      </c>
      <c r="E44" t="s">
        <v>2</v>
      </c>
      <c r="F44" t="s">
        <v>50</v>
      </c>
      <c r="G44" t="s">
        <v>100</v>
      </c>
      <c r="H44" t="s">
        <v>3094</v>
      </c>
      <c r="I44" t="s">
        <v>52</v>
      </c>
      <c r="J44" t="s">
        <v>177</v>
      </c>
      <c r="K44" t="s">
        <v>54</v>
      </c>
      <c r="L44" t="s">
        <v>102</v>
      </c>
      <c r="O44" t="s">
        <v>178</v>
      </c>
      <c r="P44" t="s">
        <v>179</v>
      </c>
      <c r="Q44" t="s">
        <v>3095</v>
      </c>
      <c r="R44" t="s">
        <v>3096</v>
      </c>
      <c r="S44" t="s">
        <v>2895</v>
      </c>
      <c r="T44" t="s">
        <v>2896</v>
      </c>
      <c r="U44" t="s">
        <v>2897</v>
      </c>
    </row>
    <row r="45" spans="1:21" hidden="1">
      <c r="A45" t="s">
        <v>180</v>
      </c>
      <c r="B45" t="s">
        <v>3092</v>
      </c>
      <c r="C45" t="s">
        <v>3097</v>
      </c>
      <c r="D45" t="s">
        <v>17</v>
      </c>
      <c r="E45" t="s">
        <v>2</v>
      </c>
      <c r="F45" t="s">
        <v>50</v>
      </c>
      <c r="G45" t="s">
        <v>100</v>
      </c>
      <c r="H45" t="s">
        <v>2969</v>
      </c>
      <c r="I45" t="s">
        <v>52</v>
      </c>
      <c r="J45" t="s">
        <v>101</v>
      </c>
      <c r="K45" t="s">
        <v>54</v>
      </c>
      <c r="L45" t="s">
        <v>102</v>
      </c>
      <c r="O45" t="s">
        <v>103</v>
      </c>
      <c r="P45" t="s">
        <v>104</v>
      </c>
      <c r="Q45" t="s">
        <v>3098</v>
      </c>
      <c r="R45" t="s">
        <v>2971</v>
      </c>
      <c r="S45" t="s">
        <v>2895</v>
      </c>
      <c r="T45" t="s">
        <v>2896</v>
      </c>
      <c r="U45" t="s">
        <v>2897</v>
      </c>
    </row>
    <row r="46" spans="1:21" hidden="1">
      <c r="A46" t="s">
        <v>182</v>
      </c>
      <c r="B46" t="s">
        <v>3092</v>
      </c>
      <c r="C46" t="s">
        <v>3099</v>
      </c>
      <c r="D46" t="s">
        <v>17</v>
      </c>
      <c r="E46" t="s">
        <v>2</v>
      </c>
      <c r="F46" t="s">
        <v>50</v>
      </c>
      <c r="G46" t="s">
        <v>100</v>
      </c>
      <c r="H46" t="s">
        <v>3100</v>
      </c>
      <c r="I46" t="s">
        <v>52</v>
      </c>
      <c r="J46" t="s">
        <v>114</v>
      </c>
      <c r="K46" t="s">
        <v>54</v>
      </c>
      <c r="L46" t="s">
        <v>102</v>
      </c>
      <c r="O46" t="s">
        <v>103</v>
      </c>
      <c r="P46" t="s">
        <v>104</v>
      </c>
      <c r="Q46" t="s">
        <v>3101</v>
      </c>
      <c r="R46" t="s">
        <v>3102</v>
      </c>
      <c r="S46" t="s">
        <v>2895</v>
      </c>
      <c r="T46" t="s">
        <v>2896</v>
      </c>
      <c r="U46" t="s">
        <v>2897</v>
      </c>
    </row>
    <row r="47" spans="1:21" hidden="1">
      <c r="A47" t="s">
        <v>184</v>
      </c>
      <c r="B47" t="s">
        <v>3092</v>
      </c>
      <c r="C47" t="s">
        <v>3103</v>
      </c>
      <c r="D47" t="s">
        <v>17</v>
      </c>
      <c r="E47" t="s">
        <v>2</v>
      </c>
      <c r="F47" t="s">
        <v>50</v>
      </c>
      <c r="G47" t="s">
        <v>51</v>
      </c>
      <c r="H47" t="s">
        <v>3104</v>
      </c>
      <c r="I47" t="s">
        <v>52</v>
      </c>
      <c r="J47" t="s">
        <v>60</v>
      </c>
      <c r="K47" t="s">
        <v>54</v>
      </c>
      <c r="L47" t="s">
        <v>55</v>
      </c>
      <c r="O47" t="s">
        <v>61</v>
      </c>
      <c r="P47" t="s">
        <v>62</v>
      </c>
      <c r="Q47" t="s">
        <v>3105</v>
      </c>
      <c r="R47" t="s">
        <v>3106</v>
      </c>
      <c r="S47" t="s">
        <v>2895</v>
      </c>
      <c r="T47" t="s">
        <v>2896</v>
      </c>
      <c r="U47" t="s">
        <v>2897</v>
      </c>
    </row>
    <row r="48" spans="1:21" hidden="1">
      <c r="A48" t="s">
        <v>186</v>
      </c>
      <c r="B48" t="s">
        <v>3092</v>
      </c>
      <c r="C48" t="s">
        <v>3077</v>
      </c>
      <c r="D48" t="s">
        <v>17</v>
      </c>
      <c r="E48" t="s">
        <v>2</v>
      </c>
      <c r="F48" t="s">
        <v>50</v>
      </c>
      <c r="G48" t="s">
        <v>51</v>
      </c>
      <c r="H48" t="s">
        <v>3107</v>
      </c>
      <c r="I48" t="s">
        <v>52</v>
      </c>
      <c r="J48" t="s">
        <v>60</v>
      </c>
      <c r="K48" t="s">
        <v>54</v>
      </c>
      <c r="L48" t="s">
        <v>55</v>
      </c>
      <c r="O48" t="s">
        <v>61</v>
      </c>
      <c r="P48" t="s">
        <v>62</v>
      </c>
      <c r="Q48" t="s">
        <v>3108</v>
      </c>
      <c r="R48" t="s">
        <v>3109</v>
      </c>
      <c r="S48" t="s">
        <v>2895</v>
      </c>
      <c r="T48" t="s">
        <v>2896</v>
      </c>
      <c r="U48" t="s">
        <v>2897</v>
      </c>
    </row>
    <row r="49" spans="1:21" hidden="1">
      <c r="A49" t="s">
        <v>188</v>
      </c>
      <c r="B49" t="s">
        <v>3092</v>
      </c>
      <c r="C49" t="s">
        <v>3110</v>
      </c>
      <c r="D49" t="s">
        <v>17</v>
      </c>
      <c r="E49" t="s">
        <v>2</v>
      </c>
      <c r="F49" t="s">
        <v>50</v>
      </c>
      <c r="G49" t="s">
        <v>51</v>
      </c>
      <c r="H49" t="s">
        <v>3111</v>
      </c>
      <c r="I49" t="s">
        <v>52</v>
      </c>
      <c r="J49" t="s">
        <v>126</v>
      </c>
      <c r="K49" t="s">
        <v>54</v>
      </c>
      <c r="L49" t="s">
        <v>55</v>
      </c>
      <c r="O49" t="s">
        <v>56</v>
      </c>
      <c r="P49" t="s">
        <v>57</v>
      </c>
      <c r="Q49" t="s">
        <v>3112</v>
      </c>
      <c r="R49" t="s">
        <v>3113</v>
      </c>
      <c r="S49" t="s">
        <v>2895</v>
      </c>
      <c r="T49" t="s">
        <v>2896</v>
      </c>
      <c r="U49" t="s">
        <v>2897</v>
      </c>
    </row>
    <row r="50" spans="1:21" hidden="1">
      <c r="A50" t="s">
        <v>190</v>
      </c>
      <c r="B50" t="s">
        <v>3092</v>
      </c>
      <c r="C50" t="s">
        <v>3114</v>
      </c>
      <c r="D50" t="s">
        <v>17</v>
      </c>
      <c r="E50" t="s">
        <v>2</v>
      </c>
      <c r="F50" t="s">
        <v>50</v>
      </c>
      <c r="G50" t="s">
        <v>51</v>
      </c>
      <c r="H50" t="s">
        <v>3115</v>
      </c>
      <c r="I50" t="s">
        <v>52</v>
      </c>
      <c r="J50" t="s">
        <v>60</v>
      </c>
      <c r="K50" t="s">
        <v>54</v>
      </c>
      <c r="L50" t="s">
        <v>55</v>
      </c>
      <c r="O50" t="s">
        <v>61</v>
      </c>
      <c r="P50" t="s">
        <v>62</v>
      </c>
      <c r="Q50" t="s">
        <v>3116</v>
      </c>
      <c r="R50" t="s">
        <v>3117</v>
      </c>
      <c r="S50" t="s">
        <v>2895</v>
      </c>
      <c r="T50" t="s">
        <v>2896</v>
      </c>
      <c r="U50" t="s">
        <v>2897</v>
      </c>
    </row>
    <row r="51" spans="1:21" hidden="1">
      <c r="A51" t="s">
        <v>192</v>
      </c>
      <c r="B51" t="s">
        <v>3092</v>
      </c>
      <c r="C51" t="s">
        <v>3118</v>
      </c>
      <c r="D51" t="s">
        <v>17</v>
      </c>
      <c r="E51" t="s">
        <v>2</v>
      </c>
      <c r="F51" t="s">
        <v>50</v>
      </c>
      <c r="G51" t="s">
        <v>51</v>
      </c>
      <c r="H51" t="s">
        <v>3119</v>
      </c>
      <c r="I51" t="s">
        <v>52</v>
      </c>
      <c r="J51" t="s">
        <v>60</v>
      </c>
      <c r="K51" t="s">
        <v>54</v>
      </c>
      <c r="L51" t="s">
        <v>55</v>
      </c>
      <c r="O51" t="s">
        <v>61</v>
      </c>
      <c r="P51" t="s">
        <v>62</v>
      </c>
      <c r="Q51" t="s">
        <v>3120</v>
      </c>
      <c r="R51" t="s">
        <v>3121</v>
      </c>
      <c r="S51" t="s">
        <v>2895</v>
      </c>
      <c r="T51" t="s">
        <v>2896</v>
      </c>
      <c r="U51" t="s">
        <v>2897</v>
      </c>
    </row>
    <row r="52" spans="1:21" hidden="1">
      <c r="A52" t="s">
        <v>194</v>
      </c>
      <c r="B52" t="s">
        <v>3092</v>
      </c>
      <c r="C52" t="s">
        <v>3122</v>
      </c>
      <c r="D52" t="s">
        <v>17</v>
      </c>
      <c r="E52" t="s">
        <v>2</v>
      </c>
      <c r="F52" t="s">
        <v>50</v>
      </c>
      <c r="G52" t="s">
        <v>51</v>
      </c>
      <c r="H52" t="s">
        <v>3123</v>
      </c>
      <c r="I52" t="s">
        <v>52</v>
      </c>
      <c r="J52" t="s">
        <v>196</v>
      </c>
      <c r="K52" t="s">
        <v>54</v>
      </c>
      <c r="L52" t="s">
        <v>55</v>
      </c>
      <c r="O52" t="s">
        <v>197</v>
      </c>
      <c r="P52" t="s">
        <v>198</v>
      </c>
      <c r="Q52" t="s">
        <v>3124</v>
      </c>
      <c r="R52" t="s">
        <v>3125</v>
      </c>
      <c r="S52" t="s">
        <v>2895</v>
      </c>
      <c r="T52" t="s">
        <v>2896</v>
      </c>
      <c r="U52" t="s">
        <v>2897</v>
      </c>
    </row>
    <row r="53" spans="1:21" hidden="1">
      <c r="A53" t="s">
        <v>199</v>
      </c>
      <c r="B53" t="s">
        <v>3126</v>
      </c>
      <c r="C53" t="s">
        <v>3127</v>
      </c>
      <c r="D53" t="s">
        <v>17</v>
      </c>
      <c r="E53" t="s">
        <v>2</v>
      </c>
      <c r="F53" t="s">
        <v>50</v>
      </c>
      <c r="G53" t="s">
        <v>51</v>
      </c>
      <c r="H53" t="s">
        <v>3128</v>
      </c>
      <c r="I53" t="s">
        <v>52</v>
      </c>
      <c r="J53" t="s">
        <v>53</v>
      </c>
      <c r="K53" t="s">
        <v>54</v>
      </c>
      <c r="L53" t="s">
        <v>55</v>
      </c>
      <c r="O53" t="s">
        <v>56</v>
      </c>
      <c r="P53" t="s">
        <v>57</v>
      </c>
      <c r="Q53" t="s">
        <v>3129</v>
      </c>
      <c r="R53" t="s">
        <v>3130</v>
      </c>
      <c r="S53" t="s">
        <v>2895</v>
      </c>
      <c r="T53" t="s">
        <v>2896</v>
      </c>
      <c r="U53" t="s">
        <v>2897</v>
      </c>
    </row>
    <row r="54" spans="1:21" hidden="1">
      <c r="A54" t="s">
        <v>201</v>
      </c>
      <c r="B54" t="s">
        <v>3126</v>
      </c>
      <c r="C54" t="s">
        <v>3131</v>
      </c>
      <c r="D54" t="s">
        <v>17</v>
      </c>
      <c r="E54" t="s">
        <v>2</v>
      </c>
      <c r="F54" t="s">
        <v>50</v>
      </c>
      <c r="G54" t="s">
        <v>100</v>
      </c>
      <c r="H54" t="s">
        <v>3132</v>
      </c>
      <c r="I54" t="s">
        <v>52</v>
      </c>
      <c r="J54" t="s">
        <v>114</v>
      </c>
      <c r="K54" t="s">
        <v>54</v>
      </c>
      <c r="L54" t="s">
        <v>102</v>
      </c>
      <c r="O54" t="s">
        <v>103</v>
      </c>
      <c r="P54" t="s">
        <v>104</v>
      </c>
      <c r="Q54" t="s">
        <v>3133</v>
      </c>
      <c r="R54" t="s">
        <v>3134</v>
      </c>
      <c r="S54" t="s">
        <v>2895</v>
      </c>
      <c r="T54" t="s">
        <v>2896</v>
      </c>
      <c r="U54" t="s">
        <v>2897</v>
      </c>
    </row>
    <row r="55" spans="1:21" hidden="1">
      <c r="A55" t="s">
        <v>203</v>
      </c>
      <c r="B55" t="s">
        <v>3126</v>
      </c>
      <c r="C55" t="s">
        <v>3135</v>
      </c>
      <c r="D55" t="s">
        <v>17</v>
      </c>
      <c r="E55" t="s">
        <v>2</v>
      </c>
      <c r="F55" t="s">
        <v>50</v>
      </c>
      <c r="G55" t="s">
        <v>51</v>
      </c>
      <c r="H55" t="s">
        <v>3136</v>
      </c>
      <c r="I55" t="s">
        <v>52</v>
      </c>
      <c r="J55" t="s">
        <v>60</v>
      </c>
      <c r="K55" t="s">
        <v>54</v>
      </c>
      <c r="L55" t="s">
        <v>55</v>
      </c>
      <c r="O55" t="s">
        <v>61</v>
      </c>
      <c r="P55" t="s">
        <v>62</v>
      </c>
      <c r="Q55" t="s">
        <v>3137</v>
      </c>
      <c r="R55" t="s">
        <v>3138</v>
      </c>
      <c r="S55" t="s">
        <v>2895</v>
      </c>
      <c r="T55" t="s">
        <v>2896</v>
      </c>
      <c r="U55" t="s">
        <v>2897</v>
      </c>
    </row>
    <row r="56" spans="1:21" hidden="1">
      <c r="A56" t="s">
        <v>205</v>
      </c>
      <c r="B56" t="s">
        <v>3126</v>
      </c>
      <c r="C56" t="s">
        <v>3139</v>
      </c>
      <c r="D56" t="s">
        <v>17</v>
      </c>
      <c r="E56" t="s">
        <v>2</v>
      </c>
      <c r="F56" t="s">
        <v>50</v>
      </c>
      <c r="G56" t="s">
        <v>100</v>
      </c>
      <c r="H56" t="s">
        <v>3140</v>
      </c>
      <c r="I56" t="s">
        <v>52</v>
      </c>
      <c r="J56" t="s">
        <v>114</v>
      </c>
      <c r="K56" t="s">
        <v>54</v>
      </c>
      <c r="L56" t="s">
        <v>102</v>
      </c>
      <c r="O56" t="s">
        <v>103</v>
      </c>
      <c r="P56" t="s">
        <v>104</v>
      </c>
      <c r="Q56" t="s">
        <v>3141</v>
      </c>
      <c r="R56" t="s">
        <v>3142</v>
      </c>
      <c r="S56" t="s">
        <v>2895</v>
      </c>
      <c r="T56" t="s">
        <v>2896</v>
      </c>
      <c r="U56" t="s">
        <v>2897</v>
      </c>
    </row>
    <row r="57" spans="1:21" hidden="1">
      <c r="A57" t="s">
        <v>207</v>
      </c>
      <c r="B57" t="s">
        <v>3126</v>
      </c>
      <c r="C57" t="s">
        <v>3143</v>
      </c>
      <c r="D57" t="s">
        <v>17</v>
      </c>
      <c r="E57" t="s">
        <v>2</v>
      </c>
      <c r="F57" t="s">
        <v>50</v>
      </c>
      <c r="G57" t="s">
        <v>51</v>
      </c>
      <c r="H57" t="s">
        <v>3144</v>
      </c>
      <c r="I57" t="s">
        <v>52</v>
      </c>
      <c r="J57" t="s">
        <v>126</v>
      </c>
      <c r="K57" t="s">
        <v>54</v>
      </c>
      <c r="L57" t="s">
        <v>55</v>
      </c>
      <c r="O57" t="s">
        <v>56</v>
      </c>
      <c r="P57" t="s">
        <v>57</v>
      </c>
      <c r="Q57" t="s">
        <v>3145</v>
      </c>
      <c r="R57" t="s">
        <v>3146</v>
      </c>
      <c r="S57" t="s">
        <v>2895</v>
      </c>
      <c r="T57" t="s">
        <v>2896</v>
      </c>
      <c r="U57" t="s">
        <v>2897</v>
      </c>
    </row>
    <row r="58" spans="1:21" hidden="1">
      <c r="A58" t="s">
        <v>209</v>
      </c>
      <c r="B58" t="s">
        <v>3126</v>
      </c>
      <c r="C58" t="s">
        <v>3147</v>
      </c>
      <c r="D58" t="s">
        <v>17</v>
      </c>
      <c r="E58" t="s">
        <v>2</v>
      </c>
      <c r="F58" t="s">
        <v>50</v>
      </c>
      <c r="G58" t="s">
        <v>100</v>
      </c>
      <c r="H58" t="s">
        <v>2969</v>
      </c>
      <c r="I58" t="s">
        <v>52</v>
      </c>
      <c r="J58" t="s">
        <v>101</v>
      </c>
      <c r="K58" t="s">
        <v>54</v>
      </c>
      <c r="L58" t="s">
        <v>102</v>
      </c>
      <c r="O58" t="s">
        <v>103</v>
      </c>
      <c r="P58" t="s">
        <v>104</v>
      </c>
      <c r="Q58" t="s">
        <v>3148</v>
      </c>
      <c r="R58" t="s">
        <v>2971</v>
      </c>
      <c r="S58" t="s">
        <v>2895</v>
      </c>
      <c r="T58" t="s">
        <v>2896</v>
      </c>
      <c r="U58" t="s">
        <v>2897</v>
      </c>
    </row>
    <row r="59" spans="1:21" hidden="1">
      <c r="A59" t="s">
        <v>211</v>
      </c>
      <c r="B59" t="s">
        <v>3126</v>
      </c>
      <c r="C59" t="s">
        <v>3149</v>
      </c>
      <c r="D59" t="s">
        <v>17</v>
      </c>
      <c r="E59" t="s">
        <v>2</v>
      </c>
      <c r="F59" t="s">
        <v>50</v>
      </c>
      <c r="G59" t="s">
        <v>100</v>
      </c>
      <c r="H59" t="s">
        <v>2969</v>
      </c>
      <c r="I59" t="s">
        <v>52</v>
      </c>
      <c r="J59" t="s">
        <v>101</v>
      </c>
      <c r="K59" t="s">
        <v>54</v>
      </c>
      <c r="L59" t="s">
        <v>102</v>
      </c>
      <c r="O59" t="s">
        <v>103</v>
      </c>
      <c r="P59" t="s">
        <v>104</v>
      </c>
      <c r="Q59" t="s">
        <v>3150</v>
      </c>
      <c r="R59" t="s">
        <v>2971</v>
      </c>
      <c r="S59" t="s">
        <v>2895</v>
      </c>
      <c r="T59" t="s">
        <v>2896</v>
      </c>
      <c r="U59" t="s">
        <v>2897</v>
      </c>
    </row>
    <row r="60" spans="1:21" hidden="1">
      <c r="A60" t="s">
        <v>213</v>
      </c>
      <c r="B60" t="s">
        <v>3126</v>
      </c>
      <c r="C60" t="s">
        <v>3151</v>
      </c>
      <c r="D60" t="s">
        <v>17</v>
      </c>
      <c r="E60" t="s">
        <v>2</v>
      </c>
      <c r="F60" t="s">
        <v>50</v>
      </c>
      <c r="G60" t="s">
        <v>100</v>
      </c>
      <c r="H60" t="s">
        <v>2969</v>
      </c>
      <c r="I60" t="s">
        <v>52</v>
      </c>
      <c r="J60" t="s">
        <v>101</v>
      </c>
      <c r="K60" t="s">
        <v>54</v>
      </c>
      <c r="L60" t="s">
        <v>102</v>
      </c>
      <c r="O60" t="s">
        <v>103</v>
      </c>
      <c r="P60" t="s">
        <v>104</v>
      </c>
      <c r="Q60" t="s">
        <v>3152</v>
      </c>
      <c r="R60" t="s">
        <v>2971</v>
      </c>
      <c r="S60" t="s">
        <v>2895</v>
      </c>
      <c r="T60" t="s">
        <v>2896</v>
      </c>
      <c r="U60" t="s">
        <v>2897</v>
      </c>
    </row>
    <row r="61" spans="1:21" hidden="1">
      <c r="A61" t="s">
        <v>215</v>
      </c>
      <c r="B61" t="s">
        <v>3153</v>
      </c>
      <c r="C61" t="s">
        <v>3154</v>
      </c>
      <c r="D61" t="s">
        <v>17</v>
      </c>
      <c r="E61" t="s">
        <v>2</v>
      </c>
      <c r="F61" t="s">
        <v>50</v>
      </c>
      <c r="G61" t="s">
        <v>51</v>
      </c>
      <c r="H61" t="s">
        <v>3155</v>
      </c>
      <c r="I61" t="s">
        <v>52</v>
      </c>
      <c r="J61" t="s">
        <v>60</v>
      </c>
      <c r="K61" t="s">
        <v>54</v>
      </c>
      <c r="L61" t="s">
        <v>55</v>
      </c>
      <c r="O61" t="s">
        <v>61</v>
      </c>
      <c r="P61" t="s">
        <v>62</v>
      </c>
      <c r="Q61" t="s">
        <v>3156</v>
      </c>
      <c r="R61" t="s">
        <v>3157</v>
      </c>
      <c r="S61" t="s">
        <v>2895</v>
      </c>
      <c r="T61" t="s">
        <v>2896</v>
      </c>
      <c r="U61" t="s">
        <v>2897</v>
      </c>
    </row>
    <row r="62" spans="1:21" hidden="1">
      <c r="A62" t="s">
        <v>217</v>
      </c>
      <c r="B62" t="s">
        <v>3153</v>
      </c>
      <c r="C62" t="s">
        <v>3158</v>
      </c>
      <c r="D62" t="s">
        <v>17</v>
      </c>
      <c r="E62" t="s">
        <v>2</v>
      </c>
      <c r="F62" t="s">
        <v>50</v>
      </c>
      <c r="G62" t="s">
        <v>51</v>
      </c>
      <c r="H62" t="s">
        <v>3159</v>
      </c>
      <c r="I62" t="s">
        <v>52</v>
      </c>
      <c r="J62" t="s">
        <v>196</v>
      </c>
      <c r="K62" t="s">
        <v>54</v>
      </c>
      <c r="L62" t="s">
        <v>55</v>
      </c>
      <c r="O62" t="s">
        <v>197</v>
      </c>
      <c r="P62" t="s">
        <v>198</v>
      </c>
      <c r="Q62" t="s">
        <v>3160</v>
      </c>
      <c r="R62" t="s">
        <v>3161</v>
      </c>
      <c r="S62" t="s">
        <v>2895</v>
      </c>
      <c r="T62" t="s">
        <v>2896</v>
      </c>
      <c r="U62" t="s">
        <v>2897</v>
      </c>
    </row>
    <row r="63" spans="1:21" hidden="1">
      <c r="A63" t="s">
        <v>219</v>
      </c>
      <c r="B63" t="s">
        <v>3153</v>
      </c>
      <c r="C63" t="s">
        <v>3162</v>
      </c>
      <c r="D63" t="s">
        <v>17</v>
      </c>
      <c r="E63" t="s">
        <v>2</v>
      </c>
      <c r="F63" t="s">
        <v>50</v>
      </c>
      <c r="G63" t="s">
        <v>51</v>
      </c>
      <c r="H63" t="s">
        <v>3163</v>
      </c>
      <c r="I63" t="s">
        <v>52</v>
      </c>
      <c r="J63" t="s">
        <v>121</v>
      </c>
      <c r="K63" t="s">
        <v>54</v>
      </c>
      <c r="L63" t="s">
        <v>55</v>
      </c>
      <c r="O63" t="s">
        <v>122</v>
      </c>
      <c r="P63" t="s">
        <v>123</v>
      </c>
      <c r="Q63" t="s">
        <v>3164</v>
      </c>
      <c r="R63" t="s">
        <v>3165</v>
      </c>
      <c r="S63" t="s">
        <v>2895</v>
      </c>
      <c r="T63" t="s">
        <v>2896</v>
      </c>
      <c r="U63" t="s">
        <v>2897</v>
      </c>
    </row>
    <row r="64" spans="1:21" hidden="1">
      <c r="A64" t="s">
        <v>221</v>
      </c>
      <c r="B64" t="s">
        <v>3153</v>
      </c>
      <c r="C64" t="s">
        <v>3166</v>
      </c>
      <c r="D64" t="s">
        <v>17</v>
      </c>
      <c r="E64" t="s">
        <v>2</v>
      </c>
      <c r="F64" t="s">
        <v>50</v>
      </c>
      <c r="G64" t="s">
        <v>51</v>
      </c>
      <c r="H64" t="s">
        <v>3167</v>
      </c>
      <c r="I64" t="s">
        <v>52</v>
      </c>
      <c r="J64" t="s">
        <v>53</v>
      </c>
      <c r="K64" t="s">
        <v>54</v>
      </c>
      <c r="L64" t="s">
        <v>55</v>
      </c>
      <c r="O64" t="s">
        <v>56</v>
      </c>
      <c r="P64" t="s">
        <v>57</v>
      </c>
      <c r="Q64" t="s">
        <v>3168</v>
      </c>
      <c r="R64" t="s">
        <v>3169</v>
      </c>
      <c r="S64" t="s">
        <v>2895</v>
      </c>
      <c r="T64" t="s">
        <v>2896</v>
      </c>
      <c r="U64" t="s">
        <v>2897</v>
      </c>
    </row>
    <row r="65" spans="1:21" hidden="1">
      <c r="A65" t="s">
        <v>223</v>
      </c>
      <c r="B65" t="s">
        <v>3153</v>
      </c>
      <c r="C65" t="s">
        <v>3170</v>
      </c>
      <c r="D65" t="s">
        <v>17</v>
      </c>
      <c r="E65" t="s">
        <v>2</v>
      </c>
      <c r="F65" t="s">
        <v>50</v>
      </c>
      <c r="G65" t="s">
        <v>51</v>
      </c>
      <c r="H65" t="s">
        <v>3171</v>
      </c>
      <c r="I65" t="s">
        <v>52</v>
      </c>
      <c r="J65" t="s">
        <v>60</v>
      </c>
      <c r="K65" t="s">
        <v>54</v>
      </c>
      <c r="L65" t="s">
        <v>55</v>
      </c>
      <c r="O65" t="s">
        <v>61</v>
      </c>
      <c r="P65" t="s">
        <v>62</v>
      </c>
      <c r="Q65" t="s">
        <v>3172</v>
      </c>
      <c r="R65" t="s">
        <v>3173</v>
      </c>
      <c r="S65" t="s">
        <v>2895</v>
      </c>
      <c r="T65" t="s">
        <v>2896</v>
      </c>
      <c r="U65" t="s">
        <v>2897</v>
      </c>
    </row>
    <row r="66" spans="1:21" hidden="1">
      <c r="A66" t="s">
        <v>225</v>
      </c>
      <c r="B66" t="s">
        <v>3174</v>
      </c>
      <c r="C66" t="s">
        <v>3175</v>
      </c>
      <c r="D66" t="s">
        <v>17</v>
      </c>
      <c r="E66" t="s">
        <v>2</v>
      </c>
      <c r="F66" t="s">
        <v>50</v>
      </c>
      <c r="G66" t="s">
        <v>51</v>
      </c>
      <c r="H66" t="s">
        <v>3176</v>
      </c>
      <c r="I66" t="s">
        <v>52</v>
      </c>
      <c r="J66" t="s">
        <v>60</v>
      </c>
      <c r="K66" t="s">
        <v>54</v>
      </c>
      <c r="L66" t="s">
        <v>55</v>
      </c>
      <c r="O66" t="s">
        <v>61</v>
      </c>
      <c r="P66" t="s">
        <v>62</v>
      </c>
      <c r="Q66" t="s">
        <v>3177</v>
      </c>
      <c r="R66" t="s">
        <v>3178</v>
      </c>
      <c r="S66" t="s">
        <v>2895</v>
      </c>
      <c r="T66" t="s">
        <v>2896</v>
      </c>
      <c r="U66" t="s">
        <v>2897</v>
      </c>
    </row>
    <row r="67" spans="1:21" hidden="1">
      <c r="A67" t="s">
        <v>227</v>
      </c>
      <c r="B67" t="s">
        <v>3174</v>
      </c>
      <c r="C67" t="s">
        <v>3179</v>
      </c>
      <c r="D67" t="s">
        <v>17</v>
      </c>
      <c r="E67" t="s">
        <v>2</v>
      </c>
      <c r="F67" t="s">
        <v>50</v>
      </c>
      <c r="G67" t="s">
        <v>51</v>
      </c>
      <c r="H67" t="s">
        <v>3180</v>
      </c>
      <c r="I67" t="s">
        <v>52</v>
      </c>
      <c r="J67" t="s">
        <v>60</v>
      </c>
      <c r="K67" t="s">
        <v>54</v>
      </c>
      <c r="L67" t="s">
        <v>55</v>
      </c>
      <c r="O67" t="s">
        <v>61</v>
      </c>
      <c r="P67" t="s">
        <v>62</v>
      </c>
      <c r="Q67" t="s">
        <v>3181</v>
      </c>
      <c r="R67" t="s">
        <v>3182</v>
      </c>
      <c r="S67" t="s">
        <v>2895</v>
      </c>
      <c r="T67" t="s">
        <v>2896</v>
      </c>
      <c r="U67" t="s">
        <v>2897</v>
      </c>
    </row>
    <row r="68" spans="1:21" hidden="1">
      <c r="A68" t="s">
        <v>229</v>
      </c>
      <c r="B68" t="s">
        <v>3174</v>
      </c>
      <c r="C68" t="s">
        <v>3183</v>
      </c>
      <c r="D68" t="s">
        <v>17</v>
      </c>
      <c r="E68" t="s">
        <v>2</v>
      </c>
      <c r="F68" t="s">
        <v>50</v>
      </c>
      <c r="G68" t="s">
        <v>51</v>
      </c>
      <c r="H68" t="s">
        <v>3184</v>
      </c>
      <c r="I68" t="s">
        <v>52</v>
      </c>
      <c r="J68" t="s">
        <v>196</v>
      </c>
      <c r="K68" t="s">
        <v>54</v>
      </c>
      <c r="L68" t="s">
        <v>55</v>
      </c>
      <c r="O68" t="s">
        <v>197</v>
      </c>
      <c r="P68" t="s">
        <v>198</v>
      </c>
      <c r="Q68" t="s">
        <v>3185</v>
      </c>
      <c r="R68" t="s">
        <v>3186</v>
      </c>
      <c r="S68" t="s">
        <v>2895</v>
      </c>
      <c r="T68" t="s">
        <v>2896</v>
      </c>
      <c r="U68" t="s">
        <v>2897</v>
      </c>
    </row>
    <row r="69" spans="1:21" hidden="1">
      <c r="A69" t="s">
        <v>231</v>
      </c>
      <c r="B69" t="s">
        <v>3174</v>
      </c>
      <c r="C69" t="s">
        <v>3187</v>
      </c>
      <c r="D69" t="s">
        <v>17</v>
      </c>
      <c r="E69" t="s">
        <v>2</v>
      </c>
      <c r="F69" t="s">
        <v>149</v>
      </c>
      <c r="G69" t="s">
        <v>72</v>
      </c>
      <c r="H69" t="s">
        <v>3188</v>
      </c>
      <c r="I69" t="s">
        <v>52</v>
      </c>
      <c r="J69" t="s">
        <v>233</v>
      </c>
      <c r="K69" t="s">
        <v>54</v>
      </c>
      <c r="L69" t="s">
        <v>74</v>
      </c>
      <c r="O69" t="s">
        <v>75</v>
      </c>
      <c r="P69" t="s">
        <v>76</v>
      </c>
      <c r="Q69" t="s">
        <v>3189</v>
      </c>
      <c r="R69" t="s">
        <v>3188</v>
      </c>
      <c r="S69" t="s">
        <v>2895</v>
      </c>
      <c r="T69" t="s">
        <v>2896</v>
      </c>
      <c r="U69" t="s">
        <v>2897</v>
      </c>
    </row>
    <row r="70" spans="1:21" hidden="1">
      <c r="A70" t="s">
        <v>234</v>
      </c>
      <c r="B70" t="s">
        <v>3174</v>
      </c>
      <c r="C70" t="s">
        <v>3190</v>
      </c>
      <c r="D70" t="s">
        <v>17</v>
      </c>
      <c r="E70" t="s">
        <v>2</v>
      </c>
      <c r="F70" t="s">
        <v>50</v>
      </c>
      <c r="G70" t="s">
        <v>51</v>
      </c>
      <c r="H70" t="s">
        <v>3191</v>
      </c>
      <c r="I70" t="s">
        <v>52</v>
      </c>
      <c r="J70" t="s">
        <v>53</v>
      </c>
      <c r="K70" t="s">
        <v>54</v>
      </c>
      <c r="L70" t="s">
        <v>55</v>
      </c>
      <c r="O70" t="s">
        <v>56</v>
      </c>
      <c r="P70" t="s">
        <v>57</v>
      </c>
      <c r="Q70" t="s">
        <v>3192</v>
      </c>
      <c r="R70" t="s">
        <v>3193</v>
      </c>
      <c r="S70" t="s">
        <v>2895</v>
      </c>
      <c r="T70" t="s">
        <v>2896</v>
      </c>
      <c r="U70" t="s">
        <v>2897</v>
      </c>
    </row>
    <row r="71" spans="1:21" hidden="1">
      <c r="A71" t="s">
        <v>236</v>
      </c>
      <c r="B71" t="s">
        <v>3174</v>
      </c>
      <c r="C71" t="s">
        <v>3194</v>
      </c>
      <c r="D71" t="s">
        <v>17</v>
      </c>
      <c r="E71" t="s">
        <v>2</v>
      </c>
      <c r="F71" t="s">
        <v>50</v>
      </c>
      <c r="G71" t="s">
        <v>51</v>
      </c>
      <c r="H71" t="s">
        <v>3195</v>
      </c>
      <c r="I71" t="s">
        <v>52</v>
      </c>
      <c r="J71" t="s">
        <v>53</v>
      </c>
      <c r="K71" t="s">
        <v>54</v>
      </c>
      <c r="L71" t="s">
        <v>55</v>
      </c>
      <c r="O71" t="s">
        <v>56</v>
      </c>
      <c r="P71" t="s">
        <v>57</v>
      </c>
      <c r="Q71" t="s">
        <v>3196</v>
      </c>
      <c r="R71" t="s">
        <v>3197</v>
      </c>
      <c r="S71" t="s">
        <v>2895</v>
      </c>
      <c r="T71" t="s">
        <v>2896</v>
      </c>
      <c r="U71" t="s">
        <v>2897</v>
      </c>
    </row>
    <row r="72" spans="1:21" hidden="1">
      <c r="A72" t="s">
        <v>238</v>
      </c>
      <c r="B72" t="s">
        <v>3174</v>
      </c>
      <c r="C72" t="s">
        <v>3198</v>
      </c>
      <c r="D72" t="s">
        <v>17</v>
      </c>
      <c r="E72" t="s">
        <v>2</v>
      </c>
      <c r="F72" t="s">
        <v>50</v>
      </c>
      <c r="G72" t="s">
        <v>100</v>
      </c>
      <c r="H72" t="s">
        <v>3199</v>
      </c>
      <c r="I72" t="s">
        <v>52</v>
      </c>
      <c r="J72" t="s">
        <v>114</v>
      </c>
      <c r="K72" t="s">
        <v>54</v>
      </c>
      <c r="L72" t="s">
        <v>102</v>
      </c>
      <c r="O72" t="s">
        <v>103</v>
      </c>
      <c r="P72" t="s">
        <v>104</v>
      </c>
      <c r="Q72" t="s">
        <v>3200</v>
      </c>
      <c r="R72" t="s">
        <v>3201</v>
      </c>
      <c r="S72" t="s">
        <v>2895</v>
      </c>
      <c r="T72" t="s">
        <v>2896</v>
      </c>
      <c r="U72" t="s">
        <v>2897</v>
      </c>
    </row>
    <row r="73" spans="1:21" hidden="1">
      <c r="A73" t="s">
        <v>240</v>
      </c>
      <c r="B73" t="s">
        <v>3174</v>
      </c>
      <c r="C73" t="s">
        <v>3202</v>
      </c>
      <c r="D73" t="s">
        <v>17</v>
      </c>
      <c r="E73" t="s">
        <v>2</v>
      </c>
      <c r="F73" t="s">
        <v>50</v>
      </c>
      <c r="G73" t="s">
        <v>51</v>
      </c>
      <c r="H73" t="s">
        <v>3203</v>
      </c>
      <c r="I73" t="s">
        <v>52</v>
      </c>
      <c r="J73" t="s">
        <v>65</v>
      </c>
      <c r="K73" t="s">
        <v>54</v>
      </c>
      <c r="L73" t="s">
        <v>55</v>
      </c>
      <c r="O73" t="s">
        <v>66</v>
      </c>
      <c r="P73" t="s">
        <v>67</v>
      </c>
      <c r="Q73" t="s">
        <v>3204</v>
      </c>
      <c r="R73" t="s">
        <v>3205</v>
      </c>
      <c r="S73" t="s">
        <v>2895</v>
      </c>
      <c r="T73" t="s">
        <v>2896</v>
      </c>
      <c r="U73" t="s">
        <v>2897</v>
      </c>
    </row>
    <row r="74" spans="1:21" hidden="1">
      <c r="A74" t="s">
        <v>242</v>
      </c>
      <c r="B74" t="s">
        <v>3174</v>
      </c>
      <c r="C74" t="s">
        <v>3206</v>
      </c>
      <c r="D74" t="s">
        <v>17</v>
      </c>
      <c r="E74" t="s">
        <v>2</v>
      </c>
      <c r="F74" t="s">
        <v>50</v>
      </c>
      <c r="G74" t="s">
        <v>100</v>
      </c>
      <c r="H74" t="s">
        <v>3207</v>
      </c>
      <c r="I74" t="s">
        <v>52</v>
      </c>
      <c r="J74" t="s">
        <v>244</v>
      </c>
      <c r="K74" t="s">
        <v>54</v>
      </c>
      <c r="L74" t="s">
        <v>102</v>
      </c>
      <c r="O74" t="s">
        <v>178</v>
      </c>
      <c r="P74" t="s">
        <v>245</v>
      </c>
      <c r="Q74" t="s">
        <v>3208</v>
      </c>
      <c r="R74" t="s">
        <v>3209</v>
      </c>
      <c r="S74" t="s">
        <v>2895</v>
      </c>
      <c r="T74" t="s">
        <v>2896</v>
      </c>
      <c r="U74" t="s">
        <v>2897</v>
      </c>
    </row>
    <row r="75" spans="1:21" hidden="1">
      <c r="A75" t="s">
        <v>246</v>
      </c>
      <c r="B75" t="s">
        <v>3210</v>
      </c>
      <c r="C75" t="s">
        <v>3211</v>
      </c>
      <c r="D75" t="s">
        <v>17</v>
      </c>
      <c r="E75" t="s">
        <v>2</v>
      </c>
      <c r="F75" t="s">
        <v>50</v>
      </c>
      <c r="G75" t="s">
        <v>51</v>
      </c>
      <c r="H75" t="s">
        <v>3212</v>
      </c>
      <c r="I75" t="s">
        <v>52</v>
      </c>
      <c r="J75" t="s">
        <v>126</v>
      </c>
      <c r="K75" t="s">
        <v>54</v>
      </c>
      <c r="L75" t="s">
        <v>55</v>
      </c>
      <c r="O75" t="s">
        <v>56</v>
      </c>
      <c r="P75" t="s">
        <v>57</v>
      </c>
      <c r="Q75" t="s">
        <v>3213</v>
      </c>
      <c r="R75" t="s">
        <v>3214</v>
      </c>
      <c r="S75" t="s">
        <v>2895</v>
      </c>
      <c r="T75" t="s">
        <v>2896</v>
      </c>
      <c r="U75" t="s">
        <v>2897</v>
      </c>
    </row>
    <row r="76" spans="1:21" hidden="1">
      <c r="A76" t="s">
        <v>248</v>
      </c>
      <c r="B76" t="s">
        <v>3210</v>
      </c>
      <c r="C76" t="s">
        <v>3215</v>
      </c>
      <c r="D76" t="s">
        <v>17</v>
      </c>
      <c r="E76" t="s">
        <v>2</v>
      </c>
      <c r="F76" t="s">
        <v>50</v>
      </c>
      <c r="G76" t="s">
        <v>51</v>
      </c>
      <c r="H76" t="s">
        <v>3216</v>
      </c>
      <c r="I76" t="s">
        <v>52</v>
      </c>
      <c r="J76" t="s">
        <v>126</v>
      </c>
      <c r="K76" t="s">
        <v>54</v>
      </c>
      <c r="L76" t="s">
        <v>55</v>
      </c>
      <c r="O76" t="s">
        <v>56</v>
      </c>
      <c r="P76" t="s">
        <v>57</v>
      </c>
      <c r="Q76" t="s">
        <v>3217</v>
      </c>
      <c r="R76" t="s">
        <v>3218</v>
      </c>
      <c r="S76" t="s">
        <v>2895</v>
      </c>
      <c r="T76" t="s">
        <v>2896</v>
      </c>
      <c r="U76" t="s">
        <v>2897</v>
      </c>
    </row>
    <row r="77" spans="1:21" hidden="1">
      <c r="A77" t="s">
        <v>250</v>
      </c>
      <c r="B77" t="s">
        <v>3210</v>
      </c>
      <c r="C77" t="s">
        <v>3219</v>
      </c>
      <c r="D77" t="s">
        <v>17</v>
      </c>
      <c r="E77" t="s">
        <v>2</v>
      </c>
      <c r="F77" t="s">
        <v>50</v>
      </c>
      <c r="G77" t="s">
        <v>100</v>
      </c>
      <c r="H77" t="s">
        <v>3220</v>
      </c>
      <c r="I77" t="s">
        <v>52</v>
      </c>
      <c r="J77" t="s">
        <v>114</v>
      </c>
      <c r="K77" t="s">
        <v>54</v>
      </c>
      <c r="L77" t="s">
        <v>102</v>
      </c>
      <c r="O77" t="s">
        <v>103</v>
      </c>
      <c r="P77" t="s">
        <v>104</v>
      </c>
      <c r="Q77" t="s">
        <v>3221</v>
      </c>
      <c r="R77" t="s">
        <v>3222</v>
      </c>
      <c r="S77" t="s">
        <v>2895</v>
      </c>
      <c r="T77" t="s">
        <v>2896</v>
      </c>
      <c r="U77" t="s">
        <v>2897</v>
      </c>
    </row>
    <row r="78" spans="1:21" hidden="1">
      <c r="A78" t="s">
        <v>252</v>
      </c>
      <c r="B78" t="s">
        <v>3210</v>
      </c>
      <c r="C78" t="s">
        <v>3183</v>
      </c>
      <c r="D78" t="s">
        <v>17</v>
      </c>
      <c r="E78" t="s">
        <v>2</v>
      </c>
      <c r="F78" t="s">
        <v>50</v>
      </c>
      <c r="G78" t="s">
        <v>51</v>
      </c>
      <c r="H78" t="s">
        <v>3223</v>
      </c>
      <c r="I78" t="s">
        <v>52</v>
      </c>
      <c r="J78" t="s">
        <v>65</v>
      </c>
      <c r="K78" t="s">
        <v>54</v>
      </c>
      <c r="L78" t="s">
        <v>55</v>
      </c>
      <c r="O78" t="s">
        <v>66</v>
      </c>
      <c r="P78" t="s">
        <v>67</v>
      </c>
      <c r="Q78" t="s">
        <v>3224</v>
      </c>
      <c r="R78" t="s">
        <v>3225</v>
      </c>
      <c r="S78" t="s">
        <v>2895</v>
      </c>
      <c r="T78" t="s">
        <v>2896</v>
      </c>
      <c r="U78" t="s">
        <v>2897</v>
      </c>
    </row>
    <row r="79" spans="1:21" hidden="1">
      <c r="A79" t="s">
        <v>254</v>
      </c>
      <c r="B79" t="s">
        <v>3210</v>
      </c>
      <c r="C79" t="s">
        <v>3226</v>
      </c>
      <c r="D79" t="s">
        <v>17</v>
      </c>
      <c r="E79" t="s">
        <v>2</v>
      </c>
      <c r="F79" t="s">
        <v>50</v>
      </c>
      <c r="G79" t="s">
        <v>51</v>
      </c>
      <c r="H79" t="s">
        <v>3227</v>
      </c>
      <c r="I79" t="s">
        <v>52</v>
      </c>
      <c r="J79" t="s">
        <v>126</v>
      </c>
      <c r="K79" t="s">
        <v>54</v>
      </c>
      <c r="L79" t="s">
        <v>55</v>
      </c>
      <c r="O79" t="s">
        <v>56</v>
      </c>
      <c r="P79" t="s">
        <v>57</v>
      </c>
      <c r="Q79" t="s">
        <v>3228</v>
      </c>
      <c r="R79" t="s">
        <v>3229</v>
      </c>
      <c r="S79" t="s">
        <v>2895</v>
      </c>
      <c r="T79" t="s">
        <v>2896</v>
      </c>
      <c r="U79" t="s">
        <v>2897</v>
      </c>
    </row>
    <row r="80" spans="1:21" hidden="1">
      <c r="A80" t="s">
        <v>256</v>
      </c>
      <c r="B80" t="s">
        <v>3210</v>
      </c>
      <c r="C80" t="s">
        <v>3230</v>
      </c>
      <c r="D80" t="s">
        <v>17</v>
      </c>
      <c r="E80" t="s">
        <v>2</v>
      </c>
      <c r="F80" t="s">
        <v>50</v>
      </c>
      <c r="G80" t="s">
        <v>51</v>
      </c>
      <c r="H80" t="s">
        <v>3231</v>
      </c>
      <c r="I80" t="s">
        <v>52</v>
      </c>
      <c r="J80" t="s">
        <v>126</v>
      </c>
      <c r="K80" t="s">
        <v>54</v>
      </c>
      <c r="L80" t="s">
        <v>55</v>
      </c>
      <c r="O80" t="s">
        <v>56</v>
      </c>
      <c r="P80" t="s">
        <v>57</v>
      </c>
      <c r="Q80" t="s">
        <v>3232</v>
      </c>
      <c r="R80" t="s">
        <v>3233</v>
      </c>
      <c r="S80" t="s">
        <v>2895</v>
      </c>
      <c r="T80" t="s">
        <v>2896</v>
      </c>
      <c r="U80" t="s">
        <v>2897</v>
      </c>
    </row>
    <row r="81" spans="1:21" hidden="1">
      <c r="A81" t="s">
        <v>258</v>
      </c>
      <c r="B81" t="s">
        <v>3210</v>
      </c>
      <c r="C81" t="s">
        <v>3234</v>
      </c>
      <c r="D81" t="s">
        <v>17</v>
      </c>
      <c r="E81" t="s">
        <v>2</v>
      </c>
      <c r="F81" t="s">
        <v>50</v>
      </c>
      <c r="G81" t="s">
        <v>51</v>
      </c>
      <c r="H81" t="s">
        <v>3033</v>
      </c>
      <c r="I81" t="s">
        <v>52</v>
      </c>
      <c r="J81" t="s">
        <v>60</v>
      </c>
      <c r="K81" t="s">
        <v>54</v>
      </c>
      <c r="L81" t="s">
        <v>55</v>
      </c>
      <c r="O81" t="s">
        <v>61</v>
      </c>
      <c r="P81" t="s">
        <v>62</v>
      </c>
      <c r="Q81" t="s">
        <v>3235</v>
      </c>
      <c r="R81" t="s">
        <v>3035</v>
      </c>
      <c r="S81" t="s">
        <v>2895</v>
      </c>
      <c r="T81" t="s">
        <v>2896</v>
      </c>
      <c r="U81" t="s">
        <v>2897</v>
      </c>
    </row>
    <row r="82" spans="1:21" hidden="1">
      <c r="A82" t="s">
        <v>260</v>
      </c>
      <c r="B82" t="s">
        <v>3210</v>
      </c>
      <c r="C82" t="s">
        <v>3236</v>
      </c>
      <c r="D82" t="s">
        <v>17</v>
      </c>
      <c r="E82" t="s">
        <v>2</v>
      </c>
      <c r="F82" t="s">
        <v>50</v>
      </c>
      <c r="G82" t="s">
        <v>51</v>
      </c>
      <c r="H82" t="s">
        <v>3237</v>
      </c>
      <c r="I82" t="s">
        <v>52</v>
      </c>
      <c r="J82" t="s">
        <v>81</v>
      </c>
      <c r="K82" t="s">
        <v>54</v>
      </c>
      <c r="L82" t="s">
        <v>55</v>
      </c>
      <c r="O82" t="s">
        <v>82</v>
      </c>
      <c r="P82" t="s">
        <v>83</v>
      </c>
      <c r="Q82" t="s">
        <v>3238</v>
      </c>
      <c r="R82" t="s">
        <v>3239</v>
      </c>
      <c r="S82" t="s">
        <v>2895</v>
      </c>
      <c r="T82" t="s">
        <v>2896</v>
      </c>
      <c r="U82" t="s">
        <v>2897</v>
      </c>
    </row>
    <row r="83" spans="1:21" hidden="1">
      <c r="A83" t="s">
        <v>262</v>
      </c>
      <c r="B83" t="s">
        <v>3240</v>
      </c>
      <c r="C83" t="s">
        <v>3241</v>
      </c>
      <c r="D83" t="s">
        <v>17</v>
      </c>
      <c r="E83" t="s">
        <v>2</v>
      </c>
      <c r="F83" t="s">
        <v>50</v>
      </c>
      <c r="G83" t="s">
        <v>100</v>
      </c>
      <c r="H83" t="s">
        <v>3242</v>
      </c>
      <c r="I83" t="s">
        <v>52</v>
      </c>
      <c r="J83" t="s">
        <v>114</v>
      </c>
      <c r="K83" t="s">
        <v>54</v>
      </c>
      <c r="L83" t="s">
        <v>102</v>
      </c>
      <c r="O83" t="s">
        <v>103</v>
      </c>
      <c r="P83" t="s">
        <v>104</v>
      </c>
      <c r="Q83" t="s">
        <v>3243</v>
      </c>
      <c r="R83" t="s">
        <v>3244</v>
      </c>
      <c r="S83" t="s">
        <v>2895</v>
      </c>
      <c r="T83" t="s">
        <v>2896</v>
      </c>
      <c r="U83" t="s">
        <v>2897</v>
      </c>
    </row>
    <row r="84" spans="1:21" hidden="1">
      <c r="A84" t="s">
        <v>264</v>
      </c>
      <c r="B84" t="s">
        <v>3240</v>
      </c>
      <c r="C84" t="s">
        <v>2952</v>
      </c>
      <c r="D84" t="s">
        <v>17</v>
      </c>
      <c r="E84" t="s">
        <v>2</v>
      </c>
      <c r="F84" t="s">
        <v>50</v>
      </c>
      <c r="G84" t="s">
        <v>51</v>
      </c>
      <c r="H84" t="s">
        <v>3245</v>
      </c>
      <c r="I84" t="s">
        <v>52</v>
      </c>
      <c r="J84" t="s">
        <v>126</v>
      </c>
      <c r="K84" t="s">
        <v>54</v>
      </c>
      <c r="L84" t="s">
        <v>55</v>
      </c>
      <c r="O84" t="s">
        <v>56</v>
      </c>
      <c r="P84" t="s">
        <v>57</v>
      </c>
      <c r="Q84" t="s">
        <v>3246</v>
      </c>
      <c r="R84" t="s">
        <v>3247</v>
      </c>
      <c r="S84" t="s">
        <v>2895</v>
      </c>
      <c r="T84" t="s">
        <v>2896</v>
      </c>
      <c r="U84" t="s">
        <v>2897</v>
      </c>
    </row>
    <row r="85" spans="1:21" hidden="1">
      <c r="A85" t="s">
        <v>266</v>
      </c>
      <c r="B85" t="s">
        <v>3240</v>
      </c>
      <c r="C85" t="s">
        <v>3248</v>
      </c>
      <c r="D85" t="s">
        <v>17</v>
      </c>
      <c r="E85" t="s">
        <v>2</v>
      </c>
      <c r="F85" t="s">
        <v>50</v>
      </c>
      <c r="G85" t="s">
        <v>51</v>
      </c>
      <c r="H85" t="s">
        <v>3249</v>
      </c>
      <c r="I85" t="s">
        <v>52</v>
      </c>
      <c r="J85" t="s">
        <v>65</v>
      </c>
      <c r="K85" t="s">
        <v>54</v>
      </c>
      <c r="L85" t="s">
        <v>55</v>
      </c>
      <c r="O85" t="s">
        <v>66</v>
      </c>
      <c r="P85" t="s">
        <v>67</v>
      </c>
      <c r="Q85" t="s">
        <v>3250</v>
      </c>
      <c r="R85" t="s">
        <v>3251</v>
      </c>
      <c r="S85" t="s">
        <v>2895</v>
      </c>
      <c r="T85" t="s">
        <v>2896</v>
      </c>
      <c r="U85" t="s">
        <v>2897</v>
      </c>
    </row>
    <row r="86" spans="1:21" hidden="1">
      <c r="A86" t="s">
        <v>268</v>
      </c>
      <c r="B86" t="s">
        <v>3240</v>
      </c>
      <c r="C86" t="s">
        <v>2935</v>
      </c>
      <c r="D86" t="s">
        <v>17</v>
      </c>
      <c r="E86" t="s">
        <v>2</v>
      </c>
      <c r="F86" t="s">
        <v>50</v>
      </c>
      <c r="G86" t="s">
        <v>100</v>
      </c>
      <c r="H86" t="s">
        <v>2969</v>
      </c>
      <c r="I86" t="s">
        <v>52</v>
      </c>
      <c r="J86" t="s">
        <v>101</v>
      </c>
      <c r="K86" t="s">
        <v>54</v>
      </c>
      <c r="L86" t="s">
        <v>102</v>
      </c>
      <c r="O86" t="s">
        <v>103</v>
      </c>
      <c r="P86" t="s">
        <v>104</v>
      </c>
      <c r="Q86" t="s">
        <v>3252</v>
      </c>
      <c r="R86" t="s">
        <v>2971</v>
      </c>
      <c r="S86" t="s">
        <v>2895</v>
      </c>
      <c r="T86" t="s">
        <v>2896</v>
      </c>
      <c r="U86" t="s">
        <v>2897</v>
      </c>
    </row>
    <row r="87" spans="1:21" hidden="1">
      <c r="A87" t="s">
        <v>270</v>
      </c>
      <c r="B87" t="s">
        <v>3240</v>
      </c>
      <c r="C87" t="s">
        <v>3253</v>
      </c>
      <c r="D87" t="s">
        <v>17</v>
      </c>
      <c r="E87" t="s">
        <v>2</v>
      </c>
      <c r="F87" t="s">
        <v>50</v>
      </c>
      <c r="G87" t="s">
        <v>51</v>
      </c>
      <c r="H87" t="s">
        <v>3254</v>
      </c>
      <c r="I87" t="s">
        <v>52</v>
      </c>
      <c r="J87" t="s">
        <v>53</v>
      </c>
      <c r="K87" t="s">
        <v>54</v>
      </c>
      <c r="L87" t="s">
        <v>55</v>
      </c>
      <c r="O87" t="s">
        <v>56</v>
      </c>
      <c r="P87" t="s">
        <v>57</v>
      </c>
      <c r="Q87" t="s">
        <v>3255</v>
      </c>
      <c r="R87" t="s">
        <v>3256</v>
      </c>
      <c r="S87" t="s">
        <v>2895</v>
      </c>
      <c r="T87" t="s">
        <v>2896</v>
      </c>
      <c r="U87" t="s">
        <v>2897</v>
      </c>
    </row>
    <row r="88" spans="1:21" hidden="1">
      <c r="A88" t="s">
        <v>272</v>
      </c>
      <c r="B88" t="s">
        <v>3240</v>
      </c>
      <c r="C88" t="s">
        <v>3257</v>
      </c>
      <c r="D88" t="s">
        <v>17</v>
      </c>
      <c r="E88" t="s">
        <v>2</v>
      </c>
      <c r="F88" t="s">
        <v>50</v>
      </c>
      <c r="G88" t="s">
        <v>51</v>
      </c>
      <c r="H88" t="s">
        <v>3258</v>
      </c>
      <c r="I88" t="s">
        <v>52</v>
      </c>
      <c r="J88" t="s">
        <v>196</v>
      </c>
      <c r="K88" t="s">
        <v>54</v>
      </c>
      <c r="L88" t="s">
        <v>55</v>
      </c>
      <c r="O88" t="s">
        <v>197</v>
      </c>
      <c r="P88" t="s">
        <v>198</v>
      </c>
      <c r="Q88" t="s">
        <v>3259</v>
      </c>
      <c r="R88" t="s">
        <v>3260</v>
      </c>
      <c r="S88" t="s">
        <v>2895</v>
      </c>
      <c r="T88" t="s">
        <v>2896</v>
      </c>
      <c r="U88" t="s">
        <v>2897</v>
      </c>
    </row>
    <row r="89" spans="1:21" hidden="1">
      <c r="A89" t="s">
        <v>274</v>
      </c>
      <c r="B89" t="s">
        <v>3240</v>
      </c>
      <c r="C89" t="s">
        <v>3261</v>
      </c>
      <c r="D89" t="s">
        <v>17</v>
      </c>
      <c r="E89" t="s">
        <v>2</v>
      </c>
      <c r="F89" t="s">
        <v>50</v>
      </c>
      <c r="G89" t="s">
        <v>51</v>
      </c>
      <c r="H89" t="s">
        <v>3262</v>
      </c>
      <c r="I89" t="s">
        <v>52</v>
      </c>
      <c r="J89" t="s">
        <v>53</v>
      </c>
      <c r="K89" t="s">
        <v>54</v>
      </c>
      <c r="L89" t="s">
        <v>55</v>
      </c>
      <c r="O89" t="s">
        <v>56</v>
      </c>
      <c r="P89" t="s">
        <v>57</v>
      </c>
      <c r="Q89" t="s">
        <v>3263</v>
      </c>
      <c r="R89" t="s">
        <v>3264</v>
      </c>
      <c r="S89" t="s">
        <v>2895</v>
      </c>
      <c r="T89" t="s">
        <v>2896</v>
      </c>
      <c r="U89" t="s">
        <v>2897</v>
      </c>
    </row>
    <row r="90" spans="1:21" hidden="1">
      <c r="A90" t="s">
        <v>276</v>
      </c>
      <c r="B90" t="s">
        <v>3265</v>
      </c>
      <c r="C90" t="s">
        <v>3266</v>
      </c>
      <c r="D90" t="s">
        <v>17</v>
      </c>
      <c r="E90" t="s">
        <v>2</v>
      </c>
      <c r="F90" t="s">
        <v>50</v>
      </c>
      <c r="G90" t="s">
        <v>100</v>
      </c>
      <c r="H90" t="s">
        <v>3267</v>
      </c>
      <c r="I90" t="s">
        <v>52</v>
      </c>
      <c r="J90" t="s">
        <v>114</v>
      </c>
      <c r="K90" t="s">
        <v>54</v>
      </c>
      <c r="L90" t="s">
        <v>102</v>
      </c>
      <c r="O90" t="s">
        <v>103</v>
      </c>
      <c r="P90" t="s">
        <v>104</v>
      </c>
      <c r="Q90" t="s">
        <v>3268</v>
      </c>
      <c r="R90" t="s">
        <v>3269</v>
      </c>
      <c r="S90" t="s">
        <v>2895</v>
      </c>
      <c r="T90" t="s">
        <v>2896</v>
      </c>
      <c r="U90" t="s">
        <v>2897</v>
      </c>
    </row>
    <row r="91" spans="1:21" hidden="1">
      <c r="A91" t="s">
        <v>278</v>
      </c>
      <c r="B91" t="s">
        <v>3265</v>
      </c>
      <c r="C91" t="s">
        <v>3270</v>
      </c>
      <c r="D91" t="s">
        <v>17</v>
      </c>
      <c r="E91" t="s">
        <v>2</v>
      </c>
      <c r="F91" t="s">
        <v>50</v>
      </c>
      <c r="G91" t="s">
        <v>51</v>
      </c>
      <c r="H91" t="s">
        <v>3271</v>
      </c>
      <c r="I91" t="s">
        <v>52</v>
      </c>
      <c r="J91" t="s">
        <v>60</v>
      </c>
      <c r="K91" t="s">
        <v>54</v>
      </c>
      <c r="L91" t="s">
        <v>55</v>
      </c>
      <c r="O91" t="s">
        <v>61</v>
      </c>
      <c r="P91" t="s">
        <v>62</v>
      </c>
      <c r="Q91" t="s">
        <v>3272</v>
      </c>
      <c r="R91" t="s">
        <v>3273</v>
      </c>
      <c r="S91" t="s">
        <v>2895</v>
      </c>
      <c r="T91" t="s">
        <v>2896</v>
      </c>
      <c r="U91" t="s">
        <v>2897</v>
      </c>
    </row>
    <row r="92" spans="1:21" hidden="1">
      <c r="A92" t="s">
        <v>280</v>
      </c>
      <c r="B92" t="s">
        <v>3265</v>
      </c>
      <c r="C92" t="s">
        <v>3274</v>
      </c>
      <c r="D92" t="s">
        <v>17</v>
      </c>
      <c r="E92" t="s">
        <v>2</v>
      </c>
      <c r="F92" t="s">
        <v>50</v>
      </c>
      <c r="G92" t="s">
        <v>51</v>
      </c>
      <c r="H92" t="s">
        <v>3275</v>
      </c>
      <c r="I92" t="s">
        <v>52</v>
      </c>
      <c r="J92" t="s">
        <v>121</v>
      </c>
      <c r="K92" t="s">
        <v>54</v>
      </c>
      <c r="L92" t="s">
        <v>55</v>
      </c>
      <c r="O92" t="s">
        <v>122</v>
      </c>
      <c r="P92" t="s">
        <v>123</v>
      </c>
      <c r="Q92" t="s">
        <v>3276</v>
      </c>
      <c r="R92" t="s">
        <v>3277</v>
      </c>
      <c r="S92" t="s">
        <v>2895</v>
      </c>
      <c r="T92" t="s">
        <v>2896</v>
      </c>
      <c r="U92" t="s">
        <v>2897</v>
      </c>
    </row>
    <row r="93" spans="1:21" hidden="1">
      <c r="A93" t="s">
        <v>282</v>
      </c>
      <c r="B93" t="s">
        <v>3265</v>
      </c>
      <c r="C93" t="s">
        <v>3278</v>
      </c>
      <c r="D93" t="s">
        <v>17</v>
      </c>
      <c r="E93" t="s">
        <v>2</v>
      </c>
      <c r="F93" t="s">
        <v>50</v>
      </c>
      <c r="G93" t="s">
        <v>51</v>
      </c>
      <c r="H93" t="s">
        <v>3279</v>
      </c>
      <c r="I93" t="s">
        <v>52</v>
      </c>
      <c r="J93" t="s">
        <v>60</v>
      </c>
      <c r="K93" t="s">
        <v>54</v>
      </c>
      <c r="L93" t="s">
        <v>55</v>
      </c>
      <c r="O93" t="s">
        <v>61</v>
      </c>
      <c r="P93" t="s">
        <v>62</v>
      </c>
      <c r="Q93" t="s">
        <v>3280</v>
      </c>
      <c r="R93" t="s">
        <v>3281</v>
      </c>
      <c r="S93" t="s">
        <v>2895</v>
      </c>
      <c r="T93" t="s">
        <v>2896</v>
      </c>
      <c r="U93" t="s">
        <v>2897</v>
      </c>
    </row>
    <row r="94" spans="1:21" hidden="1">
      <c r="A94" t="s">
        <v>284</v>
      </c>
      <c r="B94" t="s">
        <v>3265</v>
      </c>
      <c r="C94" t="s">
        <v>3282</v>
      </c>
      <c r="D94" t="s">
        <v>17</v>
      </c>
      <c r="E94" t="s">
        <v>2</v>
      </c>
      <c r="F94" t="s">
        <v>50</v>
      </c>
      <c r="G94" t="s">
        <v>51</v>
      </c>
      <c r="H94" t="s">
        <v>3283</v>
      </c>
      <c r="I94" t="s">
        <v>52</v>
      </c>
      <c r="J94" t="s">
        <v>196</v>
      </c>
      <c r="K94" t="s">
        <v>54</v>
      </c>
      <c r="L94" t="s">
        <v>55</v>
      </c>
      <c r="O94" t="s">
        <v>197</v>
      </c>
      <c r="P94" t="s">
        <v>198</v>
      </c>
      <c r="Q94" t="s">
        <v>3284</v>
      </c>
      <c r="R94" t="s">
        <v>3285</v>
      </c>
      <c r="S94" t="s">
        <v>2895</v>
      </c>
      <c r="T94" t="s">
        <v>2896</v>
      </c>
      <c r="U94" t="s">
        <v>2897</v>
      </c>
    </row>
    <row r="95" spans="1:21" hidden="1">
      <c r="A95" t="s">
        <v>286</v>
      </c>
      <c r="B95" t="s">
        <v>3265</v>
      </c>
      <c r="C95" t="s">
        <v>3286</v>
      </c>
      <c r="D95" t="s">
        <v>17</v>
      </c>
      <c r="E95" t="s">
        <v>2</v>
      </c>
      <c r="F95" t="s">
        <v>50</v>
      </c>
      <c r="G95" t="s">
        <v>51</v>
      </c>
      <c r="H95" t="s">
        <v>3287</v>
      </c>
      <c r="I95" t="s">
        <v>52</v>
      </c>
      <c r="J95" t="s">
        <v>196</v>
      </c>
      <c r="K95" t="s">
        <v>54</v>
      </c>
      <c r="L95" t="s">
        <v>55</v>
      </c>
      <c r="O95" t="s">
        <v>197</v>
      </c>
      <c r="P95" t="s">
        <v>198</v>
      </c>
      <c r="Q95" t="s">
        <v>3288</v>
      </c>
      <c r="R95" t="s">
        <v>3289</v>
      </c>
      <c r="S95" t="s">
        <v>2895</v>
      </c>
      <c r="T95" t="s">
        <v>2896</v>
      </c>
      <c r="U95" t="s">
        <v>2897</v>
      </c>
    </row>
    <row r="96" spans="1:21" hidden="1">
      <c r="A96" t="s">
        <v>288</v>
      </c>
      <c r="B96" t="s">
        <v>3265</v>
      </c>
      <c r="C96" t="s">
        <v>3290</v>
      </c>
      <c r="D96" t="s">
        <v>17</v>
      </c>
      <c r="E96" t="s">
        <v>2</v>
      </c>
      <c r="F96" t="s">
        <v>50</v>
      </c>
      <c r="G96" t="s">
        <v>51</v>
      </c>
      <c r="H96" t="s">
        <v>3291</v>
      </c>
      <c r="I96" t="s">
        <v>52</v>
      </c>
      <c r="J96" t="s">
        <v>121</v>
      </c>
      <c r="K96" t="s">
        <v>54</v>
      </c>
      <c r="L96" t="s">
        <v>55</v>
      </c>
      <c r="O96" t="s">
        <v>122</v>
      </c>
      <c r="P96" t="s">
        <v>123</v>
      </c>
      <c r="Q96" t="s">
        <v>3292</v>
      </c>
      <c r="R96" t="s">
        <v>3293</v>
      </c>
      <c r="S96" t="s">
        <v>2895</v>
      </c>
      <c r="T96" t="s">
        <v>2896</v>
      </c>
      <c r="U96" t="s">
        <v>2897</v>
      </c>
    </row>
    <row r="97" spans="1:21" hidden="1">
      <c r="A97" t="s">
        <v>290</v>
      </c>
      <c r="B97" t="s">
        <v>3294</v>
      </c>
      <c r="C97" t="s">
        <v>3295</v>
      </c>
      <c r="D97" t="s">
        <v>17</v>
      </c>
      <c r="E97" t="s">
        <v>2</v>
      </c>
      <c r="F97" t="s">
        <v>50</v>
      </c>
      <c r="G97" t="s">
        <v>51</v>
      </c>
      <c r="H97" t="s">
        <v>3296</v>
      </c>
      <c r="I97" t="s">
        <v>52</v>
      </c>
      <c r="J97" t="s">
        <v>121</v>
      </c>
      <c r="K97" t="s">
        <v>54</v>
      </c>
      <c r="L97" t="s">
        <v>55</v>
      </c>
      <c r="O97" t="s">
        <v>122</v>
      </c>
      <c r="P97" t="s">
        <v>123</v>
      </c>
      <c r="Q97" t="s">
        <v>3297</v>
      </c>
      <c r="R97" t="s">
        <v>3298</v>
      </c>
      <c r="S97" t="s">
        <v>2895</v>
      </c>
      <c r="T97" t="s">
        <v>2896</v>
      </c>
      <c r="U97" t="s">
        <v>2897</v>
      </c>
    </row>
    <row r="98" spans="1:21" hidden="1">
      <c r="A98" t="s">
        <v>292</v>
      </c>
      <c r="B98" t="s">
        <v>3294</v>
      </c>
      <c r="C98" t="s">
        <v>3299</v>
      </c>
      <c r="D98" t="s">
        <v>17</v>
      </c>
      <c r="E98" t="s">
        <v>2</v>
      </c>
      <c r="F98" t="s">
        <v>50</v>
      </c>
      <c r="G98" t="s">
        <v>51</v>
      </c>
      <c r="H98" t="s">
        <v>3300</v>
      </c>
      <c r="I98" t="s">
        <v>52</v>
      </c>
      <c r="J98" t="s">
        <v>196</v>
      </c>
      <c r="K98" t="s">
        <v>54</v>
      </c>
      <c r="L98" t="s">
        <v>55</v>
      </c>
      <c r="O98" t="s">
        <v>197</v>
      </c>
      <c r="P98" t="s">
        <v>198</v>
      </c>
      <c r="Q98" t="s">
        <v>3301</v>
      </c>
      <c r="R98" t="s">
        <v>3302</v>
      </c>
      <c r="S98" t="s">
        <v>2895</v>
      </c>
      <c r="T98" t="s">
        <v>2896</v>
      </c>
      <c r="U98" t="s">
        <v>2897</v>
      </c>
    </row>
    <row r="99" spans="1:21" hidden="1">
      <c r="A99" t="s">
        <v>294</v>
      </c>
      <c r="B99" t="s">
        <v>3294</v>
      </c>
      <c r="C99" t="s">
        <v>3303</v>
      </c>
      <c r="D99" t="s">
        <v>17</v>
      </c>
      <c r="E99" t="s">
        <v>2</v>
      </c>
      <c r="F99" t="s">
        <v>50</v>
      </c>
      <c r="G99" t="s">
        <v>51</v>
      </c>
      <c r="H99" t="s">
        <v>3304</v>
      </c>
      <c r="I99" t="s">
        <v>52</v>
      </c>
      <c r="J99" t="s">
        <v>196</v>
      </c>
      <c r="K99" t="s">
        <v>54</v>
      </c>
      <c r="L99" t="s">
        <v>55</v>
      </c>
      <c r="O99" t="s">
        <v>197</v>
      </c>
      <c r="P99" t="s">
        <v>198</v>
      </c>
      <c r="Q99" t="s">
        <v>3305</v>
      </c>
      <c r="R99" t="s">
        <v>3306</v>
      </c>
      <c r="S99" t="s">
        <v>2895</v>
      </c>
      <c r="T99" t="s">
        <v>2896</v>
      </c>
      <c r="U99" t="s">
        <v>2897</v>
      </c>
    </row>
    <row r="100" spans="1:21" hidden="1">
      <c r="A100" t="s">
        <v>296</v>
      </c>
      <c r="B100" t="s">
        <v>3294</v>
      </c>
      <c r="C100" t="s">
        <v>3307</v>
      </c>
      <c r="D100" t="s">
        <v>17</v>
      </c>
      <c r="E100" t="s">
        <v>2</v>
      </c>
      <c r="F100" t="s">
        <v>50</v>
      </c>
      <c r="G100" t="s">
        <v>51</v>
      </c>
      <c r="H100" t="s">
        <v>3308</v>
      </c>
      <c r="I100" t="s">
        <v>52</v>
      </c>
      <c r="J100" t="s">
        <v>81</v>
      </c>
      <c r="K100" t="s">
        <v>54</v>
      </c>
      <c r="L100" t="s">
        <v>55</v>
      </c>
      <c r="O100" t="s">
        <v>82</v>
      </c>
      <c r="P100" t="s">
        <v>83</v>
      </c>
      <c r="Q100" t="s">
        <v>3309</v>
      </c>
      <c r="R100" t="s">
        <v>3310</v>
      </c>
      <c r="S100" t="s">
        <v>2895</v>
      </c>
      <c r="T100" t="s">
        <v>2896</v>
      </c>
      <c r="U100" t="s">
        <v>2897</v>
      </c>
    </row>
    <row r="101" spans="1:21" hidden="1">
      <c r="A101" t="s">
        <v>298</v>
      </c>
      <c r="B101" t="s">
        <v>3294</v>
      </c>
      <c r="C101" t="s">
        <v>3270</v>
      </c>
      <c r="D101" t="s">
        <v>17</v>
      </c>
      <c r="E101" t="s">
        <v>2</v>
      </c>
      <c r="F101" t="s">
        <v>50</v>
      </c>
      <c r="G101" t="s">
        <v>51</v>
      </c>
      <c r="H101" t="s">
        <v>3311</v>
      </c>
      <c r="I101" t="s">
        <v>52</v>
      </c>
      <c r="J101" t="s">
        <v>126</v>
      </c>
      <c r="K101" t="s">
        <v>54</v>
      </c>
      <c r="L101" t="s">
        <v>55</v>
      </c>
      <c r="O101" t="s">
        <v>56</v>
      </c>
      <c r="P101" t="s">
        <v>57</v>
      </c>
      <c r="Q101" t="s">
        <v>3312</v>
      </c>
      <c r="R101" t="s">
        <v>3313</v>
      </c>
      <c r="S101" t="s">
        <v>2895</v>
      </c>
      <c r="T101" t="s">
        <v>2896</v>
      </c>
      <c r="U101" t="s">
        <v>2897</v>
      </c>
    </row>
    <row r="102" spans="1:21" hidden="1">
      <c r="A102" t="s">
        <v>300</v>
      </c>
      <c r="B102" t="s">
        <v>3294</v>
      </c>
      <c r="C102" t="s">
        <v>3314</v>
      </c>
      <c r="D102" t="s">
        <v>17</v>
      </c>
      <c r="E102" t="s">
        <v>2</v>
      </c>
      <c r="F102" t="s">
        <v>50</v>
      </c>
      <c r="G102" t="s">
        <v>51</v>
      </c>
      <c r="H102" t="s">
        <v>3315</v>
      </c>
      <c r="I102" t="s">
        <v>52</v>
      </c>
      <c r="J102" t="s">
        <v>196</v>
      </c>
      <c r="K102" t="s">
        <v>54</v>
      </c>
      <c r="L102" t="s">
        <v>55</v>
      </c>
      <c r="O102" t="s">
        <v>197</v>
      </c>
      <c r="P102" t="s">
        <v>198</v>
      </c>
      <c r="Q102" t="s">
        <v>3316</v>
      </c>
      <c r="R102" t="s">
        <v>3317</v>
      </c>
      <c r="S102" t="s">
        <v>2895</v>
      </c>
      <c r="T102" t="s">
        <v>2896</v>
      </c>
      <c r="U102" t="s">
        <v>2897</v>
      </c>
    </row>
    <row r="103" spans="1:21" hidden="1">
      <c r="A103" t="s">
        <v>302</v>
      </c>
      <c r="B103" t="s">
        <v>3294</v>
      </c>
      <c r="C103" t="s">
        <v>3318</v>
      </c>
      <c r="D103" t="s">
        <v>17</v>
      </c>
      <c r="E103" t="s">
        <v>2</v>
      </c>
      <c r="F103" t="s">
        <v>50</v>
      </c>
      <c r="G103" t="s">
        <v>100</v>
      </c>
      <c r="H103" t="s">
        <v>2969</v>
      </c>
      <c r="I103" t="s">
        <v>52</v>
      </c>
      <c r="J103" t="s">
        <v>101</v>
      </c>
      <c r="K103" t="s">
        <v>54</v>
      </c>
      <c r="L103" t="s">
        <v>102</v>
      </c>
      <c r="O103" t="s">
        <v>103</v>
      </c>
      <c r="P103" t="s">
        <v>104</v>
      </c>
      <c r="Q103" t="s">
        <v>3319</v>
      </c>
      <c r="R103" t="s">
        <v>2971</v>
      </c>
      <c r="S103" t="s">
        <v>2895</v>
      </c>
      <c r="T103" t="s">
        <v>2896</v>
      </c>
      <c r="U103" t="s">
        <v>2897</v>
      </c>
    </row>
    <row r="104" spans="1:21" hidden="1">
      <c r="A104" t="s">
        <v>304</v>
      </c>
      <c r="B104" t="s">
        <v>3320</v>
      </c>
      <c r="C104" t="s">
        <v>3321</v>
      </c>
      <c r="D104" t="s">
        <v>17</v>
      </c>
      <c r="E104" t="s">
        <v>2</v>
      </c>
      <c r="F104" t="s">
        <v>50</v>
      </c>
      <c r="G104" t="s">
        <v>100</v>
      </c>
      <c r="H104" t="s">
        <v>3322</v>
      </c>
      <c r="I104" t="s">
        <v>52</v>
      </c>
      <c r="J104" t="s">
        <v>114</v>
      </c>
      <c r="K104" t="s">
        <v>54</v>
      </c>
      <c r="L104" t="s">
        <v>102</v>
      </c>
      <c r="O104" t="s">
        <v>103</v>
      </c>
      <c r="P104" t="s">
        <v>104</v>
      </c>
      <c r="Q104" t="s">
        <v>3323</v>
      </c>
      <c r="R104" t="s">
        <v>3324</v>
      </c>
      <c r="S104" t="s">
        <v>2895</v>
      </c>
      <c r="T104" t="s">
        <v>2896</v>
      </c>
      <c r="U104" t="s">
        <v>2897</v>
      </c>
    </row>
    <row r="105" spans="1:21" hidden="1">
      <c r="A105" t="s">
        <v>306</v>
      </c>
      <c r="B105" t="s">
        <v>3320</v>
      </c>
      <c r="C105" t="s">
        <v>3325</v>
      </c>
      <c r="D105" t="s">
        <v>17</v>
      </c>
      <c r="E105" t="s">
        <v>2</v>
      </c>
      <c r="F105" t="s">
        <v>50</v>
      </c>
      <c r="G105" t="s">
        <v>51</v>
      </c>
      <c r="H105" t="s">
        <v>3326</v>
      </c>
      <c r="I105" t="s">
        <v>52</v>
      </c>
      <c r="J105" t="s">
        <v>65</v>
      </c>
      <c r="K105" t="s">
        <v>54</v>
      </c>
      <c r="L105" t="s">
        <v>55</v>
      </c>
      <c r="O105" t="s">
        <v>66</v>
      </c>
      <c r="P105" t="s">
        <v>67</v>
      </c>
      <c r="Q105" t="s">
        <v>3327</v>
      </c>
      <c r="R105" t="s">
        <v>3328</v>
      </c>
      <c r="S105" t="s">
        <v>2895</v>
      </c>
      <c r="T105" t="s">
        <v>2896</v>
      </c>
      <c r="U105" t="s">
        <v>2897</v>
      </c>
    </row>
    <row r="106" spans="1:21" hidden="1">
      <c r="A106" t="s">
        <v>308</v>
      </c>
      <c r="B106" t="s">
        <v>3320</v>
      </c>
      <c r="C106" t="s">
        <v>3329</v>
      </c>
      <c r="D106" t="s">
        <v>17</v>
      </c>
      <c r="E106" t="s">
        <v>2</v>
      </c>
      <c r="F106" t="s">
        <v>50</v>
      </c>
      <c r="G106" t="s">
        <v>100</v>
      </c>
      <c r="H106" t="s">
        <v>2969</v>
      </c>
      <c r="I106" t="s">
        <v>52</v>
      </c>
      <c r="J106" t="s">
        <v>101</v>
      </c>
      <c r="K106" t="s">
        <v>54</v>
      </c>
      <c r="L106" t="s">
        <v>102</v>
      </c>
      <c r="O106" t="s">
        <v>103</v>
      </c>
      <c r="P106" t="s">
        <v>104</v>
      </c>
      <c r="Q106" t="s">
        <v>3330</v>
      </c>
      <c r="R106" t="s">
        <v>2971</v>
      </c>
      <c r="S106" t="s">
        <v>2895</v>
      </c>
      <c r="T106" t="s">
        <v>2896</v>
      </c>
      <c r="U106" t="s">
        <v>2897</v>
      </c>
    </row>
    <row r="107" spans="1:21" hidden="1">
      <c r="A107" t="s">
        <v>310</v>
      </c>
      <c r="B107" t="s">
        <v>3320</v>
      </c>
      <c r="C107" t="s">
        <v>3331</v>
      </c>
      <c r="D107" t="s">
        <v>17</v>
      </c>
      <c r="E107" t="s">
        <v>2</v>
      </c>
      <c r="F107" t="s">
        <v>50</v>
      </c>
      <c r="G107" t="s">
        <v>100</v>
      </c>
      <c r="H107" t="s">
        <v>3332</v>
      </c>
      <c r="I107" t="s">
        <v>52</v>
      </c>
      <c r="J107" t="s">
        <v>114</v>
      </c>
      <c r="K107" t="s">
        <v>54</v>
      </c>
      <c r="L107" t="s">
        <v>102</v>
      </c>
      <c r="O107" t="s">
        <v>103</v>
      </c>
      <c r="P107" t="s">
        <v>104</v>
      </c>
      <c r="Q107" t="s">
        <v>3333</v>
      </c>
      <c r="R107" t="s">
        <v>3334</v>
      </c>
      <c r="S107" t="s">
        <v>2895</v>
      </c>
      <c r="T107" t="s">
        <v>2896</v>
      </c>
      <c r="U107" t="s">
        <v>2897</v>
      </c>
    </row>
    <row r="108" spans="1:21" hidden="1">
      <c r="A108" t="s">
        <v>312</v>
      </c>
      <c r="B108" t="s">
        <v>3320</v>
      </c>
      <c r="C108" t="s">
        <v>3335</v>
      </c>
      <c r="D108" t="s">
        <v>17</v>
      </c>
      <c r="E108" t="s">
        <v>2</v>
      </c>
      <c r="F108" t="s">
        <v>50</v>
      </c>
      <c r="G108" t="s">
        <v>100</v>
      </c>
      <c r="H108" t="s">
        <v>2969</v>
      </c>
      <c r="I108" t="s">
        <v>52</v>
      </c>
      <c r="J108" t="s">
        <v>101</v>
      </c>
      <c r="K108" t="s">
        <v>54</v>
      </c>
      <c r="L108" t="s">
        <v>102</v>
      </c>
      <c r="O108" t="s">
        <v>103</v>
      </c>
      <c r="P108" t="s">
        <v>104</v>
      </c>
      <c r="Q108" t="s">
        <v>3336</v>
      </c>
      <c r="R108" t="s">
        <v>2971</v>
      </c>
      <c r="S108" t="s">
        <v>2895</v>
      </c>
      <c r="T108" t="s">
        <v>2896</v>
      </c>
      <c r="U108" t="s">
        <v>2897</v>
      </c>
    </row>
    <row r="109" spans="1:21" hidden="1">
      <c r="A109" t="s">
        <v>314</v>
      </c>
      <c r="B109" t="s">
        <v>3320</v>
      </c>
      <c r="C109" t="s">
        <v>3337</v>
      </c>
      <c r="D109" t="s">
        <v>17</v>
      </c>
      <c r="E109" t="s">
        <v>2</v>
      </c>
      <c r="F109" t="s">
        <v>50</v>
      </c>
      <c r="G109" t="s">
        <v>72</v>
      </c>
      <c r="H109" t="s">
        <v>3338</v>
      </c>
      <c r="I109" t="s">
        <v>52</v>
      </c>
      <c r="J109" t="s">
        <v>316</v>
      </c>
      <c r="K109" t="s">
        <v>54</v>
      </c>
      <c r="L109" t="s">
        <v>74</v>
      </c>
      <c r="O109" t="s">
        <v>75</v>
      </c>
      <c r="P109" t="s">
        <v>76</v>
      </c>
      <c r="Q109" t="s">
        <v>3339</v>
      </c>
      <c r="R109" t="s">
        <v>3340</v>
      </c>
      <c r="S109" t="s">
        <v>2895</v>
      </c>
      <c r="T109" t="s">
        <v>2896</v>
      </c>
      <c r="U109" t="s">
        <v>2897</v>
      </c>
    </row>
    <row r="110" spans="1:21" hidden="1">
      <c r="A110" t="s">
        <v>317</v>
      </c>
      <c r="B110" t="s">
        <v>3320</v>
      </c>
      <c r="C110" t="s">
        <v>3341</v>
      </c>
      <c r="D110" t="s">
        <v>17</v>
      </c>
      <c r="E110" t="s">
        <v>2</v>
      </c>
      <c r="F110" t="s">
        <v>50</v>
      </c>
      <c r="G110" t="s">
        <v>100</v>
      </c>
      <c r="H110" t="s">
        <v>2969</v>
      </c>
      <c r="I110" t="s">
        <v>52</v>
      </c>
      <c r="J110" t="s">
        <v>101</v>
      </c>
      <c r="K110" t="s">
        <v>54</v>
      </c>
      <c r="L110" t="s">
        <v>102</v>
      </c>
      <c r="O110" t="s">
        <v>103</v>
      </c>
      <c r="P110" t="s">
        <v>104</v>
      </c>
      <c r="Q110" t="s">
        <v>3342</v>
      </c>
      <c r="R110" t="s">
        <v>2971</v>
      </c>
      <c r="S110" t="s">
        <v>2895</v>
      </c>
      <c r="T110" t="s">
        <v>2896</v>
      </c>
      <c r="U110" t="s">
        <v>2897</v>
      </c>
    </row>
    <row r="111" spans="1:21" hidden="1">
      <c r="A111" t="s">
        <v>319</v>
      </c>
      <c r="B111" t="s">
        <v>3320</v>
      </c>
      <c r="C111" t="s">
        <v>3343</v>
      </c>
      <c r="D111" t="s">
        <v>17</v>
      </c>
      <c r="E111" t="s">
        <v>2</v>
      </c>
      <c r="F111" t="s">
        <v>149</v>
      </c>
      <c r="G111" t="s">
        <v>321</v>
      </c>
      <c r="H111" t="s">
        <v>3344</v>
      </c>
      <c r="I111" t="s">
        <v>52</v>
      </c>
      <c r="J111" t="s">
        <v>9</v>
      </c>
      <c r="K111" t="s">
        <v>54</v>
      </c>
      <c r="L111" t="s">
        <v>102</v>
      </c>
      <c r="O111" t="s">
        <v>322</v>
      </c>
      <c r="P111" t="s">
        <v>323</v>
      </c>
      <c r="Q111" t="s">
        <v>3345</v>
      </c>
      <c r="R111" t="s">
        <v>3344</v>
      </c>
      <c r="S111" t="s">
        <v>2895</v>
      </c>
      <c r="T111" t="s">
        <v>2896</v>
      </c>
      <c r="U111" t="s">
        <v>2897</v>
      </c>
    </row>
    <row r="112" spans="1:21" hidden="1">
      <c r="A112" t="s">
        <v>324</v>
      </c>
      <c r="B112" t="s">
        <v>3320</v>
      </c>
      <c r="C112" t="s">
        <v>3346</v>
      </c>
      <c r="D112" t="s">
        <v>17</v>
      </c>
      <c r="E112" t="s">
        <v>2</v>
      </c>
      <c r="F112" t="s">
        <v>50</v>
      </c>
      <c r="G112" t="s">
        <v>100</v>
      </c>
      <c r="H112" t="s">
        <v>2969</v>
      </c>
      <c r="I112" t="s">
        <v>52</v>
      </c>
      <c r="J112" t="s">
        <v>101</v>
      </c>
      <c r="K112" t="s">
        <v>54</v>
      </c>
      <c r="L112" t="s">
        <v>102</v>
      </c>
      <c r="O112" t="s">
        <v>103</v>
      </c>
      <c r="P112" t="s">
        <v>104</v>
      </c>
      <c r="Q112" t="s">
        <v>3347</v>
      </c>
      <c r="R112" t="s">
        <v>2971</v>
      </c>
      <c r="S112" t="s">
        <v>2895</v>
      </c>
      <c r="T112" t="s">
        <v>2896</v>
      </c>
      <c r="U112" t="s">
        <v>2897</v>
      </c>
    </row>
    <row r="113" spans="1:21" hidden="1">
      <c r="A113" t="s">
        <v>326</v>
      </c>
      <c r="B113" t="s">
        <v>3320</v>
      </c>
      <c r="C113" t="s">
        <v>3348</v>
      </c>
      <c r="D113" t="s">
        <v>17</v>
      </c>
      <c r="E113" t="s">
        <v>2</v>
      </c>
      <c r="F113" t="s">
        <v>50</v>
      </c>
      <c r="G113" t="s">
        <v>51</v>
      </c>
      <c r="H113" t="s">
        <v>3349</v>
      </c>
      <c r="I113" t="s">
        <v>52</v>
      </c>
      <c r="J113" t="s">
        <v>196</v>
      </c>
      <c r="K113" t="s">
        <v>54</v>
      </c>
      <c r="L113" t="s">
        <v>55</v>
      </c>
      <c r="O113" t="s">
        <v>197</v>
      </c>
      <c r="P113" t="s">
        <v>198</v>
      </c>
      <c r="Q113" t="s">
        <v>3350</v>
      </c>
      <c r="R113" t="s">
        <v>3351</v>
      </c>
      <c r="S113" t="s">
        <v>2895</v>
      </c>
      <c r="T113" t="s">
        <v>2896</v>
      </c>
      <c r="U113" t="s">
        <v>2897</v>
      </c>
    </row>
    <row r="114" spans="1:21" hidden="1">
      <c r="A114" t="s">
        <v>328</v>
      </c>
      <c r="B114" t="s">
        <v>3352</v>
      </c>
      <c r="C114" t="s">
        <v>3353</v>
      </c>
      <c r="D114" t="s">
        <v>17</v>
      </c>
      <c r="E114" t="s">
        <v>2</v>
      </c>
      <c r="F114" t="s">
        <v>50</v>
      </c>
      <c r="G114" t="s">
        <v>51</v>
      </c>
      <c r="H114" t="s">
        <v>3354</v>
      </c>
      <c r="I114" t="s">
        <v>52</v>
      </c>
      <c r="J114" t="s">
        <v>53</v>
      </c>
      <c r="K114" t="s">
        <v>54</v>
      </c>
      <c r="L114" t="s">
        <v>55</v>
      </c>
      <c r="O114" t="s">
        <v>56</v>
      </c>
      <c r="P114" t="s">
        <v>57</v>
      </c>
      <c r="Q114" t="s">
        <v>3355</v>
      </c>
      <c r="R114" t="s">
        <v>3356</v>
      </c>
      <c r="S114" t="s">
        <v>2895</v>
      </c>
      <c r="T114" t="s">
        <v>2896</v>
      </c>
      <c r="U114" t="s">
        <v>2897</v>
      </c>
    </row>
    <row r="115" spans="1:21" hidden="1">
      <c r="A115" t="s">
        <v>330</v>
      </c>
      <c r="B115" t="s">
        <v>3352</v>
      </c>
      <c r="C115" t="s">
        <v>3357</v>
      </c>
      <c r="D115" t="s">
        <v>17</v>
      </c>
      <c r="E115" t="s">
        <v>2</v>
      </c>
      <c r="F115" t="s">
        <v>50</v>
      </c>
      <c r="G115" t="s">
        <v>51</v>
      </c>
      <c r="H115" t="s">
        <v>3358</v>
      </c>
      <c r="I115" t="s">
        <v>52</v>
      </c>
      <c r="J115" t="s">
        <v>196</v>
      </c>
      <c r="K115" t="s">
        <v>54</v>
      </c>
      <c r="L115" t="s">
        <v>55</v>
      </c>
      <c r="O115" t="s">
        <v>197</v>
      </c>
      <c r="P115" t="s">
        <v>198</v>
      </c>
      <c r="Q115" t="s">
        <v>3359</v>
      </c>
      <c r="R115" t="s">
        <v>3360</v>
      </c>
      <c r="S115" t="s">
        <v>2895</v>
      </c>
      <c r="T115" t="s">
        <v>2896</v>
      </c>
      <c r="U115" t="s">
        <v>2897</v>
      </c>
    </row>
    <row r="116" spans="1:21" hidden="1">
      <c r="A116" t="s">
        <v>332</v>
      </c>
      <c r="B116" t="s">
        <v>3352</v>
      </c>
      <c r="C116" t="s">
        <v>3361</v>
      </c>
      <c r="D116" t="s">
        <v>17</v>
      </c>
      <c r="E116" t="s">
        <v>2</v>
      </c>
      <c r="F116" t="s">
        <v>50</v>
      </c>
      <c r="G116" t="s">
        <v>51</v>
      </c>
      <c r="H116" t="s">
        <v>3362</v>
      </c>
      <c r="I116" t="s">
        <v>52</v>
      </c>
      <c r="J116" t="s">
        <v>60</v>
      </c>
      <c r="K116" t="s">
        <v>54</v>
      </c>
      <c r="L116" t="s">
        <v>55</v>
      </c>
      <c r="O116" t="s">
        <v>61</v>
      </c>
      <c r="P116" t="s">
        <v>62</v>
      </c>
      <c r="Q116" t="s">
        <v>3363</v>
      </c>
      <c r="R116" t="s">
        <v>3364</v>
      </c>
      <c r="S116" t="s">
        <v>2895</v>
      </c>
      <c r="T116" t="s">
        <v>2896</v>
      </c>
      <c r="U116" t="s">
        <v>2897</v>
      </c>
    </row>
    <row r="117" spans="1:21" hidden="1">
      <c r="A117" t="s">
        <v>334</v>
      </c>
      <c r="B117" t="s">
        <v>3352</v>
      </c>
      <c r="C117" t="s">
        <v>3365</v>
      </c>
      <c r="D117" t="s">
        <v>17</v>
      </c>
      <c r="E117" t="s">
        <v>2</v>
      </c>
      <c r="F117" t="s">
        <v>50</v>
      </c>
      <c r="G117" t="s">
        <v>51</v>
      </c>
      <c r="H117" t="s">
        <v>3366</v>
      </c>
      <c r="I117" t="s">
        <v>52</v>
      </c>
      <c r="J117" t="s">
        <v>65</v>
      </c>
      <c r="K117" t="s">
        <v>54</v>
      </c>
      <c r="L117" t="s">
        <v>55</v>
      </c>
      <c r="O117" t="s">
        <v>66</v>
      </c>
      <c r="P117" t="s">
        <v>67</v>
      </c>
      <c r="Q117" t="s">
        <v>3367</v>
      </c>
      <c r="R117" t="s">
        <v>3368</v>
      </c>
      <c r="S117" t="s">
        <v>2895</v>
      </c>
      <c r="T117" t="s">
        <v>2896</v>
      </c>
      <c r="U117" t="s">
        <v>2897</v>
      </c>
    </row>
    <row r="118" spans="1:21" hidden="1">
      <c r="A118" t="s">
        <v>336</v>
      </c>
      <c r="B118" t="s">
        <v>3352</v>
      </c>
      <c r="C118" t="s">
        <v>3369</v>
      </c>
      <c r="D118" t="s">
        <v>17</v>
      </c>
      <c r="E118" t="s">
        <v>2</v>
      </c>
      <c r="F118" t="s">
        <v>50</v>
      </c>
      <c r="G118" t="s">
        <v>51</v>
      </c>
      <c r="H118" t="s">
        <v>3370</v>
      </c>
      <c r="I118" t="s">
        <v>52</v>
      </c>
      <c r="J118" t="s">
        <v>81</v>
      </c>
      <c r="K118" t="s">
        <v>54</v>
      </c>
      <c r="L118" t="s">
        <v>55</v>
      </c>
      <c r="O118" t="s">
        <v>82</v>
      </c>
      <c r="P118" t="s">
        <v>83</v>
      </c>
      <c r="Q118" t="s">
        <v>3371</v>
      </c>
      <c r="R118" t="s">
        <v>3372</v>
      </c>
      <c r="S118" t="s">
        <v>2895</v>
      </c>
      <c r="T118" t="s">
        <v>2896</v>
      </c>
      <c r="U118" t="s">
        <v>2897</v>
      </c>
    </row>
    <row r="119" spans="1:21" hidden="1">
      <c r="A119" t="s">
        <v>338</v>
      </c>
      <c r="B119" t="s">
        <v>3352</v>
      </c>
      <c r="C119" t="s">
        <v>3373</v>
      </c>
      <c r="D119" t="s">
        <v>17</v>
      </c>
      <c r="E119" t="s">
        <v>2</v>
      </c>
      <c r="F119" t="s">
        <v>50</v>
      </c>
      <c r="G119" t="s">
        <v>51</v>
      </c>
      <c r="H119" t="s">
        <v>3374</v>
      </c>
      <c r="I119" t="s">
        <v>52</v>
      </c>
      <c r="J119" t="s">
        <v>121</v>
      </c>
      <c r="K119" t="s">
        <v>54</v>
      </c>
      <c r="L119" t="s">
        <v>55</v>
      </c>
      <c r="O119" t="s">
        <v>122</v>
      </c>
      <c r="P119" t="s">
        <v>123</v>
      </c>
      <c r="Q119" t="s">
        <v>3375</v>
      </c>
      <c r="R119" t="s">
        <v>3376</v>
      </c>
      <c r="S119" t="s">
        <v>2895</v>
      </c>
      <c r="T119" t="s">
        <v>2896</v>
      </c>
      <c r="U119" t="s">
        <v>2897</v>
      </c>
    </row>
    <row r="120" spans="1:21" hidden="1">
      <c r="A120" t="s">
        <v>340</v>
      </c>
      <c r="B120" t="s">
        <v>3377</v>
      </c>
      <c r="C120" t="s">
        <v>3378</v>
      </c>
      <c r="D120" t="s">
        <v>17</v>
      </c>
      <c r="E120" t="s">
        <v>2</v>
      </c>
      <c r="F120" t="s">
        <v>50</v>
      </c>
      <c r="G120" t="s">
        <v>100</v>
      </c>
      <c r="H120" t="s">
        <v>2969</v>
      </c>
      <c r="I120" t="s">
        <v>52</v>
      </c>
      <c r="J120" t="s">
        <v>101</v>
      </c>
      <c r="K120" t="s">
        <v>54</v>
      </c>
      <c r="L120" t="s">
        <v>102</v>
      </c>
      <c r="O120" t="s">
        <v>103</v>
      </c>
      <c r="P120" t="s">
        <v>104</v>
      </c>
      <c r="Q120" t="s">
        <v>3379</v>
      </c>
      <c r="R120" t="s">
        <v>2971</v>
      </c>
      <c r="S120" t="s">
        <v>2895</v>
      </c>
      <c r="T120" t="s">
        <v>2896</v>
      </c>
      <c r="U120" t="s">
        <v>2897</v>
      </c>
    </row>
    <row r="121" spans="1:21" hidden="1">
      <c r="A121" t="s">
        <v>342</v>
      </c>
      <c r="B121" t="s">
        <v>3377</v>
      </c>
      <c r="C121" t="s">
        <v>3380</v>
      </c>
      <c r="D121" t="s">
        <v>17</v>
      </c>
      <c r="E121" t="s">
        <v>2</v>
      </c>
      <c r="F121" t="s">
        <v>149</v>
      </c>
      <c r="G121" t="s">
        <v>72</v>
      </c>
      <c r="H121" t="s">
        <v>3381</v>
      </c>
      <c r="I121" t="s">
        <v>52</v>
      </c>
      <c r="J121" t="s">
        <v>316</v>
      </c>
      <c r="K121" t="s">
        <v>54</v>
      </c>
      <c r="L121" t="s">
        <v>74</v>
      </c>
      <c r="O121" t="s">
        <v>75</v>
      </c>
      <c r="P121" t="s">
        <v>76</v>
      </c>
      <c r="Q121" t="s">
        <v>3382</v>
      </c>
      <c r="R121" t="s">
        <v>3381</v>
      </c>
      <c r="S121" t="s">
        <v>2895</v>
      </c>
      <c r="T121" t="s">
        <v>2896</v>
      </c>
      <c r="U121" t="s">
        <v>2897</v>
      </c>
    </row>
    <row r="122" spans="1:21" hidden="1">
      <c r="A122" t="s">
        <v>344</v>
      </c>
      <c r="B122" t="s">
        <v>3377</v>
      </c>
      <c r="C122" t="s">
        <v>3383</v>
      </c>
      <c r="D122" t="s">
        <v>17</v>
      </c>
      <c r="E122" t="s">
        <v>2</v>
      </c>
      <c r="F122" t="s">
        <v>50</v>
      </c>
      <c r="G122" t="s">
        <v>100</v>
      </c>
      <c r="H122" t="s">
        <v>2969</v>
      </c>
      <c r="I122" t="s">
        <v>52</v>
      </c>
      <c r="J122" t="s">
        <v>101</v>
      </c>
      <c r="K122" t="s">
        <v>54</v>
      </c>
      <c r="L122" t="s">
        <v>102</v>
      </c>
      <c r="O122" t="s">
        <v>103</v>
      </c>
      <c r="P122" t="s">
        <v>104</v>
      </c>
      <c r="Q122" t="s">
        <v>3384</v>
      </c>
      <c r="R122" t="s">
        <v>2971</v>
      </c>
      <c r="S122" t="s">
        <v>2895</v>
      </c>
      <c r="T122" t="s">
        <v>2896</v>
      </c>
      <c r="U122" t="s">
        <v>2897</v>
      </c>
    </row>
    <row r="123" spans="1:21" hidden="1">
      <c r="A123" t="s">
        <v>346</v>
      </c>
      <c r="B123" t="s">
        <v>3377</v>
      </c>
      <c r="C123" t="s">
        <v>3341</v>
      </c>
      <c r="D123" t="s">
        <v>17</v>
      </c>
      <c r="E123" t="s">
        <v>2</v>
      </c>
      <c r="F123" t="s">
        <v>50</v>
      </c>
      <c r="G123" t="s">
        <v>51</v>
      </c>
      <c r="H123" t="s">
        <v>3385</v>
      </c>
      <c r="I123" t="s">
        <v>52</v>
      </c>
      <c r="J123" t="s">
        <v>196</v>
      </c>
      <c r="K123" t="s">
        <v>54</v>
      </c>
      <c r="L123" t="s">
        <v>55</v>
      </c>
      <c r="O123" t="s">
        <v>197</v>
      </c>
      <c r="P123" t="s">
        <v>198</v>
      </c>
      <c r="Q123" t="s">
        <v>3386</v>
      </c>
      <c r="R123" t="s">
        <v>3387</v>
      </c>
      <c r="S123" t="s">
        <v>2895</v>
      </c>
      <c r="T123" t="s">
        <v>2896</v>
      </c>
      <c r="U123" t="s">
        <v>2897</v>
      </c>
    </row>
    <row r="124" spans="1:21" hidden="1">
      <c r="A124" t="s">
        <v>348</v>
      </c>
      <c r="B124" t="s">
        <v>3377</v>
      </c>
      <c r="C124" t="s">
        <v>3388</v>
      </c>
      <c r="D124" t="s">
        <v>17</v>
      </c>
      <c r="E124" t="s">
        <v>2</v>
      </c>
      <c r="F124" t="s">
        <v>50</v>
      </c>
      <c r="G124" t="s">
        <v>51</v>
      </c>
      <c r="H124" t="s">
        <v>3389</v>
      </c>
      <c r="I124" t="s">
        <v>52</v>
      </c>
      <c r="J124" t="s">
        <v>121</v>
      </c>
      <c r="K124" t="s">
        <v>54</v>
      </c>
      <c r="L124" t="s">
        <v>55</v>
      </c>
      <c r="O124" t="s">
        <v>122</v>
      </c>
      <c r="P124" t="s">
        <v>123</v>
      </c>
      <c r="Q124" t="s">
        <v>3390</v>
      </c>
      <c r="R124" t="s">
        <v>3391</v>
      </c>
      <c r="S124" t="s">
        <v>2895</v>
      </c>
      <c r="T124" t="s">
        <v>2896</v>
      </c>
      <c r="U124" t="s">
        <v>2897</v>
      </c>
    </row>
    <row r="125" spans="1:21" hidden="1">
      <c r="A125" t="s">
        <v>350</v>
      </c>
      <c r="B125" t="s">
        <v>3377</v>
      </c>
      <c r="C125" t="s">
        <v>3392</v>
      </c>
      <c r="D125" t="s">
        <v>17</v>
      </c>
      <c r="E125" t="s">
        <v>2</v>
      </c>
      <c r="F125" t="s">
        <v>50</v>
      </c>
      <c r="G125" t="s">
        <v>51</v>
      </c>
      <c r="H125" t="s">
        <v>3393</v>
      </c>
      <c r="I125" t="s">
        <v>52</v>
      </c>
      <c r="J125" t="s">
        <v>65</v>
      </c>
      <c r="K125" t="s">
        <v>54</v>
      </c>
      <c r="L125" t="s">
        <v>55</v>
      </c>
      <c r="O125" t="s">
        <v>66</v>
      </c>
      <c r="P125" t="s">
        <v>67</v>
      </c>
      <c r="Q125" t="s">
        <v>3394</v>
      </c>
      <c r="R125" t="s">
        <v>3395</v>
      </c>
      <c r="S125" t="s">
        <v>2895</v>
      </c>
      <c r="T125" t="s">
        <v>2896</v>
      </c>
      <c r="U125" t="s">
        <v>2897</v>
      </c>
    </row>
    <row r="126" spans="1:21" hidden="1">
      <c r="A126" t="s">
        <v>352</v>
      </c>
      <c r="B126" t="s">
        <v>3377</v>
      </c>
      <c r="C126" t="s">
        <v>3396</v>
      </c>
      <c r="D126" t="s">
        <v>17</v>
      </c>
      <c r="E126" t="s">
        <v>2</v>
      </c>
      <c r="F126" t="s">
        <v>50</v>
      </c>
      <c r="G126" t="s">
        <v>100</v>
      </c>
      <c r="H126" t="s">
        <v>2969</v>
      </c>
      <c r="I126" t="s">
        <v>52</v>
      </c>
      <c r="J126" t="s">
        <v>101</v>
      </c>
      <c r="K126" t="s">
        <v>54</v>
      </c>
      <c r="L126" t="s">
        <v>102</v>
      </c>
      <c r="O126" t="s">
        <v>103</v>
      </c>
      <c r="P126" t="s">
        <v>104</v>
      </c>
      <c r="Q126" t="s">
        <v>3397</v>
      </c>
      <c r="R126" t="s">
        <v>2971</v>
      </c>
      <c r="S126" t="s">
        <v>2895</v>
      </c>
      <c r="T126" t="s">
        <v>2896</v>
      </c>
      <c r="U126" t="s">
        <v>2897</v>
      </c>
    </row>
    <row r="127" spans="1:21" hidden="1">
      <c r="A127" t="s">
        <v>354</v>
      </c>
      <c r="B127" t="s">
        <v>3398</v>
      </c>
      <c r="C127" t="s">
        <v>3399</v>
      </c>
      <c r="D127" t="s">
        <v>17</v>
      </c>
      <c r="E127" t="s">
        <v>2</v>
      </c>
      <c r="F127" t="s">
        <v>50</v>
      </c>
      <c r="G127" t="s">
        <v>51</v>
      </c>
      <c r="H127" t="s">
        <v>3400</v>
      </c>
      <c r="I127" t="s">
        <v>52</v>
      </c>
      <c r="J127" t="s">
        <v>81</v>
      </c>
      <c r="K127" t="s">
        <v>54</v>
      </c>
      <c r="L127" t="s">
        <v>55</v>
      </c>
      <c r="O127" t="s">
        <v>82</v>
      </c>
      <c r="P127" t="s">
        <v>83</v>
      </c>
      <c r="Q127" t="s">
        <v>3401</v>
      </c>
      <c r="R127" t="s">
        <v>3402</v>
      </c>
      <c r="S127" t="s">
        <v>2895</v>
      </c>
      <c r="T127" t="s">
        <v>2896</v>
      </c>
      <c r="U127" t="s">
        <v>2897</v>
      </c>
    </row>
    <row r="128" spans="1:21" hidden="1">
      <c r="A128" t="s">
        <v>356</v>
      </c>
      <c r="B128" t="s">
        <v>3398</v>
      </c>
      <c r="C128" t="s">
        <v>3403</v>
      </c>
      <c r="D128" t="s">
        <v>17</v>
      </c>
      <c r="E128" t="s">
        <v>2</v>
      </c>
      <c r="F128" t="s">
        <v>50</v>
      </c>
      <c r="G128" t="s">
        <v>51</v>
      </c>
      <c r="H128" t="s">
        <v>3404</v>
      </c>
      <c r="I128" t="s">
        <v>52</v>
      </c>
      <c r="J128" t="s">
        <v>53</v>
      </c>
      <c r="K128" t="s">
        <v>54</v>
      </c>
      <c r="L128" t="s">
        <v>55</v>
      </c>
      <c r="O128" t="s">
        <v>56</v>
      </c>
      <c r="P128" t="s">
        <v>57</v>
      </c>
      <c r="Q128" t="s">
        <v>3405</v>
      </c>
      <c r="R128" t="s">
        <v>3406</v>
      </c>
      <c r="S128" t="s">
        <v>2895</v>
      </c>
      <c r="T128" t="s">
        <v>2896</v>
      </c>
      <c r="U128" t="s">
        <v>2897</v>
      </c>
    </row>
    <row r="129" spans="1:21" hidden="1">
      <c r="A129" t="s">
        <v>358</v>
      </c>
      <c r="B129" t="s">
        <v>3398</v>
      </c>
      <c r="C129" t="s">
        <v>3407</v>
      </c>
      <c r="D129" t="s">
        <v>17</v>
      </c>
      <c r="E129" t="s">
        <v>2</v>
      </c>
      <c r="F129" t="s">
        <v>50</v>
      </c>
      <c r="G129" t="s">
        <v>51</v>
      </c>
      <c r="H129" t="s">
        <v>3408</v>
      </c>
      <c r="I129" t="s">
        <v>52</v>
      </c>
      <c r="J129" t="s">
        <v>60</v>
      </c>
      <c r="K129" t="s">
        <v>54</v>
      </c>
      <c r="L129" t="s">
        <v>55</v>
      </c>
      <c r="O129" t="s">
        <v>61</v>
      </c>
      <c r="P129" t="s">
        <v>62</v>
      </c>
      <c r="Q129" t="s">
        <v>3409</v>
      </c>
      <c r="R129" t="s">
        <v>3410</v>
      </c>
      <c r="S129" t="s">
        <v>2895</v>
      </c>
      <c r="T129" t="s">
        <v>2896</v>
      </c>
      <c r="U129" t="s">
        <v>2897</v>
      </c>
    </row>
    <row r="130" spans="1:21" hidden="1">
      <c r="A130" t="s">
        <v>360</v>
      </c>
      <c r="B130" t="s">
        <v>3398</v>
      </c>
      <c r="C130" t="s">
        <v>3411</v>
      </c>
      <c r="D130" t="s">
        <v>17</v>
      </c>
      <c r="E130" t="s">
        <v>2</v>
      </c>
      <c r="F130" t="s">
        <v>50</v>
      </c>
      <c r="G130" t="s">
        <v>51</v>
      </c>
      <c r="H130" t="s">
        <v>3412</v>
      </c>
      <c r="I130" t="s">
        <v>52</v>
      </c>
      <c r="J130" t="s">
        <v>65</v>
      </c>
      <c r="K130" t="s">
        <v>54</v>
      </c>
      <c r="L130" t="s">
        <v>55</v>
      </c>
      <c r="O130" t="s">
        <v>66</v>
      </c>
      <c r="P130" t="s">
        <v>67</v>
      </c>
      <c r="Q130" t="s">
        <v>3413</v>
      </c>
      <c r="R130" t="s">
        <v>3414</v>
      </c>
      <c r="S130" t="s">
        <v>2895</v>
      </c>
      <c r="T130" t="s">
        <v>2896</v>
      </c>
      <c r="U130" t="s">
        <v>2897</v>
      </c>
    </row>
    <row r="131" spans="1:21" hidden="1">
      <c r="A131" t="s">
        <v>362</v>
      </c>
      <c r="B131" t="s">
        <v>3398</v>
      </c>
      <c r="C131" t="s">
        <v>3248</v>
      </c>
      <c r="D131" t="s">
        <v>17</v>
      </c>
      <c r="E131" t="s">
        <v>2</v>
      </c>
      <c r="F131" t="s">
        <v>50</v>
      </c>
      <c r="G131" t="s">
        <v>51</v>
      </c>
      <c r="H131" t="s">
        <v>3415</v>
      </c>
      <c r="I131" t="s">
        <v>52</v>
      </c>
      <c r="J131" t="s">
        <v>65</v>
      </c>
      <c r="K131" t="s">
        <v>54</v>
      </c>
      <c r="L131" t="s">
        <v>55</v>
      </c>
      <c r="O131" t="s">
        <v>66</v>
      </c>
      <c r="P131" t="s">
        <v>67</v>
      </c>
      <c r="Q131" t="s">
        <v>3416</v>
      </c>
      <c r="R131" t="s">
        <v>3417</v>
      </c>
      <c r="S131" t="s">
        <v>2895</v>
      </c>
      <c r="T131" t="s">
        <v>2896</v>
      </c>
      <c r="U131" t="s">
        <v>2897</v>
      </c>
    </row>
    <row r="132" spans="1:21" hidden="1">
      <c r="A132" t="s">
        <v>364</v>
      </c>
      <c r="B132" t="s">
        <v>3418</v>
      </c>
      <c r="C132" t="s">
        <v>3419</v>
      </c>
      <c r="D132" t="s">
        <v>17</v>
      </c>
      <c r="E132" t="s">
        <v>2</v>
      </c>
      <c r="F132" t="s">
        <v>50</v>
      </c>
      <c r="G132" t="s">
        <v>51</v>
      </c>
      <c r="H132" t="s">
        <v>3420</v>
      </c>
      <c r="I132" t="s">
        <v>52</v>
      </c>
      <c r="J132" t="s">
        <v>53</v>
      </c>
      <c r="K132" t="s">
        <v>54</v>
      </c>
      <c r="L132" t="s">
        <v>55</v>
      </c>
      <c r="O132" t="s">
        <v>56</v>
      </c>
      <c r="P132" t="s">
        <v>57</v>
      </c>
      <c r="Q132" t="s">
        <v>3421</v>
      </c>
      <c r="R132" t="s">
        <v>3422</v>
      </c>
      <c r="S132" t="s">
        <v>2895</v>
      </c>
      <c r="T132" t="s">
        <v>2896</v>
      </c>
      <c r="U132" t="s">
        <v>2897</v>
      </c>
    </row>
    <row r="133" spans="1:21" hidden="1">
      <c r="A133" t="s">
        <v>366</v>
      </c>
      <c r="B133" t="s">
        <v>3418</v>
      </c>
      <c r="C133" t="s">
        <v>3423</v>
      </c>
      <c r="D133" t="s">
        <v>17</v>
      </c>
      <c r="E133" t="s">
        <v>2</v>
      </c>
      <c r="F133" t="s">
        <v>50</v>
      </c>
      <c r="G133" t="s">
        <v>51</v>
      </c>
      <c r="H133" t="s">
        <v>3424</v>
      </c>
      <c r="I133" t="s">
        <v>52</v>
      </c>
      <c r="J133" t="s">
        <v>60</v>
      </c>
      <c r="K133" t="s">
        <v>54</v>
      </c>
      <c r="L133" t="s">
        <v>55</v>
      </c>
      <c r="O133" t="s">
        <v>61</v>
      </c>
      <c r="P133" t="s">
        <v>62</v>
      </c>
      <c r="Q133" t="s">
        <v>3425</v>
      </c>
      <c r="R133" t="s">
        <v>3426</v>
      </c>
      <c r="S133" t="s">
        <v>2895</v>
      </c>
      <c r="T133" t="s">
        <v>2896</v>
      </c>
      <c r="U133" t="s">
        <v>2897</v>
      </c>
    </row>
    <row r="134" spans="1:21" hidden="1">
      <c r="A134" t="s">
        <v>368</v>
      </c>
      <c r="B134" t="s">
        <v>3418</v>
      </c>
      <c r="C134" t="s">
        <v>3073</v>
      </c>
      <c r="D134" t="s">
        <v>17</v>
      </c>
      <c r="E134" t="s">
        <v>2</v>
      </c>
      <c r="F134" t="s">
        <v>50</v>
      </c>
      <c r="G134" t="s">
        <v>51</v>
      </c>
      <c r="H134" t="s">
        <v>3427</v>
      </c>
      <c r="I134" t="s">
        <v>52</v>
      </c>
      <c r="J134" t="s">
        <v>121</v>
      </c>
      <c r="K134" t="s">
        <v>54</v>
      </c>
      <c r="L134" t="s">
        <v>55</v>
      </c>
      <c r="O134" t="s">
        <v>122</v>
      </c>
      <c r="P134" t="s">
        <v>123</v>
      </c>
      <c r="Q134" t="s">
        <v>3428</v>
      </c>
      <c r="R134" t="s">
        <v>3429</v>
      </c>
      <c r="S134" t="s">
        <v>2895</v>
      </c>
      <c r="T134" t="s">
        <v>2896</v>
      </c>
      <c r="U134" t="s">
        <v>2897</v>
      </c>
    </row>
    <row r="135" spans="1:21" hidden="1">
      <c r="A135" t="s">
        <v>370</v>
      </c>
      <c r="B135" t="s">
        <v>3418</v>
      </c>
      <c r="C135" t="s">
        <v>3430</v>
      </c>
      <c r="D135" t="s">
        <v>17</v>
      </c>
      <c r="E135" t="s">
        <v>2</v>
      </c>
      <c r="F135" t="s">
        <v>149</v>
      </c>
      <c r="G135" t="s">
        <v>72</v>
      </c>
      <c r="H135" t="s">
        <v>3431</v>
      </c>
      <c r="I135" t="s">
        <v>52</v>
      </c>
      <c r="J135" t="s">
        <v>233</v>
      </c>
      <c r="K135" t="s">
        <v>54</v>
      </c>
      <c r="L135" t="s">
        <v>74</v>
      </c>
      <c r="O135" t="s">
        <v>75</v>
      </c>
      <c r="P135" t="s">
        <v>76</v>
      </c>
      <c r="Q135" t="s">
        <v>3432</v>
      </c>
      <c r="R135" t="s">
        <v>3431</v>
      </c>
      <c r="S135" t="s">
        <v>2895</v>
      </c>
      <c r="T135" t="s">
        <v>2896</v>
      </c>
      <c r="U135" t="s">
        <v>2897</v>
      </c>
    </row>
    <row r="136" spans="1:21" hidden="1">
      <c r="A136" t="s">
        <v>372</v>
      </c>
      <c r="B136" t="s">
        <v>3418</v>
      </c>
      <c r="C136" t="s">
        <v>3433</v>
      </c>
      <c r="D136" t="s">
        <v>17</v>
      </c>
      <c r="E136" t="s">
        <v>2</v>
      </c>
      <c r="F136" t="s">
        <v>50</v>
      </c>
      <c r="G136" t="s">
        <v>51</v>
      </c>
      <c r="H136" t="s">
        <v>3434</v>
      </c>
      <c r="I136" t="s">
        <v>52</v>
      </c>
      <c r="J136" t="s">
        <v>121</v>
      </c>
      <c r="K136" t="s">
        <v>54</v>
      </c>
      <c r="L136" t="s">
        <v>55</v>
      </c>
      <c r="O136" t="s">
        <v>122</v>
      </c>
      <c r="P136" t="s">
        <v>123</v>
      </c>
      <c r="Q136" t="s">
        <v>3435</v>
      </c>
      <c r="R136" t="s">
        <v>3436</v>
      </c>
      <c r="S136" t="s">
        <v>2895</v>
      </c>
      <c r="T136" t="s">
        <v>2896</v>
      </c>
      <c r="U136" t="s">
        <v>2897</v>
      </c>
    </row>
    <row r="137" spans="1:21" hidden="1">
      <c r="A137" t="s">
        <v>374</v>
      </c>
      <c r="B137" t="s">
        <v>3418</v>
      </c>
      <c r="C137" t="s">
        <v>3437</v>
      </c>
      <c r="D137" t="s">
        <v>17</v>
      </c>
      <c r="E137" t="s">
        <v>2</v>
      </c>
      <c r="F137" t="s">
        <v>50</v>
      </c>
      <c r="G137" t="s">
        <v>51</v>
      </c>
      <c r="H137" t="s">
        <v>3438</v>
      </c>
      <c r="I137" t="s">
        <v>52</v>
      </c>
      <c r="J137" t="s">
        <v>196</v>
      </c>
      <c r="K137" t="s">
        <v>54</v>
      </c>
      <c r="L137" t="s">
        <v>55</v>
      </c>
      <c r="O137" t="s">
        <v>197</v>
      </c>
      <c r="P137" t="s">
        <v>198</v>
      </c>
      <c r="Q137" t="s">
        <v>3439</v>
      </c>
      <c r="R137" t="s">
        <v>3440</v>
      </c>
      <c r="S137" t="s">
        <v>2895</v>
      </c>
      <c r="T137" t="s">
        <v>2896</v>
      </c>
      <c r="U137" t="s">
        <v>2897</v>
      </c>
    </row>
    <row r="138" spans="1:21" hidden="1">
      <c r="A138" t="s">
        <v>376</v>
      </c>
      <c r="B138" t="s">
        <v>3418</v>
      </c>
      <c r="C138" t="s">
        <v>3441</v>
      </c>
      <c r="D138" t="s">
        <v>17</v>
      </c>
      <c r="E138" t="s">
        <v>2</v>
      </c>
      <c r="F138" t="s">
        <v>50</v>
      </c>
      <c r="G138" t="s">
        <v>51</v>
      </c>
      <c r="H138" t="s">
        <v>3442</v>
      </c>
      <c r="I138" t="s">
        <v>52</v>
      </c>
      <c r="J138" t="s">
        <v>81</v>
      </c>
      <c r="K138" t="s">
        <v>54</v>
      </c>
      <c r="L138" t="s">
        <v>55</v>
      </c>
      <c r="O138" t="s">
        <v>82</v>
      </c>
      <c r="P138" t="s">
        <v>83</v>
      </c>
      <c r="Q138" t="s">
        <v>3443</v>
      </c>
      <c r="R138" t="s">
        <v>3444</v>
      </c>
      <c r="S138" t="s">
        <v>2895</v>
      </c>
      <c r="T138" t="s">
        <v>2896</v>
      </c>
      <c r="U138" t="s">
        <v>2897</v>
      </c>
    </row>
    <row r="139" spans="1:21" hidden="1">
      <c r="A139" t="s">
        <v>378</v>
      </c>
      <c r="B139" t="s">
        <v>3445</v>
      </c>
      <c r="C139" t="s">
        <v>3446</v>
      </c>
      <c r="D139" t="s">
        <v>17</v>
      </c>
      <c r="E139" t="s">
        <v>2</v>
      </c>
      <c r="F139" t="s">
        <v>50</v>
      </c>
      <c r="G139" t="s">
        <v>100</v>
      </c>
      <c r="H139" t="s">
        <v>2969</v>
      </c>
      <c r="I139" t="s">
        <v>52</v>
      </c>
      <c r="J139" t="s">
        <v>101</v>
      </c>
      <c r="K139" t="s">
        <v>54</v>
      </c>
      <c r="L139" t="s">
        <v>102</v>
      </c>
      <c r="O139" t="s">
        <v>103</v>
      </c>
      <c r="P139" t="s">
        <v>104</v>
      </c>
      <c r="Q139" t="s">
        <v>3447</v>
      </c>
      <c r="R139" t="s">
        <v>2971</v>
      </c>
      <c r="S139" t="s">
        <v>2895</v>
      </c>
      <c r="T139" t="s">
        <v>2896</v>
      </c>
      <c r="U139" t="s">
        <v>2897</v>
      </c>
    </row>
    <row r="140" spans="1:21" hidden="1">
      <c r="A140" t="s">
        <v>380</v>
      </c>
      <c r="B140" t="s">
        <v>3445</v>
      </c>
      <c r="C140" t="s">
        <v>3335</v>
      </c>
      <c r="D140" t="s">
        <v>17</v>
      </c>
      <c r="E140" t="s">
        <v>2</v>
      </c>
      <c r="F140" t="s">
        <v>50</v>
      </c>
      <c r="G140" t="s">
        <v>51</v>
      </c>
      <c r="H140" t="s">
        <v>3448</v>
      </c>
      <c r="I140" t="s">
        <v>52</v>
      </c>
      <c r="J140" t="s">
        <v>53</v>
      </c>
      <c r="K140" t="s">
        <v>54</v>
      </c>
      <c r="L140" t="s">
        <v>55</v>
      </c>
      <c r="O140" t="s">
        <v>56</v>
      </c>
      <c r="P140" t="s">
        <v>57</v>
      </c>
      <c r="Q140" t="s">
        <v>3449</v>
      </c>
      <c r="R140" t="s">
        <v>3450</v>
      </c>
      <c r="S140" t="s">
        <v>2895</v>
      </c>
      <c r="T140" t="s">
        <v>2896</v>
      </c>
      <c r="U140" t="s">
        <v>2897</v>
      </c>
    </row>
    <row r="141" spans="1:21" hidden="1">
      <c r="A141" t="s">
        <v>382</v>
      </c>
      <c r="B141" t="s">
        <v>3445</v>
      </c>
      <c r="C141" t="s">
        <v>3052</v>
      </c>
      <c r="D141" t="s">
        <v>17</v>
      </c>
      <c r="E141" t="s">
        <v>2</v>
      </c>
      <c r="F141" t="s">
        <v>50</v>
      </c>
      <c r="G141" t="s">
        <v>100</v>
      </c>
      <c r="H141" t="s">
        <v>3451</v>
      </c>
      <c r="I141" t="s">
        <v>52</v>
      </c>
      <c r="J141" t="s">
        <v>384</v>
      </c>
      <c r="K141" t="s">
        <v>54</v>
      </c>
      <c r="L141" t="s">
        <v>102</v>
      </c>
      <c r="O141" t="s">
        <v>178</v>
      </c>
      <c r="P141" t="s">
        <v>385</v>
      </c>
      <c r="Q141" t="s">
        <v>3452</v>
      </c>
      <c r="R141" t="s">
        <v>3453</v>
      </c>
      <c r="S141" t="s">
        <v>2895</v>
      </c>
      <c r="T141" t="s">
        <v>2896</v>
      </c>
      <c r="U141" t="s">
        <v>2897</v>
      </c>
    </row>
    <row r="142" spans="1:21" hidden="1">
      <c r="A142" t="s">
        <v>386</v>
      </c>
      <c r="B142" t="s">
        <v>3445</v>
      </c>
      <c r="C142" t="s">
        <v>3454</v>
      </c>
      <c r="D142" t="s">
        <v>17</v>
      </c>
      <c r="E142" t="s">
        <v>2</v>
      </c>
      <c r="F142" t="s">
        <v>50</v>
      </c>
      <c r="G142" t="s">
        <v>51</v>
      </c>
      <c r="H142" t="s">
        <v>3455</v>
      </c>
      <c r="I142" t="s">
        <v>52</v>
      </c>
      <c r="J142" t="s">
        <v>81</v>
      </c>
      <c r="K142" t="s">
        <v>54</v>
      </c>
      <c r="L142" t="s">
        <v>55</v>
      </c>
      <c r="O142" t="s">
        <v>82</v>
      </c>
      <c r="P142" t="s">
        <v>83</v>
      </c>
      <c r="Q142" t="s">
        <v>3456</v>
      </c>
      <c r="R142" t="s">
        <v>3457</v>
      </c>
      <c r="S142" t="s">
        <v>2895</v>
      </c>
      <c r="T142" t="s">
        <v>2896</v>
      </c>
      <c r="U142" t="s">
        <v>2897</v>
      </c>
    </row>
    <row r="143" spans="1:21" hidden="1">
      <c r="A143" t="s">
        <v>388</v>
      </c>
      <c r="B143" t="s">
        <v>3445</v>
      </c>
      <c r="C143" t="s">
        <v>3458</v>
      </c>
      <c r="D143" t="s">
        <v>17</v>
      </c>
      <c r="E143" t="s">
        <v>2</v>
      </c>
      <c r="F143" t="s">
        <v>50</v>
      </c>
      <c r="G143" t="s">
        <v>100</v>
      </c>
      <c r="H143" t="s">
        <v>2969</v>
      </c>
      <c r="I143" t="s">
        <v>52</v>
      </c>
      <c r="J143" t="s">
        <v>101</v>
      </c>
      <c r="K143" t="s">
        <v>54</v>
      </c>
      <c r="L143" t="s">
        <v>102</v>
      </c>
      <c r="O143" t="s">
        <v>103</v>
      </c>
      <c r="P143" t="s">
        <v>104</v>
      </c>
      <c r="Q143" t="s">
        <v>3459</v>
      </c>
      <c r="R143" t="s">
        <v>2971</v>
      </c>
      <c r="S143" t="s">
        <v>2895</v>
      </c>
      <c r="T143" t="s">
        <v>2896</v>
      </c>
      <c r="U143" t="s">
        <v>2897</v>
      </c>
    </row>
    <row r="144" spans="1:21" hidden="1">
      <c r="A144" t="s">
        <v>390</v>
      </c>
      <c r="B144" t="s">
        <v>3445</v>
      </c>
      <c r="C144" t="s">
        <v>3460</v>
      </c>
      <c r="D144" t="s">
        <v>17</v>
      </c>
      <c r="E144" t="s">
        <v>2</v>
      </c>
      <c r="F144" t="s">
        <v>50</v>
      </c>
      <c r="G144" t="s">
        <v>51</v>
      </c>
      <c r="H144" t="s">
        <v>3461</v>
      </c>
      <c r="I144" t="s">
        <v>52</v>
      </c>
      <c r="J144" t="s">
        <v>60</v>
      </c>
      <c r="K144" t="s">
        <v>54</v>
      </c>
      <c r="L144" t="s">
        <v>55</v>
      </c>
      <c r="O144" t="s">
        <v>61</v>
      </c>
      <c r="P144" t="s">
        <v>62</v>
      </c>
      <c r="Q144" t="s">
        <v>3462</v>
      </c>
      <c r="R144" t="s">
        <v>3463</v>
      </c>
      <c r="S144" t="s">
        <v>2895</v>
      </c>
      <c r="T144" t="s">
        <v>2896</v>
      </c>
      <c r="U144" t="s">
        <v>2897</v>
      </c>
    </row>
    <row r="145" spans="1:21" hidden="1">
      <c r="A145" t="s">
        <v>392</v>
      </c>
      <c r="B145" t="s">
        <v>3445</v>
      </c>
      <c r="C145" t="s">
        <v>3464</v>
      </c>
      <c r="D145" t="s">
        <v>17</v>
      </c>
      <c r="E145" t="s">
        <v>2</v>
      </c>
      <c r="F145" t="s">
        <v>50</v>
      </c>
      <c r="G145" t="s">
        <v>100</v>
      </c>
      <c r="H145" t="s">
        <v>3465</v>
      </c>
      <c r="I145" t="s">
        <v>52</v>
      </c>
      <c r="J145" t="s">
        <v>114</v>
      </c>
      <c r="K145" t="s">
        <v>54</v>
      </c>
      <c r="L145" t="s">
        <v>102</v>
      </c>
      <c r="O145" t="s">
        <v>103</v>
      </c>
      <c r="P145" t="s">
        <v>104</v>
      </c>
      <c r="Q145" t="s">
        <v>3466</v>
      </c>
      <c r="R145" t="s">
        <v>3467</v>
      </c>
      <c r="S145" t="s">
        <v>2895</v>
      </c>
      <c r="T145" t="s">
        <v>2896</v>
      </c>
      <c r="U145" t="s">
        <v>2897</v>
      </c>
    </row>
    <row r="146" spans="1:21" hidden="1">
      <c r="A146" t="s">
        <v>394</v>
      </c>
      <c r="B146" t="s">
        <v>3445</v>
      </c>
      <c r="C146" t="s">
        <v>3468</v>
      </c>
      <c r="D146" t="s">
        <v>17</v>
      </c>
      <c r="E146" t="s">
        <v>2</v>
      </c>
      <c r="F146" t="s">
        <v>50</v>
      </c>
      <c r="G146" t="s">
        <v>72</v>
      </c>
      <c r="H146" t="s">
        <v>3469</v>
      </c>
      <c r="I146" t="s">
        <v>52</v>
      </c>
      <c r="J146" t="s">
        <v>73</v>
      </c>
      <c r="K146" t="s">
        <v>54</v>
      </c>
      <c r="L146" t="s">
        <v>74</v>
      </c>
      <c r="O146" t="s">
        <v>75</v>
      </c>
      <c r="P146" t="s">
        <v>76</v>
      </c>
      <c r="Q146" t="s">
        <v>3470</v>
      </c>
      <c r="R146" t="s">
        <v>3471</v>
      </c>
      <c r="S146" t="s">
        <v>2895</v>
      </c>
      <c r="T146" t="s">
        <v>2896</v>
      </c>
      <c r="U146" t="s">
        <v>2897</v>
      </c>
    </row>
    <row r="147" spans="1:21" hidden="1">
      <c r="A147" t="s">
        <v>396</v>
      </c>
      <c r="B147" t="s">
        <v>3445</v>
      </c>
      <c r="C147" t="s">
        <v>3472</v>
      </c>
      <c r="D147" t="s">
        <v>17</v>
      </c>
      <c r="E147" t="s">
        <v>2</v>
      </c>
      <c r="F147" t="s">
        <v>50</v>
      </c>
      <c r="G147" t="s">
        <v>51</v>
      </c>
      <c r="H147" t="s">
        <v>3473</v>
      </c>
      <c r="I147" t="s">
        <v>52</v>
      </c>
      <c r="J147" t="s">
        <v>53</v>
      </c>
      <c r="K147" t="s">
        <v>54</v>
      </c>
      <c r="L147" t="s">
        <v>55</v>
      </c>
      <c r="O147" t="s">
        <v>56</v>
      </c>
      <c r="P147" t="s">
        <v>57</v>
      </c>
      <c r="Q147" t="s">
        <v>3474</v>
      </c>
      <c r="R147" t="s">
        <v>3475</v>
      </c>
      <c r="S147" t="s">
        <v>2895</v>
      </c>
      <c r="T147" t="s">
        <v>2896</v>
      </c>
      <c r="U147" t="s">
        <v>2897</v>
      </c>
    </row>
    <row r="148" spans="1:21" hidden="1">
      <c r="A148" t="s">
        <v>398</v>
      </c>
      <c r="B148" t="s">
        <v>3476</v>
      </c>
      <c r="C148" t="s">
        <v>3477</v>
      </c>
      <c r="D148" t="s">
        <v>17</v>
      </c>
      <c r="E148" t="s">
        <v>2</v>
      </c>
      <c r="F148" t="s">
        <v>50</v>
      </c>
      <c r="G148" t="s">
        <v>51</v>
      </c>
      <c r="H148" t="s">
        <v>3478</v>
      </c>
      <c r="I148" t="s">
        <v>52</v>
      </c>
      <c r="J148" t="s">
        <v>196</v>
      </c>
      <c r="K148" t="s">
        <v>54</v>
      </c>
      <c r="L148" t="s">
        <v>55</v>
      </c>
      <c r="O148" t="s">
        <v>197</v>
      </c>
      <c r="P148" t="s">
        <v>198</v>
      </c>
      <c r="Q148" t="s">
        <v>3479</v>
      </c>
      <c r="R148" t="s">
        <v>3480</v>
      </c>
      <c r="S148" t="s">
        <v>2895</v>
      </c>
      <c r="T148" t="s">
        <v>2896</v>
      </c>
      <c r="U148" t="s">
        <v>2897</v>
      </c>
    </row>
    <row r="149" spans="1:21" hidden="1">
      <c r="A149" t="s">
        <v>400</v>
      </c>
      <c r="B149" t="s">
        <v>3476</v>
      </c>
      <c r="C149" t="s">
        <v>3481</v>
      </c>
      <c r="D149" t="s">
        <v>17</v>
      </c>
      <c r="E149" t="s">
        <v>2</v>
      </c>
      <c r="F149" t="s">
        <v>50</v>
      </c>
      <c r="G149" t="s">
        <v>100</v>
      </c>
      <c r="H149" t="s">
        <v>2969</v>
      </c>
      <c r="I149" t="s">
        <v>52</v>
      </c>
      <c r="J149" t="s">
        <v>101</v>
      </c>
      <c r="K149" t="s">
        <v>54</v>
      </c>
      <c r="L149" t="s">
        <v>102</v>
      </c>
      <c r="O149" t="s">
        <v>103</v>
      </c>
      <c r="P149" t="s">
        <v>104</v>
      </c>
      <c r="Q149" t="s">
        <v>3482</v>
      </c>
      <c r="R149" t="s">
        <v>2971</v>
      </c>
      <c r="S149" t="s">
        <v>2895</v>
      </c>
      <c r="T149" t="s">
        <v>2896</v>
      </c>
      <c r="U149" t="s">
        <v>2897</v>
      </c>
    </row>
    <row r="150" spans="1:21" hidden="1">
      <c r="A150" t="s">
        <v>402</v>
      </c>
      <c r="B150" t="s">
        <v>3476</v>
      </c>
      <c r="C150" t="s">
        <v>3483</v>
      </c>
      <c r="D150" t="s">
        <v>17</v>
      </c>
      <c r="E150" t="s">
        <v>2</v>
      </c>
      <c r="F150" t="s">
        <v>50</v>
      </c>
      <c r="G150" t="s">
        <v>100</v>
      </c>
      <c r="H150" t="s">
        <v>3484</v>
      </c>
      <c r="I150" t="s">
        <v>52</v>
      </c>
      <c r="J150" t="s">
        <v>114</v>
      </c>
      <c r="K150" t="s">
        <v>54</v>
      </c>
      <c r="L150" t="s">
        <v>102</v>
      </c>
      <c r="O150" t="s">
        <v>103</v>
      </c>
      <c r="P150" t="s">
        <v>104</v>
      </c>
      <c r="Q150" t="s">
        <v>3485</v>
      </c>
      <c r="R150" t="s">
        <v>3486</v>
      </c>
      <c r="S150" t="s">
        <v>2895</v>
      </c>
      <c r="T150" t="s">
        <v>2896</v>
      </c>
      <c r="U150" t="s">
        <v>2897</v>
      </c>
    </row>
    <row r="151" spans="1:21" hidden="1">
      <c r="A151" t="s">
        <v>404</v>
      </c>
      <c r="B151" t="s">
        <v>3476</v>
      </c>
      <c r="C151" t="s">
        <v>3487</v>
      </c>
      <c r="D151" t="s">
        <v>17</v>
      </c>
      <c r="E151" t="s">
        <v>2</v>
      </c>
      <c r="F151" t="s">
        <v>50</v>
      </c>
      <c r="G151" t="s">
        <v>51</v>
      </c>
      <c r="H151" t="s">
        <v>3488</v>
      </c>
      <c r="I151" t="s">
        <v>52</v>
      </c>
      <c r="J151" t="s">
        <v>53</v>
      </c>
      <c r="K151" t="s">
        <v>54</v>
      </c>
      <c r="L151" t="s">
        <v>55</v>
      </c>
      <c r="O151" t="s">
        <v>56</v>
      </c>
      <c r="P151" t="s">
        <v>57</v>
      </c>
      <c r="Q151" t="s">
        <v>3489</v>
      </c>
      <c r="R151" t="s">
        <v>3490</v>
      </c>
      <c r="S151" t="s">
        <v>2895</v>
      </c>
      <c r="T151" t="s">
        <v>2896</v>
      </c>
      <c r="U151" t="s">
        <v>2897</v>
      </c>
    </row>
    <row r="152" spans="1:21" hidden="1">
      <c r="A152" t="s">
        <v>406</v>
      </c>
      <c r="B152" t="s">
        <v>3476</v>
      </c>
      <c r="C152" t="s">
        <v>3491</v>
      </c>
      <c r="D152" t="s">
        <v>17</v>
      </c>
      <c r="E152" t="s">
        <v>2</v>
      </c>
      <c r="F152" t="s">
        <v>50</v>
      </c>
      <c r="G152" t="s">
        <v>51</v>
      </c>
      <c r="H152" t="s">
        <v>3492</v>
      </c>
      <c r="I152" t="s">
        <v>52</v>
      </c>
      <c r="J152" t="s">
        <v>60</v>
      </c>
      <c r="K152" t="s">
        <v>54</v>
      </c>
      <c r="L152" t="s">
        <v>55</v>
      </c>
      <c r="O152" t="s">
        <v>61</v>
      </c>
      <c r="P152" t="s">
        <v>62</v>
      </c>
      <c r="Q152" t="s">
        <v>3493</v>
      </c>
      <c r="R152" t="s">
        <v>3494</v>
      </c>
      <c r="S152" t="s">
        <v>2895</v>
      </c>
      <c r="T152" t="s">
        <v>2896</v>
      </c>
      <c r="U152" t="s">
        <v>2897</v>
      </c>
    </row>
    <row r="153" spans="1:21" hidden="1">
      <c r="A153" t="s">
        <v>408</v>
      </c>
      <c r="B153" t="s">
        <v>3495</v>
      </c>
      <c r="C153" t="s">
        <v>3496</v>
      </c>
      <c r="D153" t="s">
        <v>17</v>
      </c>
      <c r="E153" t="s">
        <v>2</v>
      </c>
      <c r="F153" t="s">
        <v>50</v>
      </c>
      <c r="G153" t="s">
        <v>100</v>
      </c>
      <c r="H153" t="s">
        <v>2969</v>
      </c>
      <c r="I153" t="s">
        <v>52</v>
      </c>
      <c r="J153" t="s">
        <v>101</v>
      </c>
      <c r="K153" t="s">
        <v>54</v>
      </c>
      <c r="L153" t="s">
        <v>102</v>
      </c>
      <c r="O153" t="s">
        <v>103</v>
      </c>
      <c r="P153" t="s">
        <v>104</v>
      </c>
      <c r="Q153" t="s">
        <v>3497</v>
      </c>
      <c r="R153" t="s">
        <v>2971</v>
      </c>
      <c r="S153" t="s">
        <v>2895</v>
      </c>
      <c r="T153" t="s">
        <v>2896</v>
      </c>
      <c r="U153" t="s">
        <v>2897</v>
      </c>
    </row>
    <row r="154" spans="1:21" hidden="1">
      <c r="A154" t="s">
        <v>410</v>
      </c>
      <c r="B154" t="s">
        <v>3495</v>
      </c>
      <c r="C154" t="s">
        <v>3498</v>
      </c>
      <c r="D154" t="s">
        <v>17</v>
      </c>
      <c r="E154" t="s">
        <v>2</v>
      </c>
      <c r="F154" t="s">
        <v>50</v>
      </c>
      <c r="G154" t="s">
        <v>51</v>
      </c>
      <c r="H154" t="s">
        <v>3499</v>
      </c>
      <c r="I154" t="s">
        <v>52</v>
      </c>
      <c r="J154" t="s">
        <v>60</v>
      </c>
      <c r="K154" t="s">
        <v>54</v>
      </c>
      <c r="L154" t="s">
        <v>55</v>
      </c>
      <c r="O154" t="s">
        <v>61</v>
      </c>
      <c r="P154" t="s">
        <v>62</v>
      </c>
      <c r="Q154" t="s">
        <v>3500</v>
      </c>
      <c r="R154" t="s">
        <v>3501</v>
      </c>
      <c r="S154" t="s">
        <v>2895</v>
      </c>
      <c r="T154" t="s">
        <v>2896</v>
      </c>
      <c r="U154" t="s">
        <v>2897</v>
      </c>
    </row>
    <row r="155" spans="1:21" hidden="1">
      <c r="A155" t="s">
        <v>412</v>
      </c>
      <c r="B155" t="s">
        <v>3495</v>
      </c>
      <c r="C155" t="s">
        <v>3179</v>
      </c>
      <c r="D155" t="s">
        <v>17</v>
      </c>
      <c r="E155" t="s">
        <v>2</v>
      </c>
      <c r="F155" t="s">
        <v>50</v>
      </c>
      <c r="G155" t="s">
        <v>51</v>
      </c>
      <c r="H155" t="s">
        <v>3502</v>
      </c>
      <c r="I155" t="s">
        <v>52</v>
      </c>
      <c r="J155" t="s">
        <v>126</v>
      </c>
      <c r="K155" t="s">
        <v>54</v>
      </c>
      <c r="L155" t="s">
        <v>55</v>
      </c>
      <c r="O155" t="s">
        <v>56</v>
      </c>
      <c r="P155" t="s">
        <v>57</v>
      </c>
      <c r="Q155" t="s">
        <v>3503</v>
      </c>
      <c r="R155" t="s">
        <v>3504</v>
      </c>
      <c r="S155" t="s">
        <v>2895</v>
      </c>
      <c r="T155" t="s">
        <v>2896</v>
      </c>
      <c r="U155" t="s">
        <v>2897</v>
      </c>
    </row>
    <row r="156" spans="1:21" hidden="1">
      <c r="A156" t="s">
        <v>414</v>
      </c>
      <c r="B156" t="s">
        <v>3495</v>
      </c>
      <c r="C156" t="s">
        <v>3505</v>
      </c>
      <c r="D156" t="s">
        <v>17</v>
      </c>
      <c r="E156" t="s">
        <v>2</v>
      </c>
      <c r="F156" t="s">
        <v>50</v>
      </c>
      <c r="G156" t="s">
        <v>51</v>
      </c>
      <c r="H156" t="s">
        <v>3506</v>
      </c>
      <c r="I156" t="s">
        <v>52</v>
      </c>
      <c r="J156" t="s">
        <v>65</v>
      </c>
      <c r="K156" t="s">
        <v>54</v>
      </c>
      <c r="L156" t="s">
        <v>55</v>
      </c>
      <c r="O156" t="s">
        <v>66</v>
      </c>
      <c r="P156" t="s">
        <v>67</v>
      </c>
      <c r="Q156" t="s">
        <v>3507</v>
      </c>
      <c r="R156" t="s">
        <v>3508</v>
      </c>
      <c r="S156" t="s">
        <v>2895</v>
      </c>
      <c r="T156" t="s">
        <v>2896</v>
      </c>
      <c r="U156" t="s">
        <v>2897</v>
      </c>
    </row>
    <row r="157" spans="1:21" hidden="1">
      <c r="A157" t="s">
        <v>416</v>
      </c>
      <c r="B157" t="s">
        <v>3495</v>
      </c>
      <c r="C157" t="s">
        <v>3509</v>
      </c>
      <c r="D157" t="s">
        <v>17</v>
      </c>
      <c r="E157" t="s">
        <v>2</v>
      </c>
      <c r="F157" t="s">
        <v>50</v>
      </c>
      <c r="G157" t="s">
        <v>51</v>
      </c>
      <c r="H157" t="s">
        <v>3510</v>
      </c>
      <c r="I157" t="s">
        <v>52</v>
      </c>
      <c r="J157" t="s">
        <v>60</v>
      </c>
      <c r="K157" t="s">
        <v>54</v>
      </c>
      <c r="L157" t="s">
        <v>55</v>
      </c>
      <c r="O157" t="s">
        <v>61</v>
      </c>
      <c r="P157" t="s">
        <v>62</v>
      </c>
      <c r="Q157" t="s">
        <v>3511</v>
      </c>
      <c r="R157" t="s">
        <v>3512</v>
      </c>
      <c r="S157" t="s">
        <v>2895</v>
      </c>
      <c r="T157" t="s">
        <v>2896</v>
      </c>
      <c r="U157" t="s">
        <v>2897</v>
      </c>
    </row>
    <row r="158" spans="1:21" hidden="1">
      <c r="A158" t="s">
        <v>418</v>
      </c>
      <c r="B158" t="s">
        <v>3495</v>
      </c>
      <c r="C158" t="s">
        <v>3513</v>
      </c>
      <c r="D158" t="s">
        <v>17</v>
      </c>
      <c r="E158" t="s">
        <v>2</v>
      </c>
      <c r="F158" t="s">
        <v>50</v>
      </c>
      <c r="G158" t="s">
        <v>100</v>
      </c>
      <c r="H158" t="s">
        <v>2969</v>
      </c>
      <c r="I158" t="s">
        <v>52</v>
      </c>
      <c r="J158" t="s">
        <v>101</v>
      </c>
      <c r="K158" t="s">
        <v>54</v>
      </c>
      <c r="L158" t="s">
        <v>102</v>
      </c>
      <c r="O158" t="s">
        <v>103</v>
      </c>
      <c r="P158" t="s">
        <v>104</v>
      </c>
      <c r="Q158" t="s">
        <v>3514</v>
      </c>
      <c r="R158" t="s">
        <v>2971</v>
      </c>
      <c r="S158" t="s">
        <v>2895</v>
      </c>
      <c r="T158" t="s">
        <v>2896</v>
      </c>
      <c r="U158" t="s">
        <v>2897</v>
      </c>
    </row>
    <row r="159" spans="1:21" hidden="1">
      <c r="A159" t="s">
        <v>420</v>
      </c>
      <c r="B159" t="s">
        <v>3495</v>
      </c>
      <c r="C159" t="s">
        <v>3515</v>
      </c>
      <c r="D159" t="s">
        <v>17</v>
      </c>
      <c r="E159" t="s">
        <v>2</v>
      </c>
      <c r="F159" t="s">
        <v>50</v>
      </c>
      <c r="G159" t="s">
        <v>51</v>
      </c>
      <c r="H159" t="s">
        <v>3516</v>
      </c>
      <c r="I159" t="s">
        <v>52</v>
      </c>
      <c r="J159" t="s">
        <v>53</v>
      </c>
      <c r="K159" t="s">
        <v>54</v>
      </c>
      <c r="L159" t="s">
        <v>55</v>
      </c>
      <c r="O159" t="s">
        <v>56</v>
      </c>
      <c r="P159" t="s">
        <v>57</v>
      </c>
      <c r="Q159" t="s">
        <v>3517</v>
      </c>
      <c r="R159" t="s">
        <v>3518</v>
      </c>
      <c r="S159" t="s">
        <v>2895</v>
      </c>
      <c r="T159" t="s">
        <v>2896</v>
      </c>
      <c r="U159" t="s">
        <v>2897</v>
      </c>
    </row>
    <row r="160" spans="1:21" hidden="1">
      <c r="A160" t="s">
        <v>422</v>
      </c>
      <c r="B160" t="s">
        <v>3519</v>
      </c>
      <c r="C160" t="s">
        <v>3520</v>
      </c>
      <c r="D160" t="s">
        <v>17</v>
      </c>
      <c r="E160" t="s">
        <v>2</v>
      </c>
      <c r="F160" t="s">
        <v>50</v>
      </c>
      <c r="G160" t="s">
        <v>100</v>
      </c>
      <c r="H160" t="s">
        <v>3521</v>
      </c>
      <c r="I160" t="s">
        <v>52</v>
      </c>
      <c r="J160" t="s">
        <v>114</v>
      </c>
      <c r="K160" t="s">
        <v>54</v>
      </c>
      <c r="L160" t="s">
        <v>102</v>
      </c>
      <c r="O160" t="s">
        <v>103</v>
      </c>
      <c r="P160" t="s">
        <v>104</v>
      </c>
      <c r="Q160" t="s">
        <v>3522</v>
      </c>
      <c r="R160" t="s">
        <v>3523</v>
      </c>
      <c r="S160" t="s">
        <v>2895</v>
      </c>
      <c r="T160" t="s">
        <v>2896</v>
      </c>
      <c r="U160" t="s">
        <v>2897</v>
      </c>
    </row>
    <row r="161" spans="1:21" hidden="1">
      <c r="A161" t="s">
        <v>424</v>
      </c>
      <c r="B161" t="s">
        <v>3519</v>
      </c>
      <c r="C161" t="s">
        <v>3524</v>
      </c>
      <c r="D161" t="s">
        <v>17</v>
      </c>
      <c r="E161" t="s">
        <v>2</v>
      </c>
      <c r="F161" t="s">
        <v>50</v>
      </c>
      <c r="G161" t="s">
        <v>51</v>
      </c>
      <c r="H161" t="s">
        <v>3525</v>
      </c>
      <c r="I161" t="s">
        <v>52</v>
      </c>
      <c r="J161" t="s">
        <v>121</v>
      </c>
      <c r="K161" t="s">
        <v>54</v>
      </c>
      <c r="L161" t="s">
        <v>55</v>
      </c>
      <c r="O161" t="s">
        <v>122</v>
      </c>
      <c r="P161" t="s">
        <v>123</v>
      </c>
      <c r="Q161" t="s">
        <v>3526</v>
      </c>
      <c r="R161" t="s">
        <v>3527</v>
      </c>
      <c r="S161" t="s">
        <v>2895</v>
      </c>
      <c r="T161" t="s">
        <v>2896</v>
      </c>
      <c r="U161" t="s">
        <v>2897</v>
      </c>
    </row>
    <row r="162" spans="1:21" hidden="1">
      <c r="A162" t="s">
        <v>426</v>
      </c>
      <c r="B162" t="s">
        <v>3519</v>
      </c>
      <c r="C162" t="s">
        <v>3528</v>
      </c>
      <c r="D162" t="s">
        <v>17</v>
      </c>
      <c r="E162" t="s">
        <v>2</v>
      </c>
      <c r="F162" t="s">
        <v>50</v>
      </c>
      <c r="G162" t="s">
        <v>51</v>
      </c>
      <c r="H162" t="s">
        <v>3529</v>
      </c>
      <c r="I162" t="s">
        <v>52</v>
      </c>
      <c r="J162" t="s">
        <v>60</v>
      </c>
      <c r="K162" t="s">
        <v>54</v>
      </c>
      <c r="L162" t="s">
        <v>55</v>
      </c>
      <c r="O162" t="s">
        <v>61</v>
      </c>
      <c r="P162" t="s">
        <v>62</v>
      </c>
      <c r="Q162" t="s">
        <v>3530</v>
      </c>
      <c r="R162" t="s">
        <v>3531</v>
      </c>
      <c r="S162" t="s">
        <v>2895</v>
      </c>
      <c r="T162" t="s">
        <v>2896</v>
      </c>
      <c r="U162" t="s">
        <v>2897</v>
      </c>
    </row>
    <row r="163" spans="1:21" hidden="1">
      <c r="A163" t="s">
        <v>428</v>
      </c>
      <c r="B163" t="s">
        <v>3519</v>
      </c>
      <c r="C163" t="s">
        <v>3532</v>
      </c>
      <c r="D163" t="s">
        <v>17</v>
      </c>
      <c r="E163" t="s">
        <v>2</v>
      </c>
      <c r="F163" t="s">
        <v>50</v>
      </c>
      <c r="G163" t="s">
        <v>51</v>
      </c>
      <c r="H163" t="s">
        <v>3533</v>
      </c>
      <c r="I163" t="s">
        <v>52</v>
      </c>
      <c r="J163" t="s">
        <v>53</v>
      </c>
      <c r="K163" t="s">
        <v>54</v>
      </c>
      <c r="L163" t="s">
        <v>55</v>
      </c>
      <c r="O163" t="s">
        <v>56</v>
      </c>
      <c r="P163" t="s">
        <v>57</v>
      </c>
      <c r="Q163" t="s">
        <v>3534</v>
      </c>
      <c r="R163" t="s">
        <v>3535</v>
      </c>
      <c r="S163" t="s">
        <v>2895</v>
      </c>
      <c r="T163" t="s">
        <v>2896</v>
      </c>
      <c r="U163" t="s">
        <v>2897</v>
      </c>
    </row>
    <row r="164" spans="1:21" hidden="1">
      <c r="A164" t="s">
        <v>430</v>
      </c>
      <c r="B164" t="s">
        <v>3519</v>
      </c>
      <c r="C164" t="s">
        <v>3536</v>
      </c>
      <c r="D164" t="s">
        <v>17</v>
      </c>
      <c r="E164" t="s">
        <v>2</v>
      </c>
      <c r="F164" t="s">
        <v>50</v>
      </c>
      <c r="G164" t="s">
        <v>51</v>
      </c>
      <c r="H164" t="s">
        <v>3537</v>
      </c>
      <c r="I164" t="s">
        <v>52</v>
      </c>
      <c r="J164" t="s">
        <v>60</v>
      </c>
      <c r="K164" t="s">
        <v>54</v>
      </c>
      <c r="L164" t="s">
        <v>55</v>
      </c>
      <c r="O164" t="s">
        <v>61</v>
      </c>
      <c r="P164" t="s">
        <v>62</v>
      </c>
      <c r="Q164" t="s">
        <v>3538</v>
      </c>
      <c r="R164" t="s">
        <v>3539</v>
      </c>
      <c r="S164" t="s">
        <v>2895</v>
      </c>
      <c r="T164" t="s">
        <v>2896</v>
      </c>
      <c r="U164" t="s">
        <v>2897</v>
      </c>
    </row>
    <row r="165" spans="1:21" hidden="1">
      <c r="A165" t="s">
        <v>432</v>
      </c>
      <c r="B165" t="s">
        <v>3519</v>
      </c>
      <c r="C165" t="s">
        <v>2960</v>
      </c>
      <c r="D165" t="s">
        <v>17</v>
      </c>
      <c r="E165" t="s">
        <v>2</v>
      </c>
      <c r="F165" t="s">
        <v>50</v>
      </c>
      <c r="G165" t="s">
        <v>51</v>
      </c>
      <c r="H165" t="s">
        <v>3291</v>
      </c>
      <c r="I165" t="s">
        <v>52</v>
      </c>
      <c r="J165" t="s">
        <v>121</v>
      </c>
      <c r="K165" t="s">
        <v>54</v>
      </c>
      <c r="L165" t="s">
        <v>55</v>
      </c>
      <c r="O165" t="s">
        <v>122</v>
      </c>
      <c r="P165" t="s">
        <v>123</v>
      </c>
      <c r="Q165" t="s">
        <v>3540</v>
      </c>
      <c r="R165" t="s">
        <v>3293</v>
      </c>
      <c r="S165" t="s">
        <v>2895</v>
      </c>
      <c r="T165" t="s">
        <v>2896</v>
      </c>
      <c r="U165" t="s">
        <v>2897</v>
      </c>
    </row>
    <row r="166" spans="1:21" hidden="1">
      <c r="A166" t="s">
        <v>434</v>
      </c>
      <c r="B166" t="s">
        <v>3519</v>
      </c>
      <c r="C166" t="s">
        <v>3541</v>
      </c>
      <c r="D166" t="s">
        <v>17</v>
      </c>
      <c r="E166" t="s">
        <v>2</v>
      </c>
      <c r="F166" t="s">
        <v>50</v>
      </c>
      <c r="G166" t="s">
        <v>51</v>
      </c>
      <c r="H166" t="s">
        <v>3542</v>
      </c>
      <c r="I166" t="s">
        <v>52</v>
      </c>
      <c r="J166" t="s">
        <v>121</v>
      </c>
      <c r="K166" t="s">
        <v>54</v>
      </c>
      <c r="L166" t="s">
        <v>55</v>
      </c>
      <c r="O166" t="s">
        <v>122</v>
      </c>
      <c r="P166" t="s">
        <v>123</v>
      </c>
      <c r="Q166" t="s">
        <v>3543</v>
      </c>
      <c r="R166" t="s">
        <v>3544</v>
      </c>
      <c r="S166" t="s">
        <v>2895</v>
      </c>
      <c r="T166" t="s">
        <v>2896</v>
      </c>
      <c r="U166" t="s">
        <v>2897</v>
      </c>
    </row>
    <row r="167" spans="1:21" hidden="1">
      <c r="A167" t="s">
        <v>436</v>
      </c>
      <c r="B167" t="s">
        <v>3545</v>
      </c>
      <c r="C167" t="s">
        <v>3546</v>
      </c>
      <c r="D167" t="s">
        <v>17</v>
      </c>
      <c r="E167" t="s">
        <v>2</v>
      </c>
      <c r="F167" t="s">
        <v>50</v>
      </c>
      <c r="G167" t="s">
        <v>51</v>
      </c>
      <c r="H167" t="s">
        <v>3427</v>
      </c>
      <c r="I167" t="s">
        <v>52</v>
      </c>
      <c r="J167" t="s">
        <v>53</v>
      </c>
      <c r="K167" t="s">
        <v>54</v>
      </c>
      <c r="L167" t="s">
        <v>55</v>
      </c>
      <c r="O167" t="s">
        <v>56</v>
      </c>
      <c r="P167" t="s">
        <v>57</v>
      </c>
      <c r="Q167" t="s">
        <v>3547</v>
      </c>
      <c r="R167" t="s">
        <v>3429</v>
      </c>
      <c r="S167" t="s">
        <v>2895</v>
      </c>
      <c r="T167" t="s">
        <v>2896</v>
      </c>
      <c r="U167" t="s">
        <v>2897</v>
      </c>
    </row>
    <row r="168" spans="1:21" hidden="1">
      <c r="A168" t="s">
        <v>438</v>
      </c>
      <c r="B168" t="s">
        <v>3545</v>
      </c>
      <c r="C168" t="s">
        <v>3548</v>
      </c>
      <c r="D168" t="s">
        <v>17</v>
      </c>
      <c r="E168" t="s">
        <v>2</v>
      </c>
      <c r="F168" t="s">
        <v>50</v>
      </c>
      <c r="G168" t="s">
        <v>51</v>
      </c>
      <c r="H168" t="s">
        <v>3549</v>
      </c>
      <c r="I168" t="s">
        <v>52</v>
      </c>
      <c r="J168" t="s">
        <v>196</v>
      </c>
      <c r="K168" t="s">
        <v>54</v>
      </c>
      <c r="L168" t="s">
        <v>55</v>
      </c>
      <c r="O168" t="s">
        <v>197</v>
      </c>
      <c r="P168" t="s">
        <v>198</v>
      </c>
      <c r="Q168" t="s">
        <v>3550</v>
      </c>
      <c r="R168" t="s">
        <v>3551</v>
      </c>
      <c r="S168" t="s">
        <v>2895</v>
      </c>
      <c r="T168" t="s">
        <v>2896</v>
      </c>
      <c r="U168" t="s">
        <v>2897</v>
      </c>
    </row>
    <row r="169" spans="1:21" hidden="1">
      <c r="A169" t="s">
        <v>440</v>
      </c>
      <c r="B169" t="s">
        <v>3545</v>
      </c>
      <c r="C169" t="s">
        <v>3552</v>
      </c>
      <c r="D169" t="s">
        <v>17</v>
      </c>
      <c r="E169" t="s">
        <v>2</v>
      </c>
      <c r="F169" t="s">
        <v>50</v>
      </c>
      <c r="G169" t="s">
        <v>100</v>
      </c>
      <c r="H169" t="s">
        <v>2969</v>
      </c>
      <c r="I169" t="s">
        <v>52</v>
      </c>
      <c r="J169" t="s">
        <v>101</v>
      </c>
      <c r="K169" t="s">
        <v>54</v>
      </c>
      <c r="L169" t="s">
        <v>102</v>
      </c>
      <c r="O169" t="s">
        <v>103</v>
      </c>
      <c r="P169" t="s">
        <v>104</v>
      </c>
      <c r="Q169" t="s">
        <v>3553</v>
      </c>
      <c r="R169" t="s">
        <v>2971</v>
      </c>
      <c r="S169" t="s">
        <v>2895</v>
      </c>
      <c r="T169" t="s">
        <v>2896</v>
      </c>
      <c r="U169" t="s">
        <v>2897</v>
      </c>
    </row>
    <row r="170" spans="1:21" hidden="1">
      <c r="A170" t="s">
        <v>442</v>
      </c>
      <c r="B170" t="s">
        <v>3545</v>
      </c>
      <c r="C170" t="s">
        <v>3554</v>
      </c>
      <c r="D170" t="s">
        <v>17</v>
      </c>
      <c r="E170" t="s">
        <v>2</v>
      </c>
      <c r="F170" t="s">
        <v>50</v>
      </c>
      <c r="G170" t="s">
        <v>51</v>
      </c>
      <c r="H170" t="s">
        <v>3555</v>
      </c>
      <c r="I170" t="s">
        <v>52</v>
      </c>
      <c r="J170" t="s">
        <v>53</v>
      </c>
      <c r="K170" t="s">
        <v>54</v>
      </c>
      <c r="L170" t="s">
        <v>55</v>
      </c>
      <c r="O170" t="s">
        <v>56</v>
      </c>
      <c r="P170" t="s">
        <v>57</v>
      </c>
      <c r="Q170" t="s">
        <v>3556</v>
      </c>
      <c r="R170" t="s">
        <v>3557</v>
      </c>
      <c r="S170" t="s">
        <v>2895</v>
      </c>
      <c r="T170" t="s">
        <v>2896</v>
      </c>
      <c r="U170" t="s">
        <v>2897</v>
      </c>
    </row>
    <row r="171" spans="1:21" hidden="1">
      <c r="A171" t="s">
        <v>444</v>
      </c>
      <c r="B171" t="s">
        <v>3545</v>
      </c>
      <c r="C171" t="s">
        <v>3558</v>
      </c>
      <c r="D171" t="s">
        <v>17</v>
      </c>
      <c r="E171" t="s">
        <v>2</v>
      </c>
      <c r="F171" t="s">
        <v>50</v>
      </c>
      <c r="G171" t="s">
        <v>51</v>
      </c>
      <c r="H171" t="s">
        <v>3559</v>
      </c>
      <c r="I171" t="s">
        <v>52</v>
      </c>
      <c r="J171" t="s">
        <v>196</v>
      </c>
      <c r="K171" t="s">
        <v>54</v>
      </c>
      <c r="L171" t="s">
        <v>55</v>
      </c>
      <c r="O171" t="s">
        <v>197</v>
      </c>
      <c r="P171" t="s">
        <v>198</v>
      </c>
      <c r="Q171" t="s">
        <v>3560</v>
      </c>
      <c r="R171" t="s">
        <v>3561</v>
      </c>
      <c r="S171" t="s">
        <v>2895</v>
      </c>
      <c r="T171" t="s">
        <v>2896</v>
      </c>
      <c r="U171" t="s">
        <v>2897</v>
      </c>
    </row>
    <row r="172" spans="1:21" hidden="1">
      <c r="A172" t="s">
        <v>446</v>
      </c>
      <c r="B172" t="s">
        <v>3562</v>
      </c>
      <c r="C172" t="s">
        <v>2923</v>
      </c>
      <c r="D172" t="s">
        <v>17</v>
      </c>
      <c r="E172" t="s">
        <v>2</v>
      </c>
      <c r="F172" t="s">
        <v>50</v>
      </c>
      <c r="G172" t="s">
        <v>51</v>
      </c>
      <c r="H172" t="s">
        <v>3563</v>
      </c>
      <c r="I172" t="s">
        <v>52</v>
      </c>
      <c r="J172" t="s">
        <v>65</v>
      </c>
      <c r="K172" t="s">
        <v>54</v>
      </c>
      <c r="L172" t="s">
        <v>55</v>
      </c>
      <c r="O172" t="s">
        <v>66</v>
      </c>
      <c r="P172" t="s">
        <v>67</v>
      </c>
      <c r="Q172" t="s">
        <v>3564</v>
      </c>
      <c r="R172" t="s">
        <v>3565</v>
      </c>
      <c r="S172" t="s">
        <v>2895</v>
      </c>
      <c r="T172" t="s">
        <v>2896</v>
      </c>
      <c r="U172" t="s">
        <v>2897</v>
      </c>
    </row>
    <row r="173" spans="1:21" hidden="1">
      <c r="A173" t="s">
        <v>448</v>
      </c>
      <c r="B173" t="s">
        <v>3562</v>
      </c>
      <c r="C173" t="s">
        <v>3566</v>
      </c>
      <c r="D173" t="s">
        <v>17</v>
      </c>
      <c r="E173" t="s">
        <v>2</v>
      </c>
      <c r="F173" t="s">
        <v>50</v>
      </c>
      <c r="G173" t="s">
        <v>51</v>
      </c>
      <c r="H173" t="s">
        <v>3567</v>
      </c>
      <c r="I173" t="s">
        <v>52</v>
      </c>
      <c r="J173" t="s">
        <v>81</v>
      </c>
      <c r="K173" t="s">
        <v>54</v>
      </c>
      <c r="L173" t="s">
        <v>55</v>
      </c>
      <c r="O173" t="s">
        <v>82</v>
      </c>
      <c r="P173" t="s">
        <v>83</v>
      </c>
      <c r="Q173" t="s">
        <v>3568</v>
      </c>
      <c r="R173" t="s">
        <v>3569</v>
      </c>
      <c r="S173" t="s">
        <v>2895</v>
      </c>
      <c r="T173" t="s">
        <v>2896</v>
      </c>
      <c r="U173" t="s">
        <v>2897</v>
      </c>
    </row>
    <row r="174" spans="1:21" hidden="1">
      <c r="A174" t="s">
        <v>450</v>
      </c>
      <c r="B174" t="s">
        <v>3562</v>
      </c>
      <c r="C174" t="s">
        <v>3570</v>
      </c>
      <c r="D174" t="s">
        <v>17</v>
      </c>
      <c r="E174" t="s">
        <v>2</v>
      </c>
      <c r="F174" t="s">
        <v>50</v>
      </c>
      <c r="G174" t="s">
        <v>51</v>
      </c>
      <c r="H174" t="s">
        <v>3571</v>
      </c>
      <c r="I174" t="s">
        <v>52</v>
      </c>
      <c r="J174" t="s">
        <v>53</v>
      </c>
      <c r="K174" t="s">
        <v>54</v>
      </c>
      <c r="L174" t="s">
        <v>55</v>
      </c>
      <c r="O174" t="s">
        <v>56</v>
      </c>
      <c r="P174" t="s">
        <v>57</v>
      </c>
      <c r="Q174" t="s">
        <v>3572</v>
      </c>
      <c r="R174" t="s">
        <v>3573</v>
      </c>
      <c r="S174" t="s">
        <v>2895</v>
      </c>
      <c r="T174" t="s">
        <v>2896</v>
      </c>
      <c r="U174" t="s">
        <v>2897</v>
      </c>
    </row>
    <row r="175" spans="1:21" hidden="1">
      <c r="A175" t="s">
        <v>452</v>
      </c>
      <c r="B175" t="s">
        <v>3562</v>
      </c>
      <c r="C175" t="s">
        <v>3574</v>
      </c>
      <c r="D175" t="s">
        <v>17</v>
      </c>
      <c r="E175" t="s">
        <v>2</v>
      </c>
      <c r="F175" t="s">
        <v>50</v>
      </c>
      <c r="G175" t="s">
        <v>100</v>
      </c>
      <c r="H175" t="s">
        <v>2969</v>
      </c>
      <c r="I175" t="s">
        <v>52</v>
      </c>
      <c r="J175" t="s">
        <v>101</v>
      </c>
      <c r="K175" t="s">
        <v>54</v>
      </c>
      <c r="L175" t="s">
        <v>102</v>
      </c>
      <c r="O175" t="s">
        <v>103</v>
      </c>
      <c r="P175" t="s">
        <v>104</v>
      </c>
      <c r="Q175" t="s">
        <v>3575</v>
      </c>
      <c r="R175" t="s">
        <v>2971</v>
      </c>
      <c r="S175" t="s">
        <v>2895</v>
      </c>
      <c r="T175" t="s">
        <v>2896</v>
      </c>
      <c r="U175" t="s">
        <v>2897</v>
      </c>
    </row>
    <row r="176" spans="1:21" hidden="1">
      <c r="A176" t="s">
        <v>454</v>
      </c>
      <c r="B176" t="s">
        <v>3562</v>
      </c>
      <c r="C176" t="s">
        <v>3576</v>
      </c>
      <c r="D176" t="s">
        <v>17</v>
      </c>
      <c r="E176" t="s">
        <v>2</v>
      </c>
      <c r="F176" t="s">
        <v>50</v>
      </c>
      <c r="G176" t="s">
        <v>51</v>
      </c>
      <c r="H176" t="s">
        <v>3577</v>
      </c>
      <c r="I176" t="s">
        <v>52</v>
      </c>
      <c r="J176" t="s">
        <v>65</v>
      </c>
      <c r="K176" t="s">
        <v>54</v>
      </c>
      <c r="L176" t="s">
        <v>55</v>
      </c>
      <c r="O176" t="s">
        <v>66</v>
      </c>
      <c r="P176" t="s">
        <v>67</v>
      </c>
      <c r="Q176" t="s">
        <v>3578</v>
      </c>
      <c r="R176" t="s">
        <v>3579</v>
      </c>
      <c r="S176" t="s">
        <v>2895</v>
      </c>
      <c r="T176" t="s">
        <v>2896</v>
      </c>
      <c r="U176" t="s">
        <v>2897</v>
      </c>
    </row>
    <row r="177" spans="1:21" hidden="1">
      <c r="A177" t="s">
        <v>456</v>
      </c>
      <c r="B177" t="s">
        <v>3562</v>
      </c>
      <c r="C177" t="s">
        <v>3580</v>
      </c>
      <c r="D177" t="s">
        <v>17</v>
      </c>
      <c r="E177" t="s">
        <v>2</v>
      </c>
      <c r="F177" t="s">
        <v>50</v>
      </c>
      <c r="G177" t="s">
        <v>51</v>
      </c>
      <c r="H177" t="s">
        <v>3581</v>
      </c>
      <c r="I177" t="s">
        <v>52</v>
      </c>
      <c r="J177" t="s">
        <v>81</v>
      </c>
      <c r="K177" t="s">
        <v>54</v>
      </c>
      <c r="L177" t="s">
        <v>55</v>
      </c>
      <c r="O177" t="s">
        <v>82</v>
      </c>
      <c r="P177" t="s">
        <v>83</v>
      </c>
      <c r="Q177" t="s">
        <v>3582</v>
      </c>
      <c r="R177" t="s">
        <v>3583</v>
      </c>
      <c r="S177" t="s">
        <v>2895</v>
      </c>
      <c r="T177" t="s">
        <v>2896</v>
      </c>
      <c r="U177" t="s">
        <v>2897</v>
      </c>
    </row>
    <row r="178" spans="1:21" hidden="1">
      <c r="A178" t="s">
        <v>458</v>
      </c>
      <c r="B178" t="s">
        <v>3562</v>
      </c>
      <c r="C178" t="s">
        <v>3584</v>
      </c>
      <c r="D178" t="s">
        <v>17</v>
      </c>
      <c r="E178" t="s">
        <v>2</v>
      </c>
      <c r="F178" t="s">
        <v>50</v>
      </c>
      <c r="G178" t="s">
        <v>100</v>
      </c>
      <c r="H178" t="s">
        <v>2969</v>
      </c>
      <c r="I178" t="s">
        <v>52</v>
      </c>
      <c r="J178" t="s">
        <v>101</v>
      </c>
      <c r="K178" t="s">
        <v>54</v>
      </c>
      <c r="L178" t="s">
        <v>102</v>
      </c>
      <c r="O178" t="s">
        <v>103</v>
      </c>
      <c r="P178" t="s">
        <v>104</v>
      </c>
      <c r="Q178" t="s">
        <v>3585</v>
      </c>
      <c r="R178" t="s">
        <v>2971</v>
      </c>
      <c r="S178" t="s">
        <v>2895</v>
      </c>
      <c r="T178" t="s">
        <v>2896</v>
      </c>
      <c r="U178" t="s">
        <v>2897</v>
      </c>
    </row>
    <row r="179" spans="1:21" hidden="1">
      <c r="A179" t="s">
        <v>460</v>
      </c>
      <c r="B179" t="s">
        <v>3562</v>
      </c>
      <c r="C179" t="s">
        <v>3586</v>
      </c>
      <c r="D179" t="s">
        <v>17</v>
      </c>
      <c r="E179" t="s">
        <v>2</v>
      </c>
      <c r="F179" t="s">
        <v>50</v>
      </c>
      <c r="G179" t="s">
        <v>51</v>
      </c>
      <c r="H179" t="s">
        <v>3587</v>
      </c>
      <c r="I179" t="s">
        <v>52</v>
      </c>
      <c r="J179" t="s">
        <v>53</v>
      </c>
      <c r="K179" t="s">
        <v>54</v>
      </c>
      <c r="L179" t="s">
        <v>55</v>
      </c>
      <c r="O179" t="s">
        <v>56</v>
      </c>
      <c r="P179" t="s">
        <v>57</v>
      </c>
      <c r="Q179" t="s">
        <v>3588</v>
      </c>
      <c r="R179" t="s">
        <v>3589</v>
      </c>
      <c r="S179" t="s">
        <v>2895</v>
      </c>
      <c r="T179" t="s">
        <v>2896</v>
      </c>
      <c r="U179" t="s">
        <v>2897</v>
      </c>
    </row>
    <row r="180" spans="1:21" hidden="1">
      <c r="A180" t="s">
        <v>462</v>
      </c>
      <c r="B180" t="s">
        <v>3590</v>
      </c>
      <c r="C180" t="s">
        <v>3591</v>
      </c>
      <c r="D180" t="s">
        <v>17</v>
      </c>
      <c r="E180" t="s">
        <v>2</v>
      </c>
      <c r="F180" t="s">
        <v>50</v>
      </c>
      <c r="G180" t="s">
        <v>51</v>
      </c>
      <c r="H180" t="s">
        <v>3592</v>
      </c>
      <c r="I180" t="s">
        <v>52</v>
      </c>
      <c r="J180" t="s">
        <v>121</v>
      </c>
      <c r="K180" t="s">
        <v>54</v>
      </c>
      <c r="L180" t="s">
        <v>55</v>
      </c>
      <c r="O180" t="s">
        <v>122</v>
      </c>
      <c r="P180" t="s">
        <v>123</v>
      </c>
      <c r="Q180" t="s">
        <v>3593</v>
      </c>
      <c r="R180" t="s">
        <v>3594</v>
      </c>
      <c r="S180" t="s">
        <v>2895</v>
      </c>
      <c r="T180" t="s">
        <v>2896</v>
      </c>
      <c r="U180" t="s">
        <v>2897</v>
      </c>
    </row>
    <row r="181" spans="1:21" hidden="1">
      <c r="A181" t="s">
        <v>464</v>
      </c>
      <c r="B181" t="s">
        <v>3590</v>
      </c>
      <c r="C181" t="s">
        <v>3595</v>
      </c>
      <c r="D181" t="s">
        <v>17</v>
      </c>
      <c r="E181" t="s">
        <v>2</v>
      </c>
      <c r="F181" t="s">
        <v>50</v>
      </c>
      <c r="G181" t="s">
        <v>100</v>
      </c>
      <c r="H181" t="s">
        <v>3596</v>
      </c>
      <c r="I181" t="s">
        <v>52</v>
      </c>
      <c r="J181" t="s">
        <v>114</v>
      </c>
      <c r="K181" t="s">
        <v>54</v>
      </c>
      <c r="L181" t="s">
        <v>102</v>
      </c>
      <c r="O181" t="s">
        <v>103</v>
      </c>
      <c r="P181" t="s">
        <v>104</v>
      </c>
      <c r="Q181" t="s">
        <v>3597</v>
      </c>
      <c r="R181" t="s">
        <v>3598</v>
      </c>
      <c r="S181" t="s">
        <v>2895</v>
      </c>
      <c r="T181" t="s">
        <v>2896</v>
      </c>
      <c r="U181" t="s">
        <v>2897</v>
      </c>
    </row>
    <row r="182" spans="1:21" hidden="1">
      <c r="A182" t="s">
        <v>466</v>
      </c>
      <c r="B182" t="s">
        <v>3590</v>
      </c>
      <c r="C182" t="s">
        <v>3158</v>
      </c>
      <c r="D182" t="s">
        <v>17</v>
      </c>
      <c r="E182" t="s">
        <v>2</v>
      </c>
      <c r="F182" t="s">
        <v>50</v>
      </c>
      <c r="G182" t="s">
        <v>51</v>
      </c>
      <c r="H182" t="s">
        <v>3599</v>
      </c>
      <c r="I182" t="s">
        <v>52</v>
      </c>
      <c r="J182" t="s">
        <v>65</v>
      </c>
      <c r="K182" t="s">
        <v>54</v>
      </c>
      <c r="L182" t="s">
        <v>55</v>
      </c>
      <c r="O182" t="s">
        <v>66</v>
      </c>
      <c r="P182" t="s">
        <v>67</v>
      </c>
      <c r="Q182" t="s">
        <v>3600</v>
      </c>
      <c r="R182" t="s">
        <v>3601</v>
      </c>
      <c r="S182" t="s">
        <v>2895</v>
      </c>
      <c r="T182" t="s">
        <v>2896</v>
      </c>
      <c r="U182" t="s">
        <v>2897</v>
      </c>
    </row>
    <row r="183" spans="1:21" hidden="1">
      <c r="A183" t="s">
        <v>468</v>
      </c>
      <c r="B183" t="s">
        <v>3590</v>
      </c>
      <c r="C183" t="s">
        <v>3602</v>
      </c>
      <c r="D183" t="s">
        <v>17</v>
      </c>
      <c r="E183" t="s">
        <v>2</v>
      </c>
      <c r="F183" t="s">
        <v>50</v>
      </c>
      <c r="G183" t="s">
        <v>100</v>
      </c>
      <c r="H183" t="s">
        <v>2969</v>
      </c>
      <c r="I183" t="s">
        <v>52</v>
      </c>
      <c r="J183" t="s">
        <v>101</v>
      </c>
      <c r="K183" t="s">
        <v>54</v>
      </c>
      <c r="L183" t="s">
        <v>102</v>
      </c>
      <c r="O183" t="s">
        <v>103</v>
      </c>
      <c r="P183" t="s">
        <v>104</v>
      </c>
      <c r="Q183" t="s">
        <v>3603</v>
      </c>
      <c r="R183" t="s">
        <v>2971</v>
      </c>
      <c r="S183" t="s">
        <v>2895</v>
      </c>
      <c r="T183" t="s">
        <v>2896</v>
      </c>
      <c r="U183" t="s">
        <v>2897</v>
      </c>
    </row>
    <row r="184" spans="1:21" hidden="1">
      <c r="A184" t="s">
        <v>470</v>
      </c>
      <c r="B184" t="s">
        <v>3590</v>
      </c>
      <c r="C184" t="s">
        <v>3604</v>
      </c>
      <c r="D184" t="s">
        <v>17</v>
      </c>
      <c r="E184" t="s">
        <v>2</v>
      </c>
      <c r="F184" t="s">
        <v>50</v>
      </c>
      <c r="G184" t="s">
        <v>51</v>
      </c>
      <c r="H184" t="s">
        <v>3605</v>
      </c>
      <c r="I184" t="s">
        <v>52</v>
      </c>
      <c r="J184" t="s">
        <v>81</v>
      </c>
      <c r="K184" t="s">
        <v>54</v>
      </c>
      <c r="L184" t="s">
        <v>55</v>
      </c>
      <c r="O184" t="s">
        <v>82</v>
      </c>
      <c r="P184" t="s">
        <v>83</v>
      </c>
      <c r="Q184" t="s">
        <v>3606</v>
      </c>
      <c r="R184" t="s">
        <v>3607</v>
      </c>
      <c r="S184" t="s">
        <v>2895</v>
      </c>
      <c r="T184" t="s">
        <v>2896</v>
      </c>
      <c r="U184" t="s">
        <v>2897</v>
      </c>
    </row>
    <row r="185" spans="1:21" hidden="1">
      <c r="A185" t="s">
        <v>472</v>
      </c>
      <c r="B185" t="s">
        <v>3608</v>
      </c>
      <c r="C185" t="s">
        <v>3609</v>
      </c>
      <c r="D185" t="s">
        <v>17</v>
      </c>
      <c r="E185" t="s">
        <v>2</v>
      </c>
      <c r="F185" t="s">
        <v>50</v>
      </c>
      <c r="G185" t="s">
        <v>51</v>
      </c>
      <c r="H185" t="s">
        <v>3610</v>
      </c>
      <c r="I185" t="s">
        <v>52</v>
      </c>
      <c r="J185" t="s">
        <v>60</v>
      </c>
      <c r="K185" t="s">
        <v>54</v>
      </c>
      <c r="L185" t="s">
        <v>55</v>
      </c>
      <c r="O185" t="s">
        <v>61</v>
      </c>
      <c r="P185" t="s">
        <v>62</v>
      </c>
      <c r="Q185" t="s">
        <v>3611</v>
      </c>
      <c r="R185" t="s">
        <v>3612</v>
      </c>
      <c r="S185" t="s">
        <v>2895</v>
      </c>
      <c r="T185" t="s">
        <v>2896</v>
      </c>
      <c r="U185" t="s">
        <v>2897</v>
      </c>
    </row>
    <row r="186" spans="1:21" hidden="1">
      <c r="A186" t="s">
        <v>474</v>
      </c>
      <c r="B186" t="s">
        <v>3608</v>
      </c>
      <c r="C186" t="s">
        <v>3613</v>
      </c>
      <c r="D186" t="s">
        <v>17</v>
      </c>
      <c r="E186" t="s">
        <v>2</v>
      </c>
      <c r="F186" t="s">
        <v>50</v>
      </c>
      <c r="G186" t="s">
        <v>51</v>
      </c>
      <c r="H186" t="s">
        <v>3614</v>
      </c>
      <c r="I186" t="s">
        <v>52</v>
      </c>
      <c r="J186" t="s">
        <v>65</v>
      </c>
      <c r="K186" t="s">
        <v>54</v>
      </c>
      <c r="L186" t="s">
        <v>55</v>
      </c>
      <c r="O186" t="s">
        <v>66</v>
      </c>
      <c r="P186" t="s">
        <v>67</v>
      </c>
      <c r="Q186" t="s">
        <v>3615</v>
      </c>
      <c r="R186" t="s">
        <v>3616</v>
      </c>
      <c r="S186" t="s">
        <v>2895</v>
      </c>
      <c r="T186" t="s">
        <v>2896</v>
      </c>
      <c r="U186" t="s">
        <v>2897</v>
      </c>
    </row>
    <row r="187" spans="1:21" hidden="1">
      <c r="A187" t="s">
        <v>476</v>
      </c>
      <c r="B187" t="s">
        <v>3608</v>
      </c>
      <c r="C187" t="s">
        <v>3270</v>
      </c>
      <c r="D187" t="s">
        <v>17</v>
      </c>
      <c r="E187" t="s">
        <v>2</v>
      </c>
      <c r="F187" t="s">
        <v>50</v>
      </c>
      <c r="G187" t="s">
        <v>51</v>
      </c>
      <c r="H187" t="s">
        <v>3617</v>
      </c>
      <c r="I187" t="s">
        <v>52</v>
      </c>
      <c r="J187" t="s">
        <v>126</v>
      </c>
      <c r="K187" t="s">
        <v>54</v>
      </c>
      <c r="L187" t="s">
        <v>55</v>
      </c>
      <c r="O187" t="s">
        <v>56</v>
      </c>
      <c r="P187" t="s">
        <v>57</v>
      </c>
      <c r="Q187" t="s">
        <v>3618</v>
      </c>
      <c r="R187" t="s">
        <v>3619</v>
      </c>
      <c r="S187" t="s">
        <v>2895</v>
      </c>
      <c r="T187" t="s">
        <v>2896</v>
      </c>
      <c r="U187" t="s">
        <v>2897</v>
      </c>
    </row>
    <row r="188" spans="1:21" hidden="1">
      <c r="A188" t="s">
        <v>478</v>
      </c>
      <c r="B188" t="s">
        <v>3608</v>
      </c>
      <c r="C188" t="s">
        <v>3620</v>
      </c>
      <c r="D188" t="s">
        <v>17</v>
      </c>
      <c r="E188" t="s">
        <v>2</v>
      </c>
      <c r="F188" t="s">
        <v>50</v>
      </c>
      <c r="G188" t="s">
        <v>51</v>
      </c>
      <c r="H188" t="s">
        <v>3621</v>
      </c>
      <c r="I188" t="s">
        <v>52</v>
      </c>
      <c r="J188" t="s">
        <v>53</v>
      </c>
      <c r="K188" t="s">
        <v>54</v>
      </c>
      <c r="L188" t="s">
        <v>55</v>
      </c>
      <c r="O188" t="s">
        <v>56</v>
      </c>
      <c r="P188" t="s">
        <v>57</v>
      </c>
      <c r="Q188" t="s">
        <v>3622</v>
      </c>
      <c r="R188" t="s">
        <v>3623</v>
      </c>
      <c r="S188" t="s">
        <v>2895</v>
      </c>
      <c r="T188" t="s">
        <v>2896</v>
      </c>
      <c r="U188" t="s">
        <v>2897</v>
      </c>
    </row>
    <row r="189" spans="1:21" hidden="1">
      <c r="A189" t="s">
        <v>480</v>
      </c>
      <c r="B189" t="s">
        <v>3608</v>
      </c>
      <c r="C189" t="s">
        <v>3624</v>
      </c>
      <c r="D189" t="s">
        <v>17</v>
      </c>
      <c r="E189" t="s">
        <v>2</v>
      </c>
      <c r="F189" t="s">
        <v>50</v>
      </c>
      <c r="G189" t="s">
        <v>51</v>
      </c>
      <c r="H189" t="s">
        <v>3625</v>
      </c>
      <c r="I189" t="s">
        <v>52</v>
      </c>
      <c r="J189" t="s">
        <v>53</v>
      </c>
      <c r="K189" t="s">
        <v>54</v>
      </c>
      <c r="L189" t="s">
        <v>55</v>
      </c>
      <c r="O189" t="s">
        <v>56</v>
      </c>
      <c r="P189" t="s">
        <v>57</v>
      </c>
      <c r="Q189" t="s">
        <v>3626</v>
      </c>
      <c r="R189" t="s">
        <v>3627</v>
      </c>
      <c r="S189" t="s">
        <v>2895</v>
      </c>
      <c r="T189" t="s">
        <v>2896</v>
      </c>
      <c r="U189" t="s">
        <v>2897</v>
      </c>
    </row>
    <row r="190" spans="1:21" hidden="1">
      <c r="A190" t="s">
        <v>482</v>
      </c>
      <c r="B190" t="s">
        <v>3628</v>
      </c>
      <c r="C190" t="s">
        <v>3629</v>
      </c>
      <c r="D190" t="s">
        <v>17</v>
      </c>
      <c r="E190" t="s">
        <v>2</v>
      </c>
      <c r="F190" t="s">
        <v>50</v>
      </c>
      <c r="G190" t="s">
        <v>100</v>
      </c>
      <c r="H190" t="s">
        <v>3630</v>
      </c>
      <c r="I190" t="s">
        <v>52</v>
      </c>
      <c r="J190" t="s">
        <v>114</v>
      </c>
      <c r="K190" t="s">
        <v>54</v>
      </c>
      <c r="L190" t="s">
        <v>102</v>
      </c>
      <c r="O190" t="s">
        <v>103</v>
      </c>
      <c r="P190" t="s">
        <v>104</v>
      </c>
      <c r="Q190" t="s">
        <v>3631</v>
      </c>
      <c r="R190" t="s">
        <v>3632</v>
      </c>
      <c r="S190" t="s">
        <v>2895</v>
      </c>
      <c r="T190" t="s">
        <v>2896</v>
      </c>
      <c r="U190" t="s">
        <v>2897</v>
      </c>
    </row>
    <row r="191" spans="1:21" hidden="1">
      <c r="A191" t="s">
        <v>484</v>
      </c>
      <c r="B191" t="s">
        <v>3628</v>
      </c>
      <c r="C191" t="s">
        <v>3633</v>
      </c>
      <c r="D191" t="s">
        <v>17</v>
      </c>
      <c r="E191" t="s">
        <v>2</v>
      </c>
      <c r="F191" t="s">
        <v>50</v>
      </c>
      <c r="G191" t="s">
        <v>100</v>
      </c>
      <c r="H191" t="s">
        <v>3634</v>
      </c>
      <c r="I191" t="s">
        <v>52</v>
      </c>
      <c r="J191" t="s">
        <v>114</v>
      </c>
      <c r="K191" t="s">
        <v>54</v>
      </c>
      <c r="L191" t="s">
        <v>102</v>
      </c>
      <c r="O191" t="s">
        <v>103</v>
      </c>
      <c r="P191" t="s">
        <v>104</v>
      </c>
      <c r="Q191" t="s">
        <v>3635</v>
      </c>
      <c r="R191" t="s">
        <v>3636</v>
      </c>
      <c r="S191" t="s">
        <v>2895</v>
      </c>
      <c r="T191" t="s">
        <v>2896</v>
      </c>
      <c r="U191" t="s">
        <v>2897</v>
      </c>
    </row>
    <row r="192" spans="1:21" hidden="1">
      <c r="A192" t="s">
        <v>486</v>
      </c>
      <c r="B192" t="s">
        <v>3628</v>
      </c>
      <c r="C192" t="s">
        <v>3637</v>
      </c>
      <c r="D192" t="s">
        <v>17</v>
      </c>
      <c r="E192" t="s">
        <v>2</v>
      </c>
      <c r="F192" t="s">
        <v>149</v>
      </c>
      <c r="G192" t="s">
        <v>321</v>
      </c>
      <c r="H192" t="s">
        <v>3638</v>
      </c>
      <c r="I192" t="s">
        <v>52</v>
      </c>
      <c r="J192" t="s">
        <v>9</v>
      </c>
      <c r="K192" t="s">
        <v>54</v>
      </c>
      <c r="L192" t="s">
        <v>102</v>
      </c>
      <c r="O192" t="s">
        <v>322</v>
      </c>
      <c r="P192" t="s">
        <v>323</v>
      </c>
      <c r="Q192" t="s">
        <v>3639</v>
      </c>
      <c r="R192" t="s">
        <v>3638</v>
      </c>
      <c r="S192" t="s">
        <v>2895</v>
      </c>
      <c r="T192" t="s">
        <v>2896</v>
      </c>
      <c r="U192" t="s">
        <v>2897</v>
      </c>
    </row>
    <row r="193" spans="1:21" hidden="1">
      <c r="A193" t="s">
        <v>488</v>
      </c>
      <c r="B193" t="s">
        <v>3628</v>
      </c>
      <c r="C193" t="s">
        <v>3640</v>
      </c>
      <c r="D193" t="s">
        <v>17</v>
      </c>
      <c r="E193" t="s">
        <v>2</v>
      </c>
      <c r="F193" t="s">
        <v>50</v>
      </c>
      <c r="G193" t="s">
        <v>100</v>
      </c>
      <c r="H193" t="s">
        <v>3641</v>
      </c>
      <c r="I193" t="s">
        <v>52</v>
      </c>
      <c r="J193" t="s">
        <v>114</v>
      </c>
      <c r="K193" t="s">
        <v>54</v>
      </c>
      <c r="L193" t="s">
        <v>102</v>
      </c>
      <c r="O193" t="s">
        <v>103</v>
      </c>
      <c r="P193" t="s">
        <v>104</v>
      </c>
      <c r="Q193" t="s">
        <v>3642</v>
      </c>
      <c r="R193" t="s">
        <v>3643</v>
      </c>
      <c r="S193" t="s">
        <v>2895</v>
      </c>
      <c r="T193" t="s">
        <v>2896</v>
      </c>
      <c r="U193" t="s">
        <v>2897</v>
      </c>
    </row>
    <row r="194" spans="1:21" hidden="1">
      <c r="A194" t="s">
        <v>490</v>
      </c>
      <c r="B194" t="s">
        <v>3628</v>
      </c>
      <c r="C194" t="s">
        <v>3644</v>
      </c>
      <c r="D194" t="s">
        <v>17</v>
      </c>
      <c r="E194" t="s">
        <v>2</v>
      </c>
      <c r="F194" t="s">
        <v>50</v>
      </c>
      <c r="G194" t="s">
        <v>100</v>
      </c>
      <c r="H194" t="s">
        <v>2969</v>
      </c>
      <c r="I194" t="s">
        <v>52</v>
      </c>
      <c r="J194" t="s">
        <v>101</v>
      </c>
      <c r="K194" t="s">
        <v>54</v>
      </c>
      <c r="L194" t="s">
        <v>102</v>
      </c>
      <c r="O194" t="s">
        <v>103</v>
      </c>
      <c r="P194" t="s">
        <v>104</v>
      </c>
      <c r="Q194" t="s">
        <v>3645</v>
      </c>
      <c r="R194" t="s">
        <v>2971</v>
      </c>
      <c r="S194" t="s">
        <v>2895</v>
      </c>
      <c r="T194" t="s">
        <v>2896</v>
      </c>
      <c r="U194" t="s">
        <v>2897</v>
      </c>
    </row>
    <row r="195" spans="1:21" hidden="1">
      <c r="A195" t="s">
        <v>492</v>
      </c>
      <c r="B195" t="s">
        <v>3628</v>
      </c>
      <c r="C195" t="s">
        <v>3646</v>
      </c>
      <c r="D195" t="s">
        <v>17</v>
      </c>
      <c r="E195" t="s">
        <v>2</v>
      </c>
      <c r="F195" t="s">
        <v>50</v>
      </c>
      <c r="G195" t="s">
        <v>51</v>
      </c>
      <c r="H195" t="s">
        <v>3647</v>
      </c>
      <c r="I195" t="s">
        <v>52</v>
      </c>
      <c r="J195" t="s">
        <v>53</v>
      </c>
      <c r="K195" t="s">
        <v>54</v>
      </c>
      <c r="L195" t="s">
        <v>55</v>
      </c>
      <c r="O195" t="s">
        <v>56</v>
      </c>
      <c r="P195" t="s">
        <v>57</v>
      </c>
      <c r="Q195" t="s">
        <v>3648</v>
      </c>
      <c r="R195" t="s">
        <v>3649</v>
      </c>
      <c r="S195" t="s">
        <v>2895</v>
      </c>
      <c r="T195" t="s">
        <v>2896</v>
      </c>
      <c r="U195" t="s">
        <v>2897</v>
      </c>
    </row>
    <row r="196" spans="1:21" hidden="1">
      <c r="A196" t="s">
        <v>494</v>
      </c>
      <c r="B196" t="s">
        <v>3628</v>
      </c>
      <c r="C196" t="s">
        <v>3650</v>
      </c>
      <c r="D196" t="s">
        <v>17</v>
      </c>
      <c r="E196" t="s">
        <v>2</v>
      </c>
      <c r="F196" t="s">
        <v>50</v>
      </c>
      <c r="G196" t="s">
        <v>51</v>
      </c>
      <c r="H196" t="s">
        <v>3651</v>
      </c>
      <c r="I196" t="s">
        <v>52</v>
      </c>
      <c r="J196" t="s">
        <v>53</v>
      </c>
      <c r="K196" t="s">
        <v>54</v>
      </c>
      <c r="L196" t="s">
        <v>55</v>
      </c>
      <c r="O196" t="s">
        <v>56</v>
      </c>
      <c r="P196" t="s">
        <v>57</v>
      </c>
      <c r="Q196" t="s">
        <v>3652</v>
      </c>
      <c r="R196" t="s">
        <v>3653</v>
      </c>
      <c r="S196" t="s">
        <v>2895</v>
      </c>
      <c r="T196" t="s">
        <v>2896</v>
      </c>
      <c r="U196" t="s">
        <v>2897</v>
      </c>
    </row>
    <row r="197" spans="1:21" hidden="1">
      <c r="A197" t="s">
        <v>496</v>
      </c>
      <c r="B197" t="s">
        <v>3654</v>
      </c>
      <c r="C197" t="s">
        <v>3655</v>
      </c>
      <c r="D197" t="s">
        <v>17</v>
      </c>
      <c r="E197" t="s">
        <v>2</v>
      </c>
      <c r="F197" t="s">
        <v>50</v>
      </c>
      <c r="G197" t="s">
        <v>51</v>
      </c>
      <c r="H197" t="s">
        <v>3656</v>
      </c>
      <c r="I197" t="s">
        <v>52</v>
      </c>
      <c r="J197" t="s">
        <v>126</v>
      </c>
      <c r="K197" t="s">
        <v>54</v>
      </c>
      <c r="L197" t="s">
        <v>55</v>
      </c>
      <c r="O197" t="s">
        <v>56</v>
      </c>
      <c r="P197" t="s">
        <v>57</v>
      </c>
      <c r="Q197" t="s">
        <v>3657</v>
      </c>
      <c r="R197" t="s">
        <v>3658</v>
      </c>
      <c r="S197" t="s">
        <v>2895</v>
      </c>
      <c r="T197" t="s">
        <v>2896</v>
      </c>
      <c r="U197" t="s">
        <v>2897</v>
      </c>
    </row>
    <row r="198" spans="1:21" hidden="1">
      <c r="A198" t="s">
        <v>498</v>
      </c>
      <c r="B198" t="s">
        <v>3654</v>
      </c>
      <c r="C198" t="s">
        <v>3659</v>
      </c>
      <c r="D198" t="s">
        <v>17</v>
      </c>
      <c r="E198" t="s">
        <v>2</v>
      </c>
      <c r="F198" t="s">
        <v>50</v>
      </c>
      <c r="G198" t="s">
        <v>100</v>
      </c>
      <c r="H198" t="s">
        <v>2969</v>
      </c>
      <c r="I198" t="s">
        <v>52</v>
      </c>
      <c r="J198" t="s">
        <v>101</v>
      </c>
      <c r="K198" t="s">
        <v>54</v>
      </c>
      <c r="L198" t="s">
        <v>102</v>
      </c>
      <c r="O198" t="s">
        <v>103</v>
      </c>
      <c r="P198" t="s">
        <v>104</v>
      </c>
      <c r="Q198" t="s">
        <v>3660</v>
      </c>
      <c r="R198" t="s">
        <v>2971</v>
      </c>
      <c r="S198" t="s">
        <v>2895</v>
      </c>
      <c r="T198" t="s">
        <v>2896</v>
      </c>
      <c r="U198" t="s">
        <v>2897</v>
      </c>
    </row>
    <row r="199" spans="1:21" hidden="1">
      <c r="A199" t="s">
        <v>500</v>
      </c>
      <c r="B199" t="s">
        <v>3654</v>
      </c>
      <c r="C199" t="s">
        <v>3661</v>
      </c>
      <c r="D199" t="s">
        <v>17</v>
      </c>
      <c r="E199" t="s">
        <v>2</v>
      </c>
      <c r="F199" t="s">
        <v>50</v>
      </c>
      <c r="G199" t="s">
        <v>51</v>
      </c>
      <c r="H199" t="s">
        <v>3662</v>
      </c>
      <c r="I199" t="s">
        <v>52</v>
      </c>
      <c r="J199" t="s">
        <v>126</v>
      </c>
      <c r="K199" t="s">
        <v>54</v>
      </c>
      <c r="L199" t="s">
        <v>55</v>
      </c>
      <c r="O199" t="s">
        <v>56</v>
      </c>
      <c r="P199" t="s">
        <v>57</v>
      </c>
      <c r="Q199" t="s">
        <v>3663</v>
      </c>
      <c r="R199" t="s">
        <v>3664</v>
      </c>
      <c r="S199" t="s">
        <v>2895</v>
      </c>
      <c r="T199" t="s">
        <v>2896</v>
      </c>
      <c r="U199" t="s">
        <v>2897</v>
      </c>
    </row>
    <row r="200" spans="1:21" hidden="1">
      <c r="A200" t="s">
        <v>502</v>
      </c>
      <c r="B200" t="s">
        <v>3654</v>
      </c>
      <c r="C200" t="s">
        <v>3665</v>
      </c>
      <c r="D200" t="s">
        <v>17</v>
      </c>
      <c r="E200" t="s">
        <v>2</v>
      </c>
      <c r="F200" t="s">
        <v>50</v>
      </c>
      <c r="G200" t="s">
        <v>100</v>
      </c>
      <c r="H200" t="s">
        <v>3666</v>
      </c>
      <c r="I200" t="s">
        <v>52</v>
      </c>
      <c r="J200" t="s">
        <v>114</v>
      </c>
      <c r="K200" t="s">
        <v>54</v>
      </c>
      <c r="L200" t="s">
        <v>102</v>
      </c>
      <c r="O200" t="s">
        <v>103</v>
      </c>
      <c r="P200" t="s">
        <v>104</v>
      </c>
      <c r="Q200" t="s">
        <v>3667</v>
      </c>
      <c r="R200" t="s">
        <v>3668</v>
      </c>
      <c r="S200" t="s">
        <v>2895</v>
      </c>
      <c r="T200" t="s">
        <v>2896</v>
      </c>
      <c r="U200" t="s">
        <v>2897</v>
      </c>
    </row>
    <row r="201" spans="1:21" hidden="1">
      <c r="A201" t="s">
        <v>504</v>
      </c>
      <c r="B201" t="s">
        <v>3654</v>
      </c>
      <c r="C201" t="s">
        <v>3669</v>
      </c>
      <c r="D201" t="s">
        <v>17</v>
      </c>
      <c r="E201" t="s">
        <v>2</v>
      </c>
      <c r="F201" t="s">
        <v>50</v>
      </c>
      <c r="G201" t="s">
        <v>51</v>
      </c>
      <c r="H201" t="s">
        <v>3670</v>
      </c>
      <c r="I201" t="s">
        <v>52</v>
      </c>
      <c r="J201" t="s">
        <v>121</v>
      </c>
      <c r="K201" t="s">
        <v>54</v>
      </c>
      <c r="L201" t="s">
        <v>55</v>
      </c>
      <c r="O201" t="s">
        <v>122</v>
      </c>
      <c r="P201" t="s">
        <v>123</v>
      </c>
      <c r="Q201" t="s">
        <v>3671</v>
      </c>
      <c r="R201" t="s">
        <v>3672</v>
      </c>
      <c r="S201" t="s">
        <v>2895</v>
      </c>
      <c r="T201" t="s">
        <v>2896</v>
      </c>
      <c r="U201" t="s">
        <v>2897</v>
      </c>
    </row>
    <row r="202" spans="1:21" hidden="1">
      <c r="A202" t="s">
        <v>506</v>
      </c>
      <c r="B202" t="s">
        <v>3654</v>
      </c>
      <c r="C202" t="s">
        <v>3673</v>
      </c>
      <c r="D202" t="s">
        <v>17</v>
      </c>
      <c r="E202" t="s">
        <v>2</v>
      </c>
      <c r="F202" t="s">
        <v>50</v>
      </c>
      <c r="G202" t="s">
        <v>100</v>
      </c>
      <c r="H202" t="s">
        <v>2969</v>
      </c>
      <c r="I202" t="s">
        <v>52</v>
      </c>
      <c r="J202" t="s">
        <v>101</v>
      </c>
      <c r="K202" t="s">
        <v>54</v>
      </c>
      <c r="L202" t="s">
        <v>102</v>
      </c>
      <c r="O202" t="s">
        <v>103</v>
      </c>
      <c r="P202" t="s">
        <v>104</v>
      </c>
      <c r="Q202" t="s">
        <v>3674</v>
      </c>
      <c r="R202" t="s">
        <v>2971</v>
      </c>
      <c r="S202" t="s">
        <v>2895</v>
      </c>
      <c r="T202" t="s">
        <v>2896</v>
      </c>
      <c r="U202" t="s">
        <v>2897</v>
      </c>
    </row>
    <row r="203" spans="1:21" hidden="1">
      <c r="A203" t="s">
        <v>508</v>
      </c>
      <c r="B203" t="s">
        <v>3654</v>
      </c>
      <c r="C203" t="s">
        <v>3675</v>
      </c>
      <c r="D203" t="s">
        <v>17</v>
      </c>
      <c r="E203" t="s">
        <v>2</v>
      </c>
      <c r="F203" t="s">
        <v>50</v>
      </c>
      <c r="G203" t="s">
        <v>51</v>
      </c>
      <c r="H203" t="s">
        <v>3676</v>
      </c>
      <c r="I203" t="s">
        <v>52</v>
      </c>
      <c r="J203" t="s">
        <v>196</v>
      </c>
      <c r="K203" t="s">
        <v>54</v>
      </c>
      <c r="L203" t="s">
        <v>55</v>
      </c>
      <c r="O203" t="s">
        <v>197</v>
      </c>
      <c r="P203" t="s">
        <v>198</v>
      </c>
      <c r="Q203" t="s">
        <v>3677</v>
      </c>
      <c r="R203" t="s">
        <v>3678</v>
      </c>
      <c r="S203" t="s">
        <v>2895</v>
      </c>
      <c r="T203" t="s">
        <v>2896</v>
      </c>
      <c r="U203" t="s">
        <v>2897</v>
      </c>
    </row>
    <row r="204" spans="1:21" hidden="1">
      <c r="A204" t="s">
        <v>510</v>
      </c>
      <c r="B204" t="s">
        <v>3654</v>
      </c>
      <c r="C204" t="s">
        <v>3679</v>
      </c>
      <c r="D204" t="s">
        <v>17</v>
      </c>
      <c r="E204" t="s">
        <v>2</v>
      </c>
      <c r="F204" t="s">
        <v>50</v>
      </c>
      <c r="G204" t="s">
        <v>51</v>
      </c>
      <c r="H204" t="s">
        <v>3680</v>
      </c>
      <c r="I204" t="s">
        <v>52</v>
      </c>
      <c r="J204" t="s">
        <v>81</v>
      </c>
      <c r="K204" t="s">
        <v>54</v>
      </c>
      <c r="L204" t="s">
        <v>55</v>
      </c>
      <c r="O204" t="s">
        <v>82</v>
      </c>
      <c r="P204" t="s">
        <v>83</v>
      </c>
      <c r="Q204" t="s">
        <v>3681</v>
      </c>
      <c r="R204" t="s">
        <v>3682</v>
      </c>
      <c r="S204" t="s">
        <v>2895</v>
      </c>
      <c r="T204" t="s">
        <v>2896</v>
      </c>
      <c r="U204" t="s">
        <v>2897</v>
      </c>
    </row>
    <row r="205" spans="1:21" hidden="1">
      <c r="A205" t="s">
        <v>512</v>
      </c>
      <c r="B205" t="s">
        <v>3683</v>
      </c>
      <c r="C205" t="s">
        <v>3684</v>
      </c>
      <c r="D205" t="s">
        <v>17</v>
      </c>
      <c r="E205" t="s">
        <v>2</v>
      </c>
      <c r="F205" t="s">
        <v>50</v>
      </c>
      <c r="G205" t="s">
        <v>51</v>
      </c>
      <c r="H205" t="s">
        <v>3685</v>
      </c>
      <c r="I205" t="s">
        <v>52</v>
      </c>
      <c r="J205" t="s">
        <v>65</v>
      </c>
      <c r="K205" t="s">
        <v>54</v>
      </c>
      <c r="L205" t="s">
        <v>55</v>
      </c>
      <c r="O205" t="s">
        <v>66</v>
      </c>
      <c r="P205" t="s">
        <v>67</v>
      </c>
      <c r="Q205" t="s">
        <v>3686</v>
      </c>
      <c r="R205" t="s">
        <v>3687</v>
      </c>
      <c r="S205" t="s">
        <v>2895</v>
      </c>
      <c r="T205" t="s">
        <v>2896</v>
      </c>
      <c r="U205" t="s">
        <v>2897</v>
      </c>
    </row>
    <row r="206" spans="1:21" hidden="1">
      <c r="A206" t="s">
        <v>514</v>
      </c>
      <c r="B206" t="s">
        <v>3683</v>
      </c>
      <c r="C206" t="s">
        <v>3688</v>
      </c>
      <c r="D206" t="s">
        <v>17</v>
      </c>
      <c r="E206" t="s">
        <v>2</v>
      </c>
      <c r="F206" t="s">
        <v>50</v>
      </c>
      <c r="G206" t="s">
        <v>51</v>
      </c>
      <c r="H206" t="s">
        <v>3689</v>
      </c>
      <c r="I206" t="s">
        <v>52</v>
      </c>
      <c r="J206" t="s">
        <v>60</v>
      </c>
      <c r="K206" t="s">
        <v>54</v>
      </c>
      <c r="L206" t="s">
        <v>55</v>
      </c>
      <c r="O206" t="s">
        <v>61</v>
      </c>
      <c r="P206" t="s">
        <v>62</v>
      </c>
      <c r="Q206" t="s">
        <v>3690</v>
      </c>
      <c r="R206" t="s">
        <v>3691</v>
      </c>
      <c r="S206" t="s">
        <v>2895</v>
      </c>
      <c r="T206" t="s">
        <v>2896</v>
      </c>
      <c r="U206" t="s">
        <v>2897</v>
      </c>
    </row>
    <row r="207" spans="1:21" hidden="1">
      <c r="A207" t="s">
        <v>516</v>
      </c>
      <c r="B207" t="s">
        <v>3683</v>
      </c>
      <c r="C207" t="s">
        <v>3692</v>
      </c>
      <c r="D207" t="s">
        <v>17</v>
      </c>
      <c r="E207" t="s">
        <v>2</v>
      </c>
      <c r="F207" t="s">
        <v>50</v>
      </c>
      <c r="G207" t="s">
        <v>51</v>
      </c>
      <c r="H207" t="s">
        <v>3693</v>
      </c>
      <c r="I207" t="s">
        <v>52</v>
      </c>
      <c r="J207" t="s">
        <v>81</v>
      </c>
      <c r="K207" t="s">
        <v>54</v>
      </c>
      <c r="L207" t="s">
        <v>55</v>
      </c>
      <c r="O207" t="s">
        <v>82</v>
      </c>
      <c r="P207" t="s">
        <v>83</v>
      </c>
      <c r="Q207" t="s">
        <v>3694</v>
      </c>
      <c r="R207" t="s">
        <v>3695</v>
      </c>
      <c r="S207" t="s">
        <v>2895</v>
      </c>
      <c r="T207" t="s">
        <v>2896</v>
      </c>
      <c r="U207" t="s">
        <v>2897</v>
      </c>
    </row>
    <row r="208" spans="1:21" hidden="1">
      <c r="A208" t="s">
        <v>518</v>
      </c>
      <c r="B208" t="s">
        <v>3683</v>
      </c>
      <c r="C208" t="s">
        <v>3509</v>
      </c>
      <c r="D208" t="s">
        <v>17</v>
      </c>
      <c r="E208" t="s">
        <v>2</v>
      </c>
      <c r="F208" t="s">
        <v>50</v>
      </c>
      <c r="G208" t="s">
        <v>51</v>
      </c>
      <c r="H208" t="s">
        <v>3696</v>
      </c>
      <c r="I208" t="s">
        <v>52</v>
      </c>
      <c r="J208" t="s">
        <v>60</v>
      </c>
      <c r="K208" t="s">
        <v>54</v>
      </c>
      <c r="L208" t="s">
        <v>55</v>
      </c>
      <c r="O208" t="s">
        <v>61</v>
      </c>
      <c r="P208" t="s">
        <v>62</v>
      </c>
      <c r="Q208" t="s">
        <v>3697</v>
      </c>
      <c r="R208" t="s">
        <v>3698</v>
      </c>
      <c r="S208" t="s">
        <v>2895</v>
      </c>
      <c r="T208" t="s">
        <v>2896</v>
      </c>
      <c r="U208" t="s">
        <v>2897</v>
      </c>
    </row>
    <row r="209" spans="1:21" hidden="1">
      <c r="A209" t="s">
        <v>520</v>
      </c>
      <c r="B209" t="s">
        <v>3683</v>
      </c>
      <c r="C209" t="s">
        <v>3699</v>
      </c>
      <c r="D209" t="s">
        <v>17</v>
      </c>
      <c r="E209" t="s">
        <v>2</v>
      </c>
      <c r="F209" t="s">
        <v>50</v>
      </c>
      <c r="G209" t="s">
        <v>51</v>
      </c>
      <c r="H209" t="s">
        <v>3700</v>
      </c>
      <c r="I209" t="s">
        <v>52</v>
      </c>
      <c r="J209" t="s">
        <v>60</v>
      </c>
      <c r="K209" t="s">
        <v>54</v>
      </c>
      <c r="L209" t="s">
        <v>55</v>
      </c>
      <c r="O209" t="s">
        <v>61</v>
      </c>
      <c r="P209" t="s">
        <v>62</v>
      </c>
      <c r="Q209" t="s">
        <v>3701</v>
      </c>
      <c r="R209" t="s">
        <v>3702</v>
      </c>
      <c r="S209" t="s">
        <v>2895</v>
      </c>
      <c r="T209" t="s">
        <v>2896</v>
      </c>
      <c r="U209" t="s">
        <v>2897</v>
      </c>
    </row>
    <row r="210" spans="1:21" hidden="1">
      <c r="A210" t="s">
        <v>522</v>
      </c>
      <c r="B210" t="s">
        <v>3703</v>
      </c>
      <c r="C210" t="s">
        <v>3704</v>
      </c>
      <c r="D210" t="s">
        <v>17</v>
      </c>
      <c r="E210" t="s">
        <v>2</v>
      </c>
      <c r="F210" t="s">
        <v>50</v>
      </c>
      <c r="G210" t="s">
        <v>51</v>
      </c>
      <c r="H210" t="s">
        <v>3705</v>
      </c>
      <c r="I210" t="s">
        <v>52</v>
      </c>
      <c r="J210" t="s">
        <v>53</v>
      </c>
      <c r="K210" t="s">
        <v>54</v>
      </c>
      <c r="L210" t="s">
        <v>55</v>
      </c>
      <c r="O210" t="s">
        <v>56</v>
      </c>
      <c r="P210" t="s">
        <v>57</v>
      </c>
      <c r="Q210" t="s">
        <v>3706</v>
      </c>
      <c r="R210" t="s">
        <v>3707</v>
      </c>
      <c r="S210" t="s">
        <v>2895</v>
      </c>
      <c r="T210" t="s">
        <v>2896</v>
      </c>
      <c r="U210" t="s">
        <v>2897</v>
      </c>
    </row>
    <row r="211" spans="1:21" hidden="1">
      <c r="A211" t="s">
        <v>524</v>
      </c>
      <c r="B211" t="s">
        <v>3703</v>
      </c>
      <c r="C211" t="s">
        <v>3708</v>
      </c>
      <c r="D211" t="s">
        <v>17</v>
      </c>
      <c r="E211" t="s">
        <v>2</v>
      </c>
      <c r="F211" t="s">
        <v>50</v>
      </c>
      <c r="G211" t="s">
        <v>51</v>
      </c>
      <c r="H211" t="s">
        <v>3709</v>
      </c>
      <c r="I211" t="s">
        <v>52</v>
      </c>
      <c r="J211" t="s">
        <v>196</v>
      </c>
      <c r="K211" t="s">
        <v>54</v>
      </c>
      <c r="L211" t="s">
        <v>55</v>
      </c>
      <c r="O211" t="s">
        <v>197</v>
      </c>
      <c r="P211" t="s">
        <v>198</v>
      </c>
      <c r="Q211" t="s">
        <v>3710</v>
      </c>
      <c r="R211" t="s">
        <v>3711</v>
      </c>
      <c r="S211" t="s">
        <v>2895</v>
      </c>
      <c r="T211" t="s">
        <v>2896</v>
      </c>
      <c r="U211" t="s">
        <v>2897</v>
      </c>
    </row>
    <row r="212" spans="1:21" hidden="1">
      <c r="A212" t="s">
        <v>526</v>
      </c>
      <c r="B212" t="s">
        <v>3703</v>
      </c>
      <c r="C212" t="s">
        <v>3131</v>
      </c>
      <c r="D212" t="s">
        <v>17</v>
      </c>
      <c r="E212" t="s">
        <v>2</v>
      </c>
      <c r="F212" t="s">
        <v>50</v>
      </c>
      <c r="G212" t="s">
        <v>100</v>
      </c>
      <c r="H212" t="s">
        <v>2969</v>
      </c>
      <c r="I212" t="s">
        <v>52</v>
      </c>
      <c r="J212" t="s">
        <v>101</v>
      </c>
      <c r="K212" t="s">
        <v>54</v>
      </c>
      <c r="L212" t="s">
        <v>102</v>
      </c>
      <c r="O212" t="s">
        <v>103</v>
      </c>
      <c r="P212" t="s">
        <v>104</v>
      </c>
      <c r="Q212" t="s">
        <v>3712</v>
      </c>
      <c r="R212" t="s">
        <v>2971</v>
      </c>
      <c r="S212" t="s">
        <v>2895</v>
      </c>
      <c r="T212" t="s">
        <v>2896</v>
      </c>
      <c r="U212" t="s">
        <v>2897</v>
      </c>
    </row>
    <row r="213" spans="1:21" hidden="1">
      <c r="A213" t="s">
        <v>528</v>
      </c>
      <c r="B213" t="s">
        <v>3703</v>
      </c>
      <c r="C213" t="s">
        <v>3713</v>
      </c>
      <c r="D213" t="s">
        <v>17</v>
      </c>
      <c r="E213" t="s">
        <v>2</v>
      </c>
      <c r="F213" t="s">
        <v>50</v>
      </c>
      <c r="G213" t="s">
        <v>51</v>
      </c>
      <c r="H213" t="s">
        <v>3714</v>
      </c>
      <c r="I213" t="s">
        <v>52</v>
      </c>
      <c r="J213" t="s">
        <v>53</v>
      </c>
      <c r="K213" t="s">
        <v>54</v>
      </c>
      <c r="L213" t="s">
        <v>55</v>
      </c>
      <c r="O213" t="s">
        <v>56</v>
      </c>
      <c r="P213" t="s">
        <v>57</v>
      </c>
      <c r="Q213" t="s">
        <v>3715</v>
      </c>
      <c r="R213" t="s">
        <v>3716</v>
      </c>
      <c r="S213" t="s">
        <v>2895</v>
      </c>
      <c r="T213" t="s">
        <v>2896</v>
      </c>
      <c r="U213" t="s">
        <v>2897</v>
      </c>
    </row>
    <row r="214" spans="1:21" hidden="1">
      <c r="A214" t="s">
        <v>530</v>
      </c>
      <c r="B214" t="s">
        <v>3703</v>
      </c>
      <c r="C214" t="s">
        <v>3717</v>
      </c>
      <c r="D214" t="s">
        <v>17</v>
      </c>
      <c r="E214" t="s">
        <v>2</v>
      </c>
      <c r="F214" t="s">
        <v>50</v>
      </c>
      <c r="G214" t="s">
        <v>51</v>
      </c>
      <c r="H214" t="s">
        <v>3718</v>
      </c>
      <c r="I214" t="s">
        <v>52</v>
      </c>
      <c r="J214" t="s">
        <v>81</v>
      </c>
      <c r="K214" t="s">
        <v>54</v>
      </c>
      <c r="L214" t="s">
        <v>55</v>
      </c>
      <c r="O214" t="s">
        <v>82</v>
      </c>
      <c r="P214" t="s">
        <v>83</v>
      </c>
      <c r="Q214" t="s">
        <v>3719</v>
      </c>
      <c r="R214" t="s">
        <v>3720</v>
      </c>
      <c r="S214" t="s">
        <v>2895</v>
      </c>
      <c r="T214" t="s">
        <v>2896</v>
      </c>
      <c r="U214" t="s">
        <v>2897</v>
      </c>
    </row>
    <row r="215" spans="1:21" hidden="1">
      <c r="A215" t="s">
        <v>532</v>
      </c>
      <c r="B215" t="s">
        <v>3703</v>
      </c>
      <c r="C215" t="s">
        <v>3721</v>
      </c>
      <c r="D215" t="s">
        <v>17</v>
      </c>
      <c r="E215" t="s">
        <v>2</v>
      </c>
      <c r="F215" t="s">
        <v>50</v>
      </c>
      <c r="G215" t="s">
        <v>51</v>
      </c>
      <c r="H215" t="s">
        <v>3722</v>
      </c>
      <c r="I215" t="s">
        <v>52</v>
      </c>
      <c r="J215" t="s">
        <v>126</v>
      </c>
      <c r="K215" t="s">
        <v>54</v>
      </c>
      <c r="L215" t="s">
        <v>55</v>
      </c>
      <c r="O215" t="s">
        <v>56</v>
      </c>
      <c r="P215" t="s">
        <v>57</v>
      </c>
      <c r="Q215" t="s">
        <v>3723</v>
      </c>
      <c r="R215" t="s">
        <v>3724</v>
      </c>
      <c r="S215" t="s">
        <v>2895</v>
      </c>
      <c r="T215" t="s">
        <v>2896</v>
      </c>
      <c r="U215" t="s">
        <v>2897</v>
      </c>
    </row>
    <row r="216" spans="1:21" hidden="1">
      <c r="A216" t="s">
        <v>534</v>
      </c>
      <c r="B216" t="s">
        <v>3725</v>
      </c>
      <c r="C216" t="s">
        <v>3726</v>
      </c>
      <c r="D216" t="s">
        <v>17</v>
      </c>
      <c r="E216" t="s">
        <v>2</v>
      </c>
      <c r="F216" t="s">
        <v>50</v>
      </c>
      <c r="G216" t="s">
        <v>51</v>
      </c>
      <c r="H216" t="s">
        <v>3727</v>
      </c>
      <c r="I216" t="s">
        <v>52</v>
      </c>
      <c r="J216" t="s">
        <v>121</v>
      </c>
      <c r="K216" t="s">
        <v>54</v>
      </c>
      <c r="L216" t="s">
        <v>55</v>
      </c>
      <c r="O216" t="s">
        <v>122</v>
      </c>
      <c r="P216" t="s">
        <v>123</v>
      </c>
      <c r="Q216" t="s">
        <v>3728</v>
      </c>
      <c r="R216" t="s">
        <v>3729</v>
      </c>
      <c r="S216" t="s">
        <v>2895</v>
      </c>
      <c r="T216" t="s">
        <v>2896</v>
      </c>
      <c r="U216" t="s">
        <v>2897</v>
      </c>
    </row>
    <row r="217" spans="1:21" hidden="1">
      <c r="A217" t="s">
        <v>536</v>
      </c>
      <c r="B217" t="s">
        <v>3725</v>
      </c>
      <c r="C217" t="s">
        <v>3730</v>
      </c>
      <c r="D217" t="s">
        <v>17</v>
      </c>
      <c r="E217" t="s">
        <v>2</v>
      </c>
      <c r="F217" t="s">
        <v>50</v>
      </c>
      <c r="G217" t="s">
        <v>51</v>
      </c>
      <c r="H217" t="s">
        <v>3731</v>
      </c>
      <c r="I217" t="s">
        <v>52</v>
      </c>
      <c r="J217" t="s">
        <v>81</v>
      </c>
      <c r="K217" t="s">
        <v>54</v>
      </c>
      <c r="L217" t="s">
        <v>55</v>
      </c>
      <c r="O217" t="s">
        <v>82</v>
      </c>
      <c r="P217" t="s">
        <v>83</v>
      </c>
      <c r="Q217" t="s">
        <v>3732</v>
      </c>
      <c r="R217" t="s">
        <v>3733</v>
      </c>
      <c r="S217" t="s">
        <v>2895</v>
      </c>
      <c r="T217" t="s">
        <v>2896</v>
      </c>
      <c r="U217" t="s">
        <v>2897</v>
      </c>
    </row>
    <row r="218" spans="1:21" hidden="1">
      <c r="A218" t="s">
        <v>538</v>
      </c>
      <c r="B218" t="s">
        <v>3725</v>
      </c>
      <c r="C218" t="s">
        <v>3505</v>
      </c>
      <c r="D218" t="s">
        <v>17</v>
      </c>
      <c r="E218" t="s">
        <v>2</v>
      </c>
      <c r="F218" t="s">
        <v>50</v>
      </c>
      <c r="G218" t="s">
        <v>51</v>
      </c>
      <c r="H218" t="s">
        <v>3734</v>
      </c>
      <c r="I218" t="s">
        <v>52</v>
      </c>
      <c r="J218" t="s">
        <v>196</v>
      </c>
      <c r="K218" t="s">
        <v>54</v>
      </c>
      <c r="L218" t="s">
        <v>55</v>
      </c>
      <c r="O218" t="s">
        <v>197</v>
      </c>
      <c r="P218" t="s">
        <v>198</v>
      </c>
      <c r="Q218" t="s">
        <v>3735</v>
      </c>
      <c r="R218" t="s">
        <v>3736</v>
      </c>
      <c r="S218" t="s">
        <v>2895</v>
      </c>
      <c r="T218" t="s">
        <v>2896</v>
      </c>
      <c r="U218" t="s">
        <v>2897</v>
      </c>
    </row>
    <row r="219" spans="1:21" hidden="1">
      <c r="A219" t="s">
        <v>540</v>
      </c>
      <c r="B219" t="s">
        <v>3725</v>
      </c>
      <c r="C219" t="s">
        <v>3477</v>
      </c>
      <c r="D219" t="s">
        <v>17</v>
      </c>
      <c r="E219" t="s">
        <v>2</v>
      </c>
      <c r="F219" t="s">
        <v>50</v>
      </c>
      <c r="G219" t="s">
        <v>51</v>
      </c>
      <c r="H219" t="s">
        <v>3737</v>
      </c>
      <c r="I219" t="s">
        <v>52</v>
      </c>
      <c r="J219" t="s">
        <v>81</v>
      </c>
      <c r="K219" t="s">
        <v>54</v>
      </c>
      <c r="L219" t="s">
        <v>55</v>
      </c>
      <c r="O219" t="s">
        <v>82</v>
      </c>
      <c r="P219" t="s">
        <v>83</v>
      </c>
      <c r="Q219" t="s">
        <v>3738</v>
      </c>
      <c r="R219" t="s">
        <v>3739</v>
      </c>
      <c r="S219" t="s">
        <v>2895</v>
      </c>
      <c r="T219" t="s">
        <v>2896</v>
      </c>
      <c r="U219" t="s">
        <v>2897</v>
      </c>
    </row>
    <row r="220" spans="1:21" hidden="1">
      <c r="A220" t="s">
        <v>542</v>
      </c>
      <c r="B220" t="s">
        <v>3725</v>
      </c>
      <c r="C220" t="s">
        <v>3740</v>
      </c>
      <c r="D220" t="s">
        <v>17</v>
      </c>
      <c r="E220" t="s">
        <v>2</v>
      </c>
      <c r="F220" t="s">
        <v>50</v>
      </c>
      <c r="G220" t="s">
        <v>51</v>
      </c>
      <c r="H220" t="s">
        <v>3741</v>
      </c>
      <c r="I220" t="s">
        <v>52</v>
      </c>
      <c r="J220" t="s">
        <v>81</v>
      </c>
      <c r="K220" t="s">
        <v>54</v>
      </c>
      <c r="L220" t="s">
        <v>55</v>
      </c>
      <c r="O220" t="s">
        <v>82</v>
      </c>
      <c r="P220" t="s">
        <v>83</v>
      </c>
      <c r="Q220" t="s">
        <v>3742</v>
      </c>
      <c r="R220" t="s">
        <v>3743</v>
      </c>
      <c r="S220" t="s">
        <v>2895</v>
      </c>
      <c r="T220" t="s">
        <v>2896</v>
      </c>
      <c r="U220" t="s">
        <v>2897</v>
      </c>
    </row>
    <row r="221" spans="1:21" hidden="1">
      <c r="A221" t="s">
        <v>544</v>
      </c>
      <c r="B221" t="s">
        <v>3725</v>
      </c>
      <c r="C221" t="s">
        <v>3744</v>
      </c>
      <c r="D221" t="s">
        <v>17</v>
      </c>
      <c r="E221" t="s">
        <v>2</v>
      </c>
      <c r="F221" t="s">
        <v>50</v>
      </c>
      <c r="G221" t="s">
        <v>100</v>
      </c>
      <c r="H221" t="s">
        <v>2969</v>
      </c>
      <c r="I221" t="s">
        <v>52</v>
      </c>
      <c r="J221" t="s">
        <v>101</v>
      </c>
      <c r="K221" t="s">
        <v>54</v>
      </c>
      <c r="L221" t="s">
        <v>102</v>
      </c>
      <c r="O221" t="s">
        <v>103</v>
      </c>
      <c r="P221" t="s">
        <v>104</v>
      </c>
      <c r="Q221" t="s">
        <v>3745</v>
      </c>
      <c r="R221" t="s">
        <v>2971</v>
      </c>
      <c r="S221" t="s">
        <v>2895</v>
      </c>
      <c r="T221" t="s">
        <v>2896</v>
      </c>
      <c r="U221" t="s">
        <v>2897</v>
      </c>
    </row>
    <row r="222" spans="1:21" hidden="1">
      <c r="A222" t="s">
        <v>546</v>
      </c>
      <c r="B222" t="s">
        <v>3725</v>
      </c>
      <c r="C222" t="s">
        <v>3746</v>
      </c>
      <c r="D222" t="s">
        <v>17</v>
      </c>
      <c r="E222" t="s">
        <v>2</v>
      </c>
      <c r="F222" t="s">
        <v>50</v>
      </c>
      <c r="G222" t="s">
        <v>51</v>
      </c>
      <c r="H222" t="s">
        <v>3747</v>
      </c>
      <c r="I222" t="s">
        <v>52</v>
      </c>
      <c r="J222" t="s">
        <v>196</v>
      </c>
      <c r="K222" t="s">
        <v>54</v>
      </c>
      <c r="L222" t="s">
        <v>55</v>
      </c>
      <c r="O222" t="s">
        <v>197</v>
      </c>
      <c r="P222" t="s">
        <v>198</v>
      </c>
      <c r="Q222" t="s">
        <v>3748</v>
      </c>
      <c r="R222" t="s">
        <v>3749</v>
      </c>
      <c r="S222" t="s">
        <v>2895</v>
      </c>
      <c r="T222" t="s">
        <v>2896</v>
      </c>
      <c r="U222" t="s">
        <v>2897</v>
      </c>
    </row>
    <row r="223" spans="1:21" hidden="1">
      <c r="A223" t="s">
        <v>548</v>
      </c>
      <c r="B223" t="s">
        <v>3725</v>
      </c>
      <c r="C223" t="s">
        <v>3343</v>
      </c>
      <c r="D223" t="s">
        <v>17</v>
      </c>
      <c r="E223" t="s">
        <v>2</v>
      </c>
      <c r="F223" t="s">
        <v>50</v>
      </c>
      <c r="G223" t="s">
        <v>51</v>
      </c>
      <c r="H223" t="s">
        <v>3750</v>
      </c>
      <c r="I223" t="s">
        <v>52</v>
      </c>
      <c r="J223" t="s">
        <v>65</v>
      </c>
      <c r="K223" t="s">
        <v>54</v>
      </c>
      <c r="L223" t="s">
        <v>55</v>
      </c>
      <c r="O223" t="s">
        <v>66</v>
      </c>
      <c r="P223" t="s">
        <v>67</v>
      </c>
      <c r="Q223" t="s">
        <v>3751</v>
      </c>
      <c r="R223" t="s">
        <v>3752</v>
      </c>
      <c r="S223" t="s">
        <v>2895</v>
      </c>
      <c r="T223" t="s">
        <v>2896</v>
      </c>
      <c r="U223" t="s">
        <v>2897</v>
      </c>
    </row>
    <row r="224" spans="1:21" hidden="1">
      <c r="A224" t="s">
        <v>550</v>
      </c>
      <c r="B224" t="s">
        <v>3753</v>
      </c>
      <c r="C224" t="s">
        <v>3754</v>
      </c>
      <c r="D224" t="s">
        <v>17</v>
      </c>
      <c r="E224" t="s">
        <v>2</v>
      </c>
      <c r="F224" t="s">
        <v>50</v>
      </c>
      <c r="G224" t="s">
        <v>100</v>
      </c>
      <c r="H224" t="s">
        <v>2973</v>
      </c>
      <c r="I224" t="s">
        <v>52</v>
      </c>
      <c r="J224" t="s">
        <v>107</v>
      </c>
      <c r="K224" t="s">
        <v>54</v>
      </c>
      <c r="L224" t="s">
        <v>102</v>
      </c>
      <c r="O224" t="s">
        <v>108</v>
      </c>
      <c r="P224" t="s">
        <v>109</v>
      </c>
      <c r="Q224" t="s">
        <v>3755</v>
      </c>
      <c r="R224" t="s">
        <v>2975</v>
      </c>
      <c r="S224" t="s">
        <v>2895</v>
      </c>
      <c r="T224" t="s">
        <v>2896</v>
      </c>
      <c r="U224" t="s">
        <v>2897</v>
      </c>
    </row>
    <row r="225" spans="1:21" hidden="1">
      <c r="A225" t="s">
        <v>552</v>
      </c>
      <c r="B225" t="s">
        <v>3753</v>
      </c>
      <c r="C225" t="s">
        <v>3756</v>
      </c>
      <c r="D225" t="s">
        <v>17</v>
      </c>
      <c r="E225" t="s">
        <v>2</v>
      </c>
      <c r="F225" t="s">
        <v>50</v>
      </c>
      <c r="G225" t="s">
        <v>100</v>
      </c>
      <c r="H225" t="s">
        <v>3757</v>
      </c>
      <c r="I225" t="s">
        <v>52</v>
      </c>
      <c r="J225" t="s">
        <v>114</v>
      </c>
      <c r="K225" t="s">
        <v>54</v>
      </c>
      <c r="L225" t="s">
        <v>102</v>
      </c>
      <c r="O225" t="s">
        <v>103</v>
      </c>
      <c r="P225" t="s">
        <v>104</v>
      </c>
      <c r="Q225" t="s">
        <v>3758</v>
      </c>
      <c r="R225" t="s">
        <v>3759</v>
      </c>
      <c r="S225" t="s">
        <v>2895</v>
      </c>
      <c r="T225" t="s">
        <v>2896</v>
      </c>
      <c r="U225" t="s">
        <v>2897</v>
      </c>
    </row>
    <row r="226" spans="1:21" hidden="1">
      <c r="A226" t="s">
        <v>554</v>
      </c>
      <c r="B226" t="s">
        <v>3753</v>
      </c>
      <c r="C226" t="s">
        <v>3760</v>
      </c>
      <c r="D226" t="s">
        <v>17</v>
      </c>
      <c r="E226" t="s">
        <v>2</v>
      </c>
      <c r="F226" t="s">
        <v>149</v>
      </c>
      <c r="G226" t="s">
        <v>72</v>
      </c>
      <c r="H226" t="s">
        <v>3761</v>
      </c>
      <c r="I226" t="s">
        <v>52</v>
      </c>
      <c r="J226" t="s">
        <v>150</v>
      </c>
      <c r="K226" t="s">
        <v>54</v>
      </c>
      <c r="L226" t="s">
        <v>74</v>
      </c>
      <c r="O226" t="s">
        <v>75</v>
      </c>
      <c r="P226" t="s">
        <v>76</v>
      </c>
      <c r="Q226" t="s">
        <v>3762</v>
      </c>
      <c r="R226" t="s">
        <v>3761</v>
      </c>
      <c r="S226" t="s">
        <v>2895</v>
      </c>
      <c r="T226" t="s">
        <v>2896</v>
      </c>
      <c r="U226" t="s">
        <v>2897</v>
      </c>
    </row>
    <row r="227" spans="1:21" hidden="1">
      <c r="A227" t="s">
        <v>556</v>
      </c>
      <c r="B227" t="s">
        <v>3753</v>
      </c>
      <c r="C227" t="s">
        <v>3763</v>
      </c>
      <c r="D227" t="s">
        <v>17</v>
      </c>
      <c r="E227" t="s">
        <v>2</v>
      </c>
      <c r="F227" t="s">
        <v>50</v>
      </c>
      <c r="G227" t="s">
        <v>51</v>
      </c>
      <c r="H227" t="s">
        <v>3764</v>
      </c>
      <c r="I227" t="s">
        <v>52</v>
      </c>
      <c r="J227" t="s">
        <v>53</v>
      </c>
      <c r="K227" t="s">
        <v>54</v>
      </c>
      <c r="L227" t="s">
        <v>55</v>
      </c>
      <c r="O227" t="s">
        <v>56</v>
      </c>
      <c r="P227" t="s">
        <v>57</v>
      </c>
      <c r="Q227" t="s">
        <v>3765</v>
      </c>
      <c r="R227" t="s">
        <v>3766</v>
      </c>
      <c r="S227" t="s">
        <v>2895</v>
      </c>
      <c r="T227" t="s">
        <v>2896</v>
      </c>
      <c r="U227" t="s">
        <v>2897</v>
      </c>
    </row>
    <row r="228" spans="1:21" hidden="1">
      <c r="A228" t="s">
        <v>558</v>
      </c>
      <c r="B228" t="s">
        <v>3753</v>
      </c>
      <c r="C228" t="s">
        <v>3767</v>
      </c>
      <c r="D228" t="s">
        <v>17</v>
      </c>
      <c r="E228" t="s">
        <v>2</v>
      </c>
      <c r="F228" t="s">
        <v>50</v>
      </c>
      <c r="G228" t="s">
        <v>100</v>
      </c>
      <c r="H228" t="s">
        <v>3768</v>
      </c>
      <c r="I228" t="s">
        <v>52</v>
      </c>
      <c r="J228" t="s">
        <v>114</v>
      </c>
      <c r="K228" t="s">
        <v>54</v>
      </c>
      <c r="L228" t="s">
        <v>102</v>
      </c>
      <c r="O228" t="s">
        <v>103</v>
      </c>
      <c r="P228" t="s">
        <v>104</v>
      </c>
      <c r="Q228" t="s">
        <v>3769</v>
      </c>
      <c r="R228" t="s">
        <v>3770</v>
      </c>
      <c r="S228" t="s">
        <v>2895</v>
      </c>
      <c r="T228" t="s">
        <v>2896</v>
      </c>
      <c r="U228" t="s">
        <v>2897</v>
      </c>
    </row>
    <row r="229" spans="1:21" hidden="1">
      <c r="A229" t="s">
        <v>560</v>
      </c>
      <c r="B229" t="s">
        <v>3753</v>
      </c>
      <c r="C229" t="s">
        <v>3771</v>
      </c>
      <c r="D229" t="s">
        <v>17</v>
      </c>
      <c r="E229" t="s">
        <v>2</v>
      </c>
      <c r="F229" t="s">
        <v>50</v>
      </c>
      <c r="G229" t="s">
        <v>100</v>
      </c>
      <c r="H229" t="s">
        <v>3772</v>
      </c>
      <c r="I229" t="s">
        <v>52</v>
      </c>
      <c r="J229" t="s">
        <v>114</v>
      </c>
      <c r="K229" t="s">
        <v>54</v>
      </c>
      <c r="L229" t="s">
        <v>102</v>
      </c>
      <c r="O229" t="s">
        <v>103</v>
      </c>
      <c r="P229" t="s">
        <v>104</v>
      </c>
      <c r="Q229" t="s">
        <v>3773</v>
      </c>
      <c r="R229" t="s">
        <v>3774</v>
      </c>
      <c r="S229" t="s">
        <v>2895</v>
      </c>
      <c r="T229" t="s">
        <v>2896</v>
      </c>
      <c r="U229" t="s">
        <v>2897</v>
      </c>
    </row>
    <row r="230" spans="1:21" hidden="1">
      <c r="A230" t="s">
        <v>562</v>
      </c>
      <c r="B230" t="s">
        <v>3753</v>
      </c>
      <c r="C230" t="s">
        <v>3369</v>
      </c>
      <c r="D230" t="s">
        <v>17</v>
      </c>
      <c r="E230" t="s">
        <v>2</v>
      </c>
      <c r="F230" t="s">
        <v>50</v>
      </c>
      <c r="G230" t="s">
        <v>51</v>
      </c>
      <c r="H230" t="s">
        <v>3775</v>
      </c>
      <c r="I230" t="s">
        <v>52</v>
      </c>
      <c r="J230" t="s">
        <v>196</v>
      </c>
      <c r="K230" t="s">
        <v>54</v>
      </c>
      <c r="L230" t="s">
        <v>55</v>
      </c>
      <c r="O230" t="s">
        <v>197</v>
      </c>
      <c r="P230" t="s">
        <v>198</v>
      </c>
      <c r="Q230" t="s">
        <v>3776</v>
      </c>
      <c r="R230" t="s">
        <v>3777</v>
      </c>
      <c r="S230" t="s">
        <v>2895</v>
      </c>
      <c r="T230" t="s">
        <v>2896</v>
      </c>
      <c r="U230" t="s">
        <v>2897</v>
      </c>
    </row>
    <row r="231" spans="1:21" hidden="1">
      <c r="A231" t="s">
        <v>564</v>
      </c>
      <c r="B231" t="s">
        <v>3753</v>
      </c>
      <c r="C231" t="s">
        <v>3778</v>
      </c>
      <c r="D231" t="s">
        <v>17</v>
      </c>
      <c r="E231" t="s">
        <v>2</v>
      </c>
      <c r="F231" t="s">
        <v>50</v>
      </c>
      <c r="G231" t="s">
        <v>51</v>
      </c>
      <c r="H231" t="s">
        <v>3779</v>
      </c>
      <c r="I231" t="s">
        <v>52</v>
      </c>
      <c r="J231" t="s">
        <v>81</v>
      </c>
      <c r="K231" t="s">
        <v>54</v>
      </c>
      <c r="L231" t="s">
        <v>55</v>
      </c>
      <c r="O231" t="s">
        <v>82</v>
      </c>
      <c r="P231" t="s">
        <v>83</v>
      </c>
      <c r="Q231" t="s">
        <v>3780</v>
      </c>
      <c r="R231" t="s">
        <v>3781</v>
      </c>
      <c r="S231" t="s">
        <v>2895</v>
      </c>
      <c r="T231" t="s">
        <v>2896</v>
      </c>
      <c r="U231" t="s">
        <v>2897</v>
      </c>
    </row>
    <row r="232" spans="1:21" hidden="1">
      <c r="A232" t="s">
        <v>566</v>
      </c>
      <c r="B232" t="s">
        <v>3753</v>
      </c>
      <c r="C232" t="s">
        <v>3782</v>
      </c>
      <c r="D232" t="s">
        <v>17</v>
      </c>
      <c r="E232" t="s">
        <v>2</v>
      </c>
      <c r="F232" t="s">
        <v>50</v>
      </c>
      <c r="G232" t="s">
        <v>51</v>
      </c>
      <c r="H232" t="s">
        <v>3783</v>
      </c>
      <c r="I232" t="s">
        <v>52</v>
      </c>
      <c r="J232" t="s">
        <v>53</v>
      </c>
      <c r="K232" t="s">
        <v>54</v>
      </c>
      <c r="L232" t="s">
        <v>55</v>
      </c>
      <c r="O232" t="s">
        <v>56</v>
      </c>
      <c r="P232" t="s">
        <v>57</v>
      </c>
      <c r="Q232" t="s">
        <v>3784</v>
      </c>
      <c r="R232" t="s">
        <v>3785</v>
      </c>
      <c r="S232" t="s">
        <v>2895</v>
      </c>
      <c r="T232" t="s">
        <v>2896</v>
      </c>
      <c r="U232" t="s">
        <v>2897</v>
      </c>
    </row>
    <row r="233" spans="1:21" hidden="1">
      <c r="A233" t="s">
        <v>568</v>
      </c>
      <c r="B233" t="s">
        <v>3786</v>
      </c>
      <c r="C233" t="s">
        <v>3215</v>
      </c>
      <c r="D233" t="s">
        <v>17</v>
      </c>
      <c r="E233" t="s">
        <v>2</v>
      </c>
      <c r="F233" t="s">
        <v>50</v>
      </c>
      <c r="G233" t="s">
        <v>51</v>
      </c>
      <c r="H233" t="s">
        <v>3787</v>
      </c>
      <c r="I233" t="s">
        <v>52</v>
      </c>
      <c r="J233" t="s">
        <v>60</v>
      </c>
      <c r="K233" t="s">
        <v>54</v>
      </c>
      <c r="L233" t="s">
        <v>55</v>
      </c>
      <c r="O233" t="s">
        <v>61</v>
      </c>
      <c r="P233" t="s">
        <v>62</v>
      </c>
      <c r="Q233" t="s">
        <v>3788</v>
      </c>
      <c r="R233" t="s">
        <v>3789</v>
      </c>
      <c r="S233" t="s">
        <v>2895</v>
      </c>
      <c r="T233" t="s">
        <v>2896</v>
      </c>
      <c r="U233" t="s">
        <v>2897</v>
      </c>
    </row>
    <row r="234" spans="1:21" hidden="1">
      <c r="A234" t="s">
        <v>570</v>
      </c>
      <c r="B234" t="s">
        <v>3786</v>
      </c>
      <c r="C234" t="s">
        <v>3790</v>
      </c>
      <c r="D234" t="s">
        <v>17</v>
      </c>
      <c r="E234" t="s">
        <v>2</v>
      </c>
      <c r="F234" t="s">
        <v>50</v>
      </c>
      <c r="G234" t="s">
        <v>51</v>
      </c>
      <c r="H234" t="s">
        <v>3791</v>
      </c>
      <c r="I234" t="s">
        <v>52</v>
      </c>
      <c r="J234" t="s">
        <v>126</v>
      </c>
      <c r="K234" t="s">
        <v>54</v>
      </c>
      <c r="L234" t="s">
        <v>55</v>
      </c>
      <c r="O234" t="s">
        <v>56</v>
      </c>
      <c r="P234" t="s">
        <v>57</v>
      </c>
      <c r="Q234" t="s">
        <v>3792</v>
      </c>
      <c r="R234" t="s">
        <v>3793</v>
      </c>
      <c r="S234" t="s">
        <v>2895</v>
      </c>
      <c r="T234" t="s">
        <v>2896</v>
      </c>
      <c r="U234" t="s">
        <v>2897</v>
      </c>
    </row>
    <row r="235" spans="1:21" hidden="1">
      <c r="A235" t="s">
        <v>572</v>
      </c>
      <c r="B235" t="s">
        <v>3786</v>
      </c>
      <c r="C235" t="s">
        <v>3794</v>
      </c>
      <c r="D235" t="s">
        <v>17</v>
      </c>
      <c r="E235" t="s">
        <v>2</v>
      </c>
      <c r="F235" t="s">
        <v>50</v>
      </c>
      <c r="G235" t="s">
        <v>51</v>
      </c>
      <c r="H235" t="s">
        <v>3795</v>
      </c>
      <c r="I235" t="s">
        <v>52</v>
      </c>
      <c r="J235" t="s">
        <v>60</v>
      </c>
      <c r="K235" t="s">
        <v>54</v>
      </c>
      <c r="L235" t="s">
        <v>55</v>
      </c>
      <c r="O235" t="s">
        <v>61</v>
      </c>
      <c r="P235" t="s">
        <v>62</v>
      </c>
      <c r="Q235" t="s">
        <v>3796</v>
      </c>
      <c r="R235" t="s">
        <v>3797</v>
      </c>
      <c r="S235" t="s">
        <v>2895</v>
      </c>
      <c r="T235" t="s">
        <v>2896</v>
      </c>
      <c r="U235" t="s">
        <v>2897</v>
      </c>
    </row>
    <row r="236" spans="1:21" hidden="1">
      <c r="A236" t="s">
        <v>574</v>
      </c>
      <c r="B236" t="s">
        <v>3786</v>
      </c>
      <c r="C236" t="s">
        <v>3798</v>
      </c>
      <c r="D236" t="s">
        <v>17</v>
      </c>
      <c r="E236" t="s">
        <v>2</v>
      </c>
      <c r="F236" t="s">
        <v>50</v>
      </c>
      <c r="G236" t="s">
        <v>100</v>
      </c>
      <c r="H236" t="s">
        <v>2969</v>
      </c>
      <c r="I236" t="s">
        <v>52</v>
      </c>
      <c r="J236" t="s">
        <v>101</v>
      </c>
      <c r="K236" t="s">
        <v>54</v>
      </c>
      <c r="L236" t="s">
        <v>102</v>
      </c>
      <c r="O236" t="s">
        <v>103</v>
      </c>
      <c r="P236" t="s">
        <v>104</v>
      </c>
      <c r="Q236" t="s">
        <v>3799</v>
      </c>
      <c r="R236" t="s">
        <v>2971</v>
      </c>
      <c r="S236" t="s">
        <v>2895</v>
      </c>
      <c r="T236" t="s">
        <v>2896</v>
      </c>
      <c r="U236" t="s">
        <v>2897</v>
      </c>
    </row>
    <row r="237" spans="1:21" hidden="1">
      <c r="A237" t="s">
        <v>576</v>
      </c>
      <c r="B237" t="s">
        <v>3786</v>
      </c>
      <c r="C237" t="s">
        <v>3800</v>
      </c>
      <c r="D237" t="s">
        <v>17</v>
      </c>
      <c r="E237" t="s">
        <v>2</v>
      </c>
      <c r="F237" t="s">
        <v>50</v>
      </c>
      <c r="G237" t="s">
        <v>51</v>
      </c>
      <c r="H237" t="s">
        <v>3801</v>
      </c>
      <c r="I237" t="s">
        <v>52</v>
      </c>
      <c r="J237" t="s">
        <v>81</v>
      </c>
      <c r="K237" t="s">
        <v>54</v>
      </c>
      <c r="L237" t="s">
        <v>55</v>
      </c>
      <c r="O237" t="s">
        <v>82</v>
      </c>
      <c r="P237" t="s">
        <v>83</v>
      </c>
      <c r="Q237" t="s">
        <v>3802</v>
      </c>
      <c r="R237" t="s">
        <v>3803</v>
      </c>
      <c r="S237" t="s">
        <v>2895</v>
      </c>
      <c r="T237" t="s">
        <v>2896</v>
      </c>
      <c r="U237" t="s">
        <v>2897</v>
      </c>
    </row>
    <row r="238" spans="1:21" hidden="1">
      <c r="A238" t="s">
        <v>578</v>
      </c>
      <c r="B238" t="s">
        <v>3804</v>
      </c>
      <c r="C238" t="s">
        <v>3805</v>
      </c>
      <c r="D238" t="s">
        <v>17</v>
      </c>
      <c r="E238" t="s">
        <v>2</v>
      </c>
      <c r="F238" t="s">
        <v>50</v>
      </c>
      <c r="G238" t="s">
        <v>51</v>
      </c>
      <c r="H238" t="s">
        <v>3806</v>
      </c>
      <c r="I238" t="s">
        <v>52</v>
      </c>
      <c r="J238" t="s">
        <v>196</v>
      </c>
      <c r="K238" t="s">
        <v>54</v>
      </c>
      <c r="L238" t="s">
        <v>55</v>
      </c>
      <c r="O238" t="s">
        <v>197</v>
      </c>
      <c r="P238" t="s">
        <v>198</v>
      </c>
      <c r="Q238" t="s">
        <v>3807</v>
      </c>
      <c r="R238" t="s">
        <v>3808</v>
      </c>
      <c r="S238" t="s">
        <v>2895</v>
      </c>
      <c r="T238" t="s">
        <v>2896</v>
      </c>
      <c r="U238" t="s">
        <v>2897</v>
      </c>
    </row>
    <row r="239" spans="1:21" hidden="1">
      <c r="A239" t="s">
        <v>580</v>
      </c>
      <c r="B239" t="s">
        <v>3804</v>
      </c>
      <c r="C239" t="s">
        <v>3566</v>
      </c>
      <c r="D239" t="s">
        <v>17</v>
      </c>
      <c r="E239" t="s">
        <v>2</v>
      </c>
      <c r="F239" t="s">
        <v>50</v>
      </c>
      <c r="G239" t="s">
        <v>51</v>
      </c>
      <c r="H239" t="s">
        <v>3809</v>
      </c>
      <c r="I239" t="s">
        <v>52</v>
      </c>
      <c r="J239" t="s">
        <v>53</v>
      </c>
      <c r="K239" t="s">
        <v>54</v>
      </c>
      <c r="L239" t="s">
        <v>55</v>
      </c>
      <c r="O239" t="s">
        <v>56</v>
      </c>
      <c r="P239" t="s">
        <v>57</v>
      </c>
      <c r="Q239" t="s">
        <v>3810</v>
      </c>
      <c r="R239" t="s">
        <v>3811</v>
      </c>
      <c r="S239" t="s">
        <v>2895</v>
      </c>
      <c r="T239" t="s">
        <v>2896</v>
      </c>
      <c r="U239" t="s">
        <v>2897</v>
      </c>
    </row>
    <row r="240" spans="1:21" hidden="1">
      <c r="A240" t="s">
        <v>582</v>
      </c>
      <c r="B240" t="s">
        <v>3804</v>
      </c>
      <c r="C240" t="s">
        <v>3812</v>
      </c>
      <c r="D240" t="s">
        <v>17</v>
      </c>
      <c r="E240" t="s">
        <v>2</v>
      </c>
      <c r="F240" t="s">
        <v>50</v>
      </c>
      <c r="G240" t="s">
        <v>51</v>
      </c>
      <c r="H240" t="s">
        <v>3813</v>
      </c>
      <c r="I240" t="s">
        <v>52</v>
      </c>
      <c r="J240" t="s">
        <v>65</v>
      </c>
      <c r="K240" t="s">
        <v>54</v>
      </c>
      <c r="L240" t="s">
        <v>55</v>
      </c>
      <c r="O240" t="s">
        <v>66</v>
      </c>
      <c r="P240" t="s">
        <v>67</v>
      </c>
      <c r="Q240" t="s">
        <v>3814</v>
      </c>
      <c r="R240" t="s">
        <v>3815</v>
      </c>
      <c r="S240" t="s">
        <v>2895</v>
      </c>
      <c r="T240" t="s">
        <v>2896</v>
      </c>
      <c r="U240" t="s">
        <v>2897</v>
      </c>
    </row>
    <row r="241" spans="1:21" hidden="1">
      <c r="A241" t="s">
        <v>584</v>
      </c>
      <c r="B241" t="s">
        <v>3804</v>
      </c>
      <c r="C241" t="s">
        <v>3816</v>
      </c>
      <c r="D241" t="s">
        <v>17</v>
      </c>
      <c r="E241" t="s">
        <v>2</v>
      </c>
      <c r="F241" t="s">
        <v>50</v>
      </c>
      <c r="G241" t="s">
        <v>51</v>
      </c>
      <c r="H241" t="s">
        <v>3817</v>
      </c>
      <c r="I241" t="s">
        <v>52</v>
      </c>
      <c r="J241" t="s">
        <v>196</v>
      </c>
      <c r="K241" t="s">
        <v>54</v>
      </c>
      <c r="L241" t="s">
        <v>55</v>
      </c>
      <c r="O241" t="s">
        <v>197</v>
      </c>
      <c r="P241" t="s">
        <v>198</v>
      </c>
      <c r="Q241" t="s">
        <v>3818</v>
      </c>
      <c r="R241" t="s">
        <v>3819</v>
      </c>
      <c r="S241" t="s">
        <v>2895</v>
      </c>
      <c r="T241" t="s">
        <v>2896</v>
      </c>
      <c r="U241" t="s">
        <v>2897</v>
      </c>
    </row>
    <row r="242" spans="1:21" hidden="1">
      <c r="A242" t="s">
        <v>586</v>
      </c>
      <c r="B242" t="s">
        <v>3804</v>
      </c>
      <c r="C242" t="s">
        <v>3820</v>
      </c>
      <c r="D242" t="s">
        <v>17</v>
      </c>
      <c r="E242" t="s">
        <v>2</v>
      </c>
      <c r="F242" t="s">
        <v>50</v>
      </c>
      <c r="G242" t="s">
        <v>100</v>
      </c>
      <c r="H242" t="s">
        <v>2969</v>
      </c>
      <c r="I242" t="s">
        <v>52</v>
      </c>
      <c r="J242" t="s">
        <v>101</v>
      </c>
      <c r="K242" t="s">
        <v>54</v>
      </c>
      <c r="L242" t="s">
        <v>102</v>
      </c>
      <c r="O242" t="s">
        <v>103</v>
      </c>
      <c r="P242" t="s">
        <v>104</v>
      </c>
      <c r="Q242" t="s">
        <v>3821</v>
      </c>
      <c r="R242" t="s">
        <v>2971</v>
      </c>
      <c r="S242" t="s">
        <v>2895</v>
      </c>
      <c r="T242" t="s">
        <v>2896</v>
      </c>
      <c r="U242" t="s">
        <v>2897</v>
      </c>
    </row>
    <row r="243" spans="1:21" hidden="1">
      <c r="A243" t="s">
        <v>588</v>
      </c>
      <c r="B243" t="s">
        <v>3804</v>
      </c>
      <c r="C243" t="s">
        <v>3166</v>
      </c>
      <c r="D243" t="s">
        <v>17</v>
      </c>
      <c r="E243" t="s">
        <v>2</v>
      </c>
      <c r="F243" t="s">
        <v>50</v>
      </c>
      <c r="G243" t="s">
        <v>51</v>
      </c>
      <c r="H243" t="s">
        <v>3822</v>
      </c>
      <c r="I243" t="s">
        <v>52</v>
      </c>
      <c r="J243" t="s">
        <v>65</v>
      </c>
      <c r="K243" t="s">
        <v>54</v>
      </c>
      <c r="L243" t="s">
        <v>55</v>
      </c>
      <c r="O243" t="s">
        <v>66</v>
      </c>
      <c r="P243" t="s">
        <v>67</v>
      </c>
      <c r="Q243" t="s">
        <v>3823</v>
      </c>
      <c r="R243" t="s">
        <v>3824</v>
      </c>
      <c r="S243" t="s">
        <v>2895</v>
      </c>
      <c r="T243" t="s">
        <v>2896</v>
      </c>
      <c r="U243" t="s">
        <v>2897</v>
      </c>
    </row>
    <row r="244" spans="1:21" hidden="1">
      <c r="A244" t="s">
        <v>590</v>
      </c>
      <c r="B244" t="s">
        <v>3804</v>
      </c>
      <c r="C244" t="s">
        <v>3825</v>
      </c>
      <c r="D244" t="s">
        <v>17</v>
      </c>
      <c r="E244" t="s">
        <v>2</v>
      </c>
      <c r="F244" t="s">
        <v>50</v>
      </c>
      <c r="G244" t="s">
        <v>100</v>
      </c>
      <c r="H244" t="s">
        <v>3370</v>
      </c>
      <c r="I244" t="s">
        <v>52</v>
      </c>
      <c r="J244" t="s">
        <v>114</v>
      </c>
      <c r="K244" t="s">
        <v>54</v>
      </c>
      <c r="L244" t="s">
        <v>102</v>
      </c>
      <c r="O244" t="s">
        <v>103</v>
      </c>
      <c r="P244" t="s">
        <v>104</v>
      </c>
      <c r="Q244" t="s">
        <v>3826</v>
      </c>
      <c r="R244" t="s">
        <v>3372</v>
      </c>
      <c r="S244" t="s">
        <v>2895</v>
      </c>
      <c r="T244" t="s">
        <v>2896</v>
      </c>
      <c r="U244" t="s">
        <v>2897</v>
      </c>
    </row>
    <row r="245" spans="1:21" hidden="1">
      <c r="A245" t="s">
        <v>592</v>
      </c>
      <c r="B245" t="s">
        <v>3827</v>
      </c>
      <c r="C245" t="s">
        <v>3211</v>
      </c>
      <c r="D245" t="s">
        <v>17</v>
      </c>
      <c r="E245" t="s">
        <v>2</v>
      </c>
      <c r="F245" t="s">
        <v>50</v>
      </c>
      <c r="G245" t="s">
        <v>51</v>
      </c>
      <c r="H245" t="s">
        <v>3828</v>
      </c>
      <c r="I245" t="s">
        <v>52</v>
      </c>
      <c r="J245" t="s">
        <v>196</v>
      </c>
      <c r="K245" t="s">
        <v>54</v>
      </c>
      <c r="L245" t="s">
        <v>55</v>
      </c>
      <c r="O245" t="s">
        <v>197</v>
      </c>
      <c r="P245" t="s">
        <v>198</v>
      </c>
      <c r="Q245" t="s">
        <v>3829</v>
      </c>
      <c r="R245" t="s">
        <v>3830</v>
      </c>
      <c r="S245" t="s">
        <v>2895</v>
      </c>
      <c r="T245" t="s">
        <v>2896</v>
      </c>
      <c r="U245" t="s">
        <v>2897</v>
      </c>
    </row>
    <row r="246" spans="1:21" hidden="1">
      <c r="A246" t="s">
        <v>594</v>
      </c>
      <c r="B246" t="s">
        <v>3827</v>
      </c>
      <c r="C246" t="s">
        <v>3831</v>
      </c>
      <c r="D246" t="s">
        <v>17</v>
      </c>
      <c r="E246" t="s">
        <v>2</v>
      </c>
      <c r="F246" t="s">
        <v>50</v>
      </c>
      <c r="G246" t="s">
        <v>51</v>
      </c>
      <c r="H246" t="s">
        <v>3832</v>
      </c>
      <c r="I246" t="s">
        <v>52</v>
      </c>
      <c r="J246" t="s">
        <v>53</v>
      </c>
      <c r="K246" t="s">
        <v>54</v>
      </c>
      <c r="L246" t="s">
        <v>55</v>
      </c>
      <c r="O246" t="s">
        <v>56</v>
      </c>
      <c r="P246" t="s">
        <v>57</v>
      </c>
      <c r="Q246" t="s">
        <v>3833</v>
      </c>
      <c r="R246" t="s">
        <v>3834</v>
      </c>
      <c r="S246" t="s">
        <v>2895</v>
      </c>
      <c r="T246" t="s">
        <v>2896</v>
      </c>
      <c r="U246" t="s">
        <v>2897</v>
      </c>
    </row>
    <row r="247" spans="1:21" hidden="1">
      <c r="A247" t="s">
        <v>596</v>
      </c>
      <c r="B247" t="s">
        <v>3827</v>
      </c>
      <c r="C247" t="s">
        <v>3835</v>
      </c>
      <c r="D247" t="s">
        <v>17</v>
      </c>
      <c r="E247" t="s">
        <v>2</v>
      </c>
      <c r="F247" t="s">
        <v>50</v>
      </c>
      <c r="G247" t="s">
        <v>51</v>
      </c>
      <c r="H247" t="s">
        <v>3836</v>
      </c>
      <c r="I247" t="s">
        <v>52</v>
      </c>
      <c r="J247" t="s">
        <v>65</v>
      </c>
      <c r="K247" t="s">
        <v>54</v>
      </c>
      <c r="L247" t="s">
        <v>55</v>
      </c>
      <c r="O247" t="s">
        <v>66</v>
      </c>
      <c r="P247" t="s">
        <v>67</v>
      </c>
      <c r="Q247" t="s">
        <v>3837</v>
      </c>
      <c r="R247" t="s">
        <v>3838</v>
      </c>
      <c r="S247" t="s">
        <v>2895</v>
      </c>
      <c r="T247" t="s">
        <v>2896</v>
      </c>
      <c r="U247" t="s">
        <v>2897</v>
      </c>
    </row>
    <row r="248" spans="1:21" hidden="1">
      <c r="A248" t="s">
        <v>598</v>
      </c>
      <c r="B248" t="s">
        <v>3827</v>
      </c>
      <c r="C248" t="s">
        <v>3839</v>
      </c>
      <c r="D248" t="s">
        <v>17</v>
      </c>
      <c r="E248" t="s">
        <v>2</v>
      </c>
      <c r="F248" t="s">
        <v>50</v>
      </c>
      <c r="G248" t="s">
        <v>51</v>
      </c>
      <c r="H248" t="s">
        <v>3840</v>
      </c>
      <c r="I248" t="s">
        <v>52</v>
      </c>
      <c r="J248" t="s">
        <v>60</v>
      </c>
      <c r="K248" t="s">
        <v>54</v>
      </c>
      <c r="L248" t="s">
        <v>55</v>
      </c>
      <c r="O248" t="s">
        <v>61</v>
      </c>
      <c r="P248" t="s">
        <v>62</v>
      </c>
      <c r="Q248" t="s">
        <v>3841</v>
      </c>
      <c r="R248" t="s">
        <v>3842</v>
      </c>
      <c r="S248" t="s">
        <v>2895</v>
      </c>
      <c r="T248" t="s">
        <v>2896</v>
      </c>
      <c r="U248" t="s">
        <v>2897</v>
      </c>
    </row>
    <row r="249" spans="1:21" hidden="1">
      <c r="A249" t="s">
        <v>600</v>
      </c>
      <c r="B249" t="s">
        <v>3827</v>
      </c>
      <c r="C249" t="s">
        <v>3843</v>
      </c>
      <c r="D249" t="s">
        <v>17</v>
      </c>
      <c r="E249" t="s">
        <v>2</v>
      </c>
      <c r="F249" t="s">
        <v>50</v>
      </c>
      <c r="G249" t="s">
        <v>51</v>
      </c>
      <c r="H249" t="s">
        <v>3844</v>
      </c>
      <c r="I249" t="s">
        <v>52</v>
      </c>
      <c r="J249" t="s">
        <v>65</v>
      </c>
      <c r="K249" t="s">
        <v>54</v>
      </c>
      <c r="L249" t="s">
        <v>55</v>
      </c>
      <c r="O249" t="s">
        <v>66</v>
      </c>
      <c r="P249" t="s">
        <v>67</v>
      </c>
      <c r="Q249" t="s">
        <v>3845</v>
      </c>
      <c r="R249" t="s">
        <v>3846</v>
      </c>
      <c r="S249" t="s">
        <v>2895</v>
      </c>
      <c r="T249" t="s">
        <v>2896</v>
      </c>
      <c r="U249" t="s">
        <v>2897</v>
      </c>
    </row>
    <row r="250" spans="1:21" hidden="1">
      <c r="A250" t="s">
        <v>602</v>
      </c>
      <c r="B250" t="s">
        <v>3827</v>
      </c>
      <c r="C250" t="s">
        <v>3847</v>
      </c>
      <c r="D250" t="s">
        <v>17</v>
      </c>
      <c r="E250" t="s">
        <v>2</v>
      </c>
      <c r="F250" t="s">
        <v>50</v>
      </c>
      <c r="G250" t="s">
        <v>51</v>
      </c>
      <c r="H250" t="s">
        <v>3848</v>
      </c>
      <c r="I250" t="s">
        <v>52</v>
      </c>
      <c r="J250" t="s">
        <v>65</v>
      </c>
      <c r="K250" t="s">
        <v>54</v>
      </c>
      <c r="L250" t="s">
        <v>55</v>
      </c>
      <c r="O250" t="s">
        <v>66</v>
      </c>
      <c r="P250" t="s">
        <v>67</v>
      </c>
      <c r="Q250" t="s">
        <v>3849</v>
      </c>
      <c r="R250" t="s">
        <v>3850</v>
      </c>
      <c r="S250" t="s">
        <v>2895</v>
      </c>
      <c r="T250" t="s">
        <v>2896</v>
      </c>
      <c r="U250" t="s">
        <v>2897</v>
      </c>
    </row>
    <row r="251" spans="1:21" hidden="1">
      <c r="A251" t="s">
        <v>604</v>
      </c>
      <c r="B251" t="s">
        <v>3827</v>
      </c>
      <c r="C251" t="s">
        <v>3851</v>
      </c>
      <c r="D251" t="s">
        <v>17</v>
      </c>
      <c r="E251" t="s">
        <v>2</v>
      </c>
      <c r="F251" t="s">
        <v>50</v>
      </c>
      <c r="G251" t="s">
        <v>72</v>
      </c>
      <c r="H251" t="s">
        <v>3852</v>
      </c>
      <c r="I251" t="s">
        <v>52</v>
      </c>
      <c r="J251" t="s">
        <v>606</v>
      </c>
      <c r="K251" t="s">
        <v>54</v>
      </c>
      <c r="L251" t="s">
        <v>74</v>
      </c>
      <c r="O251" t="s">
        <v>75</v>
      </c>
      <c r="P251" t="s">
        <v>76</v>
      </c>
      <c r="Q251" t="s">
        <v>3853</v>
      </c>
      <c r="R251" t="s">
        <v>3854</v>
      </c>
      <c r="S251" t="s">
        <v>2895</v>
      </c>
      <c r="T251" t="s">
        <v>2896</v>
      </c>
      <c r="U251" t="s">
        <v>2897</v>
      </c>
    </row>
    <row r="252" spans="1:21" hidden="1">
      <c r="A252" t="s">
        <v>607</v>
      </c>
      <c r="B252" t="s">
        <v>3855</v>
      </c>
      <c r="C252" t="s">
        <v>3856</v>
      </c>
      <c r="D252" t="s">
        <v>17</v>
      </c>
      <c r="E252" t="s">
        <v>2</v>
      </c>
      <c r="F252" t="s">
        <v>50</v>
      </c>
      <c r="G252" t="s">
        <v>51</v>
      </c>
      <c r="H252" t="s">
        <v>3857</v>
      </c>
      <c r="I252" t="s">
        <v>52</v>
      </c>
      <c r="J252" t="s">
        <v>60</v>
      </c>
      <c r="K252" t="s">
        <v>54</v>
      </c>
      <c r="L252" t="s">
        <v>55</v>
      </c>
      <c r="O252" t="s">
        <v>61</v>
      </c>
      <c r="P252" t="s">
        <v>62</v>
      </c>
      <c r="Q252" t="s">
        <v>3858</v>
      </c>
      <c r="R252" t="s">
        <v>3859</v>
      </c>
      <c r="S252" t="s">
        <v>2895</v>
      </c>
      <c r="T252" t="s">
        <v>2896</v>
      </c>
      <c r="U252" t="s">
        <v>2897</v>
      </c>
    </row>
    <row r="253" spans="1:21" hidden="1">
      <c r="A253" t="s">
        <v>609</v>
      </c>
      <c r="B253" t="s">
        <v>3855</v>
      </c>
      <c r="C253" t="s">
        <v>3860</v>
      </c>
      <c r="D253" t="s">
        <v>17</v>
      </c>
      <c r="E253" t="s">
        <v>2</v>
      </c>
      <c r="F253" t="s">
        <v>50</v>
      </c>
      <c r="G253" t="s">
        <v>72</v>
      </c>
      <c r="H253" t="s">
        <v>3861</v>
      </c>
      <c r="I253" t="s">
        <v>52</v>
      </c>
      <c r="J253" t="s">
        <v>611</v>
      </c>
      <c r="K253" t="s">
        <v>54</v>
      </c>
      <c r="L253" t="s">
        <v>74</v>
      </c>
      <c r="O253" t="s">
        <v>75</v>
      </c>
      <c r="P253" t="s">
        <v>76</v>
      </c>
      <c r="Q253" t="s">
        <v>3862</v>
      </c>
      <c r="R253" t="s">
        <v>3863</v>
      </c>
      <c r="S253" t="s">
        <v>2895</v>
      </c>
      <c r="T253" t="s">
        <v>2896</v>
      </c>
      <c r="U253" t="s">
        <v>2897</v>
      </c>
    </row>
    <row r="254" spans="1:21" hidden="1">
      <c r="A254" t="s">
        <v>612</v>
      </c>
      <c r="B254" t="s">
        <v>3855</v>
      </c>
      <c r="C254" t="s">
        <v>3864</v>
      </c>
      <c r="D254" t="s">
        <v>17</v>
      </c>
      <c r="E254" t="s">
        <v>2</v>
      </c>
      <c r="F254" t="s">
        <v>50</v>
      </c>
      <c r="G254" t="s">
        <v>51</v>
      </c>
      <c r="H254" t="s">
        <v>3865</v>
      </c>
      <c r="I254" t="s">
        <v>52</v>
      </c>
      <c r="J254" t="s">
        <v>53</v>
      </c>
      <c r="K254" t="s">
        <v>54</v>
      </c>
      <c r="L254" t="s">
        <v>55</v>
      </c>
      <c r="O254" t="s">
        <v>56</v>
      </c>
      <c r="P254" t="s">
        <v>57</v>
      </c>
      <c r="Q254" t="s">
        <v>3866</v>
      </c>
      <c r="R254" t="s">
        <v>3867</v>
      </c>
      <c r="S254" t="s">
        <v>2895</v>
      </c>
      <c r="T254" t="s">
        <v>2896</v>
      </c>
      <c r="U254" t="s">
        <v>2897</v>
      </c>
    </row>
    <row r="255" spans="1:21" hidden="1">
      <c r="A255" t="s">
        <v>614</v>
      </c>
      <c r="B255" t="s">
        <v>3855</v>
      </c>
      <c r="C255" t="s">
        <v>3868</v>
      </c>
      <c r="D255" t="s">
        <v>17</v>
      </c>
      <c r="E255" t="s">
        <v>2</v>
      </c>
      <c r="F255" t="s">
        <v>50</v>
      </c>
      <c r="G255" t="s">
        <v>51</v>
      </c>
      <c r="H255" t="s">
        <v>3869</v>
      </c>
      <c r="I255" t="s">
        <v>52</v>
      </c>
      <c r="J255" t="s">
        <v>65</v>
      </c>
      <c r="K255" t="s">
        <v>54</v>
      </c>
      <c r="L255" t="s">
        <v>55</v>
      </c>
      <c r="O255" t="s">
        <v>66</v>
      </c>
      <c r="P255" t="s">
        <v>67</v>
      </c>
      <c r="Q255" t="s">
        <v>3870</v>
      </c>
      <c r="R255" t="s">
        <v>3871</v>
      </c>
      <c r="S255" t="s">
        <v>2895</v>
      </c>
      <c r="T255" t="s">
        <v>2896</v>
      </c>
      <c r="U255" t="s">
        <v>2897</v>
      </c>
    </row>
    <row r="256" spans="1:21" hidden="1">
      <c r="A256" t="s">
        <v>616</v>
      </c>
      <c r="B256" t="s">
        <v>3855</v>
      </c>
      <c r="C256" t="s">
        <v>3778</v>
      </c>
      <c r="D256" t="s">
        <v>17</v>
      </c>
      <c r="E256" t="s">
        <v>2</v>
      </c>
      <c r="F256" t="s">
        <v>50</v>
      </c>
      <c r="G256" t="s">
        <v>51</v>
      </c>
      <c r="H256" t="s">
        <v>3872</v>
      </c>
      <c r="I256" t="s">
        <v>52</v>
      </c>
      <c r="J256" t="s">
        <v>60</v>
      </c>
      <c r="K256" t="s">
        <v>54</v>
      </c>
      <c r="L256" t="s">
        <v>55</v>
      </c>
      <c r="O256" t="s">
        <v>61</v>
      </c>
      <c r="P256" t="s">
        <v>62</v>
      </c>
      <c r="Q256" t="s">
        <v>3873</v>
      </c>
      <c r="R256" t="s">
        <v>3874</v>
      </c>
      <c r="S256" t="s">
        <v>2895</v>
      </c>
      <c r="T256" t="s">
        <v>2896</v>
      </c>
      <c r="U256" t="s">
        <v>2897</v>
      </c>
    </row>
    <row r="257" spans="1:21" hidden="1">
      <c r="A257" t="s">
        <v>618</v>
      </c>
      <c r="B257" t="s">
        <v>3855</v>
      </c>
      <c r="C257" t="s">
        <v>3040</v>
      </c>
      <c r="D257" t="s">
        <v>17</v>
      </c>
      <c r="E257" t="s">
        <v>2</v>
      </c>
      <c r="F257" t="s">
        <v>50</v>
      </c>
      <c r="G257" t="s">
        <v>100</v>
      </c>
      <c r="H257" t="s">
        <v>3875</v>
      </c>
      <c r="I257" t="s">
        <v>52</v>
      </c>
      <c r="J257" t="s">
        <v>114</v>
      </c>
      <c r="K257" t="s">
        <v>54</v>
      </c>
      <c r="L257" t="s">
        <v>102</v>
      </c>
      <c r="O257" t="s">
        <v>103</v>
      </c>
      <c r="P257" t="s">
        <v>104</v>
      </c>
      <c r="Q257" t="s">
        <v>3876</v>
      </c>
      <c r="R257" t="s">
        <v>3877</v>
      </c>
      <c r="S257" t="s">
        <v>2895</v>
      </c>
      <c r="T257" t="s">
        <v>2896</v>
      </c>
      <c r="U257" t="s">
        <v>2897</v>
      </c>
    </row>
    <row r="258" spans="1:21" hidden="1">
      <c r="A258" t="s">
        <v>620</v>
      </c>
      <c r="B258" t="s">
        <v>3878</v>
      </c>
      <c r="C258" t="s">
        <v>3684</v>
      </c>
      <c r="D258" t="s">
        <v>17</v>
      </c>
      <c r="E258" t="s">
        <v>2</v>
      </c>
      <c r="F258" t="s">
        <v>50</v>
      </c>
      <c r="G258" t="s">
        <v>51</v>
      </c>
      <c r="H258" t="s">
        <v>3879</v>
      </c>
      <c r="I258" t="s">
        <v>52</v>
      </c>
      <c r="J258" t="s">
        <v>121</v>
      </c>
      <c r="K258" t="s">
        <v>54</v>
      </c>
      <c r="L258" t="s">
        <v>55</v>
      </c>
      <c r="O258" t="s">
        <v>122</v>
      </c>
      <c r="P258" t="s">
        <v>123</v>
      </c>
      <c r="Q258" t="s">
        <v>3880</v>
      </c>
      <c r="R258" t="s">
        <v>3881</v>
      </c>
      <c r="S258" t="s">
        <v>2895</v>
      </c>
      <c r="T258" t="s">
        <v>2896</v>
      </c>
      <c r="U258" t="s">
        <v>2897</v>
      </c>
    </row>
    <row r="259" spans="1:21" hidden="1">
      <c r="A259" t="s">
        <v>622</v>
      </c>
      <c r="B259" t="s">
        <v>3878</v>
      </c>
      <c r="C259" t="s">
        <v>3127</v>
      </c>
      <c r="D259" t="s">
        <v>17</v>
      </c>
      <c r="E259" t="s">
        <v>2</v>
      </c>
      <c r="F259" t="s">
        <v>50</v>
      </c>
      <c r="G259" t="s">
        <v>51</v>
      </c>
      <c r="H259" t="s">
        <v>3882</v>
      </c>
      <c r="I259" t="s">
        <v>52</v>
      </c>
      <c r="J259" t="s">
        <v>81</v>
      </c>
      <c r="K259" t="s">
        <v>54</v>
      </c>
      <c r="L259" t="s">
        <v>55</v>
      </c>
      <c r="O259" t="s">
        <v>82</v>
      </c>
      <c r="P259" t="s">
        <v>83</v>
      </c>
      <c r="Q259" t="s">
        <v>3883</v>
      </c>
      <c r="R259" t="s">
        <v>3884</v>
      </c>
      <c r="S259" t="s">
        <v>2895</v>
      </c>
      <c r="T259" t="s">
        <v>2896</v>
      </c>
      <c r="U259" t="s">
        <v>2897</v>
      </c>
    </row>
    <row r="260" spans="1:21" hidden="1">
      <c r="A260" t="s">
        <v>624</v>
      </c>
      <c r="B260" t="s">
        <v>3878</v>
      </c>
      <c r="C260" t="s">
        <v>3885</v>
      </c>
      <c r="D260" t="s">
        <v>17</v>
      </c>
      <c r="E260" t="s">
        <v>2</v>
      </c>
      <c r="F260" t="s">
        <v>50</v>
      </c>
      <c r="G260" t="s">
        <v>100</v>
      </c>
      <c r="H260" t="s">
        <v>3886</v>
      </c>
      <c r="I260" t="s">
        <v>52</v>
      </c>
      <c r="J260" t="s">
        <v>114</v>
      </c>
      <c r="K260" t="s">
        <v>54</v>
      </c>
      <c r="L260" t="s">
        <v>102</v>
      </c>
      <c r="O260" t="s">
        <v>103</v>
      </c>
      <c r="P260" t="s">
        <v>104</v>
      </c>
      <c r="Q260" t="s">
        <v>3887</v>
      </c>
      <c r="R260" t="s">
        <v>3888</v>
      </c>
      <c r="S260" t="s">
        <v>2895</v>
      </c>
      <c r="T260" t="s">
        <v>2896</v>
      </c>
      <c r="U260" t="s">
        <v>2897</v>
      </c>
    </row>
    <row r="261" spans="1:21" hidden="1">
      <c r="A261" t="s">
        <v>626</v>
      </c>
      <c r="B261" t="s">
        <v>3878</v>
      </c>
      <c r="C261" t="s">
        <v>3889</v>
      </c>
      <c r="D261" t="s">
        <v>17</v>
      </c>
      <c r="E261" t="s">
        <v>2</v>
      </c>
      <c r="F261" t="s">
        <v>50</v>
      </c>
      <c r="G261" t="s">
        <v>51</v>
      </c>
      <c r="H261" t="s">
        <v>3890</v>
      </c>
      <c r="I261" t="s">
        <v>52</v>
      </c>
      <c r="J261" t="s">
        <v>60</v>
      </c>
      <c r="K261" t="s">
        <v>54</v>
      </c>
      <c r="L261" t="s">
        <v>55</v>
      </c>
      <c r="O261" t="s">
        <v>61</v>
      </c>
      <c r="P261" t="s">
        <v>62</v>
      </c>
      <c r="Q261" t="s">
        <v>3891</v>
      </c>
      <c r="R261" t="s">
        <v>3892</v>
      </c>
      <c r="S261" t="s">
        <v>2895</v>
      </c>
      <c r="T261" t="s">
        <v>2896</v>
      </c>
      <c r="U261" t="s">
        <v>2897</v>
      </c>
    </row>
    <row r="262" spans="1:21" hidden="1">
      <c r="A262" t="s">
        <v>628</v>
      </c>
      <c r="B262" t="s">
        <v>3878</v>
      </c>
      <c r="C262" t="s">
        <v>3893</v>
      </c>
      <c r="D262" t="s">
        <v>17</v>
      </c>
      <c r="E262" t="s">
        <v>2</v>
      </c>
      <c r="F262" t="s">
        <v>50</v>
      </c>
      <c r="G262" t="s">
        <v>51</v>
      </c>
      <c r="H262" t="s">
        <v>3894</v>
      </c>
      <c r="I262" t="s">
        <v>52</v>
      </c>
      <c r="J262" t="s">
        <v>60</v>
      </c>
      <c r="K262" t="s">
        <v>54</v>
      </c>
      <c r="L262" t="s">
        <v>55</v>
      </c>
      <c r="O262" t="s">
        <v>61</v>
      </c>
      <c r="P262" t="s">
        <v>62</v>
      </c>
      <c r="Q262" t="s">
        <v>3895</v>
      </c>
      <c r="R262" t="s">
        <v>3896</v>
      </c>
      <c r="S262" t="s">
        <v>2895</v>
      </c>
      <c r="T262" t="s">
        <v>2896</v>
      </c>
      <c r="U262" t="s">
        <v>2897</v>
      </c>
    </row>
    <row r="263" spans="1:21" hidden="1">
      <c r="A263" t="s">
        <v>630</v>
      </c>
      <c r="B263" t="s">
        <v>3878</v>
      </c>
      <c r="C263" t="s">
        <v>3897</v>
      </c>
      <c r="D263" t="s">
        <v>17</v>
      </c>
      <c r="E263" t="s">
        <v>2</v>
      </c>
      <c r="F263" t="s">
        <v>50</v>
      </c>
      <c r="G263" t="s">
        <v>51</v>
      </c>
      <c r="H263" t="s">
        <v>3898</v>
      </c>
      <c r="I263" t="s">
        <v>52</v>
      </c>
      <c r="J263" t="s">
        <v>81</v>
      </c>
      <c r="K263" t="s">
        <v>54</v>
      </c>
      <c r="L263" t="s">
        <v>55</v>
      </c>
      <c r="O263" t="s">
        <v>82</v>
      </c>
      <c r="P263" t="s">
        <v>83</v>
      </c>
      <c r="Q263" t="s">
        <v>3899</v>
      </c>
      <c r="R263" t="s">
        <v>3900</v>
      </c>
      <c r="S263" t="s">
        <v>2895</v>
      </c>
      <c r="T263" t="s">
        <v>2896</v>
      </c>
      <c r="U263" t="s">
        <v>2897</v>
      </c>
    </row>
    <row r="264" spans="1:21" hidden="1">
      <c r="A264" t="s">
        <v>632</v>
      </c>
      <c r="B264" t="s">
        <v>3878</v>
      </c>
      <c r="C264" t="s">
        <v>3901</v>
      </c>
      <c r="D264" t="s">
        <v>17</v>
      </c>
      <c r="E264" t="s">
        <v>2</v>
      </c>
      <c r="F264" t="s">
        <v>50</v>
      </c>
      <c r="G264" t="s">
        <v>51</v>
      </c>
      <c r="H264" t="s">
        <v>3902</v>
      </c>
      <c r="I264" t="s">
        <v>52</v>
      </c>
      <c r="J264" t="s">
        <v>81</v>
      </c>
      <c r="K264" t="s">
        <v>54</v>
      </c>
      <c r="L264" t="s">
        <v>55</v>
      </c>
      <c r="O264" t="s">
        <v>82</v>
      </c>
      <c r="P264" t="s">
        <v>83</v>
      </c>
      <c r="Q264" t="s">
        <v>3903</v>
      </c>
      <c r="R264" t="s">
        <v>3904</v>
      </c>
      <c r="S264" t="s">
        <v>2895</v>
      </c>
      <c r="T264" t="s">
        <v>2896</v>
      </c>
      <c r="U264" t="s">
        <v>2897</v>
      </c>
    </row>
    <row r="265" spans="1:21" hidden="1">
      <c r="A265" t="s">
        <v>634</v>
      </c>
      <c r="B265" t="s">
        <v>3878</v>
      </c>
      <c r="C265" t="s">
        <v>3905</v>
      </c>
      <c r="D265" t="s">
        <v>17</v>
      </c>
      <c r="E265" t="s">
        <v>2</v>
      </c>
      <c r="F265" t="s">
        <v>50</v>
      </c>
      <c r="G265" t="s">
        <v>51</v>
      </c>
      <c r="H265" t="s">
        <v>3262</v>
      </c>
      <c r="I265" t="s">
        <v>52</v>
      </c>
      <c r="J265" t="s">
        <v>53</v>
      </c>
      <c r="K265" t="s">
        <v>54</v>
      </c>
      <c r="L265" t="s">
        <v>55</v>
      </c>
      <c r="O265" t="s">
        <v>56</v>
      </c>
      <c r="P265" t="s">
        <v>57</v>
      </c>
      <c r="Q265" t="s">
        <v>3906</v>
      </c>
      <c r="R265" t="s">
        <v>3264</v>
      </c>
      <c r="S265" t="s">
        <v>2895</v>
      </c>
      <c r="T265" t="s">
        <v>2896</v>
      </c>
      <c r="U265" t="s">
        <v>2897</v>
      </c>
    </row>
    <row r="266" spans="1:21" hidden="1">
      <c r="A266" t="s">
        <v>636</v>
      </c>
      <c r="B266" t="s">
        <v>3907</v>
      </c>
      <c r="C266" t="s">
        <v>3908</v>
      </c>
      <c r="D266" t="s">
        <v>17</v>
      </c>
      <c r="E266" t="s">
        <v>2</v>
      </c>
      <c r="F266" t="s">
        <v>149</v>
      </c>
      <c r="G266" t="s">
        <v>72</v>
      </c>
      <c r="H266" t="s">
        <v>3909</v>
      </c>
      <c r="I266" t="s">
        <v>52</v>
      </c>
      <c r="J266" t="s">
        <v>638</v>
      </c>
      <c r="K266" t="s">
        <v>54</v>
      </c>
      <c r="L266" t="s">
        <v>74</v>
      </c>
      <c r="O266" t="s">
        <v>75</v>
      </c>
      <c r="P266" t="s">
        <v>76</v>
      </c>
      <c r="Q266" t="s">
        <v>3910</v>
      </c>
      <c r="R266" t="s">
        <v>3909</v>
      </c>
      <c r="S266" t="s">
        <v>2895</v>
      </c>
      <c r="T266" t="s">
        <v>2896</v>
      </c>
      <c r="U266" t="s">
        <v>2897</v>
      </c>
    </row>
    <row r="267" spans="1:21" hidden="1">
      <c r="A267" t="s">
        <v>639</v>
      </c>
      <c r="B267" t="s">
        <v>3907</v>
      </c>
      <c r="C267" t="s">
        <v>3911</v>
      </c>
      <c r="D267" t="s">
        <v>17</v>
      </c>
      <c r="E267" t="s">
        <v>2</v>
      </c>
      <c r="F267" t="s">
        <v>50</v>
      </c>
      <c r="G267" t="s">
        <v>51</v>
      </c>
      <c r="H267" t="s">
        <v>3912</v>
      </c>
      <c r="I267" t="s">
        <v>52</v>
      </c>
      <c r="J267" t="s">
        <v>81</v>
      </c>
      <c r="K267" t="s">
        <v>54</v>
      </c>
      <c r="L267" t="s">
        <v>55</v>
      </c>
      <c r="O267" t="s">
        <v>82</v>
      </c>
      <c r="P267" t="s">
        <v>83</v>
      </c>
      <c r="Q267" t="s">
        <v>3913</v>
      </c>
      <c r="R267" t="s">
        <v>3914</v>
      </c>
      <c r="S267" t="s">
        <v>2895</v>
      </c>
      <c r="T267" t="s">
        <v>2896</v>
      </c>
      <c r="U267" t="s">
        <v>2897</v>
      </c>
    </row>
    <row r="268" spans="1:21" hidden="1">
      <c r="A268" t="s">
        <v>641</v>
      </c>
      <c r="B268" t="s">
        <v>3907</v>
      </c>
      <c r="C268" t="s">
        <v>3915</v>
      </c>
      <c r="D268" t="s">
        <v>17</v>
      </c>
      <c r="E268" t="s">
        <v>2</v>
      </c>
      <c r="F268" t="s">
        <v>50</v>
      </c>
      <c r="G268" t="s">
        <v>100</v>
      </c>
      <c r="H268" t="s">
        <v>3916</v>
      </c>
      <c r="I268" t="s">
        <v>52</v>
      </c>
      <c r="J268" t="s">
        <v>114</v>
      </c>
      <c r="K268" t="s">
        <v>54</v>
      </c>
      <c r="L268" t="s">
        <v>102</v>
      </c>
      <c r="O268" t="s">
        <v>103</v>
      </c>
      <c r="P268" t="s">
        <v>104</v>
      </c>
      <c r="Q268" t="s">
        <v>3917</v>
      </c>
      <c r="R268" t="s">
        <v>3918</v>
      </c>
      <c r="S268" t="s">
        <v>2895</v>
      </c>
      <c r="T268" t="s">
        <v>2896</v>
      </c>
      <c r="U268" t="s">
        <v>2897</v>
      </c>
    </row>
    <row r="269" spans="1:21" hidden="1">
      <c r="A269" t="s">
        <v>643</v>
      </c>
      <c r="B269" t="s">
        <v>3907</v>
      </c>
      <c r="C269" t="s">
        <v>3919</v>
      </c>
      <c r="D269" t="s">
        <v>17</v>
      </c>
      <c r="E269" t="s">
        <v>2</v>
      </c>
      <c r="F269" t="s">
        <v>50</v>
      </c>
      <c r="G269" t="s">
        <v>51</v>
      </c>
      <c r="H269" t="s">
        <v>3920</v>
      </c>
      <c r="I269" t="s">
        <v>52</v>
      </c>
      <c r="J269" t="s">
        <v>53</v>
      </c>
      <c r="K269" t="s">
        <v>54</v>
      </c>
      <c r="L269" t="s">
        <v>55</v>
      </c>
      <c r="O269" t="s">
        <v>56</v>
      </c>
      <c r="P269" t="s">
        <v>57</v>
      </c>
      <c r="Q269" t="s">
        <v>3921</v>
      </c>
      <c r="R269" t="s">
        <v>3922</v>
      </c>
      <c r="S269" t="s">
        <v>2895</v>
      </c>
      <c r="T269" t="s">
        <v>2896</v>
      </c>
      <c r="U269" t="s">
        <v>2897</v>
      </c>
    </row>
    <row r="270" spans="1:21" hidden="1">
      <c r="A270" t="s">
        <v>645</v>
      </c>
      <c r="B270" t="s">
        <v>3907</v>
      </c>
      <c r="C270" t="s">
        <v>3923</v>
      </c>
      <c r="D270" t="s">
        <v>17</v>
      </c>
      <c r="E270" t="s">
        <v>2</v>
      </c>
      <c r="F270" t="s">
        <v>50</v>
      </c>
      <c r="G270" t="s">
        <v>51</v>
      </c>
      <c r="H270" t="s">
        <v>3924</v>
      </c>
      <c r="I270" t="s">
        <v>52</v>
      </c>
      <c r="J270" t="s">
        <v>81</v>
      </c>
      <c r="K270" t="s">
        <v>54</v>
      </c>
      <c r="L270" t="s">
        <v>55</v>
      </c>
      <c r="O270" t="s">
        <v>82</v>
      </c>
      <c r="P270" t="s">
        <v>83</v>
      </c>
      <c r="Q270" t="s">
        <v>3925</v>
      </c>
      <c r="R270" t="s">
        <v>3926</v>
      </c>
      <c r="S270" t="s">
        <v>2895</v>
      </c>
      <c r="T270" t="s">
        <v>2896</v>
      </c>
      <c r="U270" t="s">
        <v>2897</v>
      </c>
    </row>
    <row r="271" spans="1:21" hidden="1">
      <c r="A271" t="s">
        <v>647</v>
      </c>
      <c r="B271" t="s">
        <v>3907</v>
      </c>
      <c r="C271" t="s">
        <v>3927</v>
      </c>
      <c r="D271" t="s">
        <v>17</v>
      </c>
      <c r="E271" t="s">
        <v>2</v>
      </c>
      <c r="F271" t="s">
        <v>50</v>
      </c>
      <c r="G271" t="s">
        <v>51</v>
      </c>
      <c r="H271" t="s">
        <v>3928</v>
      </c>
      <c r="I271" t="s">
        <v>52</v>
      </c>
      <c r="J271" t="s">
        <v>53</v>
      </c>
      <c r="K271" t="s">
        <v>54</v>
      </c>
      <c r="L271" t="s">
        <v>55</v>
      </c>
      <c r="O271" t="s">
        <v>56</v>
      </c>
      <c r="P271" t="s">
        <v>57</v>
      </c>
      <c r="Q271" t="s">
        <v>3929</v>
      </c>
      <c r="R271" t="s">
        <v>3930</v>
      </c>
      <c r="S271" t="s">
        <v>2895</v>
      </c>
      <c r="T271" t="s">
        <v>2896</v>
      </c>
      <c r="U271" t="s">
        <v>2897</v>
      </c>
    </row>
    <row r="272" spans="1:21" hidden="1">
      <c r="A272" t="s">
        <v>649</v>
      </c>
      <c r="B272" t="s">
        <v>3931</v>
      </c>
      <c r="C272" t="s">
        <v>3932</v>
      </c>
      <c r="D272" t="s">
        <v>17</v>
      </c>
      <c r="E272" t="s">
        <v>2</v>
      </c>
      <c r="F272" t="s">
        <v>50</v>
      </c>
      <c r="G272" t="s">
        <v>51</v>
      </c>
      <c r="H272" t="s">
        <v>3933</v>
      </c>
      <c r="I272" t="s">
        <v>52</v>
      </c>
      <c r="J272" t="s">
        <v>121</v>
      </c>
      <c r="K272" t="s">
        <v>54</v>
      </c>
      <c r="L272" t="s">
        <v>55</v>
      </c>
      <c r="O272" t="s">
        <v>122</v>
      </c>
      <c r="P272" t="s">
        <v>123</v>
      </c>
      <c r="Q272" t="s">
        <v>3934</v>
      </c>
      <c r="R272" t="s">
        <v>3935</v>
      </c>
      <c r="S272" t="s">
        <v>2895</v>
      </c>
      <c r="T272" t="s">
        <v>2896</v>
      </c>
      <c r="U272" t="s">
        <v>2897</v>
      </c>
    </row>
    <row r="273" spans="1:21" hidden="1">
      <c r="A273" t="s">
        <v>651</v>
      </c>
      <c r="B273" t="s">
        <v>3931</v>
      </c>
      <c r="C273" t="s">
        <v>3097</v>
      </c>
      <c r="D273" t="s">
        <v>17</v>
      </c>
      <c r="E273" t="s">
        <v>2</v>
      </c>
      <c r="F273" t="s">
        <v>50</v>
      </c>
      <c r="G273" t="s">
        <v>51</v>
      </c>
      <c r="H273" t="s">
        <v>3936</v>
      </c>
      <c r="I273" t="s">
        <v>52</v>
      </c>
      <c r="J273" t="s">
        <v>126</v>
      </c>
      <c r="K273" t="s">
        <v>54</v>
      </c>
      <c r="L273" t="s">
        <v>55</v>
      </c>
      <c r="O273" t="s">
        <v>56</v>
      </c>
      <c r="P273" t="s">
        <v>57</v>
      </c>
      <c r="Q273" t="s">
        <v>3937</v>
      </c>
      <c r="R273" t="s">
        <v>3938</v>
      </c>
      <c r="S273" t="s">
        <v>2895</v>
      </c>
      <c r="T273" t="s">
        <v>2896</v>
      </c>
      <c r="U273" t="s">
        <v>2897</v>
      </c>
    </row>
    <row r="274" spans="1:21" hidden="1">
      <c r="A274" t="s">
        <v>653</v>
      </c>
      <c r="B274" t="s">
        <v>3931</v>
      </c>
      <c r="C274" t="s">
        <v>3219</v>
      </c>
      <c r="D274" t="s">
        <v>17</v>
      </c>
      <c r="E274" t="s">
        <v>2</v>
      </c>
      <c r="F274" t="s">
        <v>50</v>
      </c>
      <c r="G274" t="s">
        <v>51</v>
      </c>
      <c r="H274" t="s">
        <v>3939</v>
      </c>
      <c r="I274" t="s">
        <v>52</v>
      </c>
      <c r="J274" t="s">
        <v>81</v>
      </c>
      <c r="K274" t="s">
        <v>54</v>
      </c>
      <c r="L274" t="s">
        <v>55</v>
      </c>
      <c r="O274" t="s">
        <v>82</v>
      </c>
      <c r="P274" t="s">
        <v>83</v>
      </c>
      <c r="Q274" t="s">
        <v>3940</v>
      </c>
      <c r="R274" t="s">
        <v>3941</v>
      </c>
      <c r="S274" t="s">
        <v>2895</v>
      </c>
      <c r="T274" t="s">
        <v>2896</v>
      </c>
      <c r="U274" t="s">
        <v>2897</v>
      </c>
    </row>
    <row r="275" spans="1:21" hidden="1">
      <c r="A275" t="s">
        <v>655</v>
      </c>
      <c r="B275" t="s">
        <v>3931</v>
      </c>
      <c r="C275" t="s">
        <v>3942</v>
      </c>
      <c r="D275" t="s">
        <v>17</v>
      </c>
      <c r="E275" t="s">
        <v>2</v>
      </c>
      <c r="F275" t="s">
        <v>50</v>
      </c>
      <c r="G275" t="s">
        <v>51</v>
      </c>
      <c r="H275" t="s">
        <v>3943</v>
      </c>
      <c r="I275" t="s">
        <v>52</v>
      </c>
      <c r="J275" t="s">
        <v>60</v>
      </c>
      <c r="K275" t="s">
        <v>54</v>
      </c>
      <c r="L275" t="s">
        <v>55</v>
      </c>
      <c r="O275" t="s">
        <v>61</v>
      </c>
      <c r="P275" t="s">
        <v>62</v>
      </c>
      <c r="Q275" t="s">
        <v>3944</v>
      </c>
      <c r="R275" t="s">
        <v>3945</v>
      </c>
      <c r="S275" t="s">
        <v>2895</v>
      </c>
      <c r="T275" t="s">
        <v>2896</v>
      </c>
      <c r="U275" t="s">
        <v>2897</v>
      </c>
    </row>
    <row r="276" spans="1:21" hidden="1">
      <c r="A276" t="s">
        <v>657</v>
      </c>
      <c r="B276" t="s">
        <v>3931</v>
      </c>
      <c r="C276" t="s">
        <v>3946</v>
      </c>
      <c r="D276" t="s">
        <v>17</v>
      </c>
      <c r="E276" t="s">
        <v>2</v>
      </c>
      <c r="F276" t="s">
        <v>50</v>
      </c>
      <c r="G276" t="s">
        <v>100</v>
      </c>
      <c r="H276" t="s">
        <v>2969</v>
      </c>
      <c r="I276" t="s">
        <v>52</v>
      </c>
      <c r="J276" t="s">
        <v>101</v>
      </c>
      <c r="K276" t="s">
        <v>54</v>
      </c>
      <c r="L276" t="s">
        <v>102</v>
      </c>
      <c r="O276" t="s">
        <v>103</v>
      </c>
      <c r="P276" t="s">
        <v>104</v>
      </c>
      <c r="Q276" t="s">
        <v>3947</v>
      </c>
      <c r="R276" t="s">
        <v>2971</v>
      </c>
      <c r="S276" t="s">
        <v>2895</v>
      </c>
      <c r="T276" t="s">
        <v>2896</v>
      </c>
      <c r="U276" t="s">
        <v>2897</v>
      </c>
    </row>
    <row r="277" spans="1:21" hidden="1">
      <c r="A277" t="s">
        <v>659</v>
      </c>
      <c r="B277" t="s">
        <v>3931</v>
      </c>
      <c r="C277" t="s">
        <v>3948</v>
      </c>
      <c r="D277" t="s">
        <v>17</v>
      </c>
      <c r="E277" t="s">
        <v>2</v>
      </c>
      <c r="F277" t="s">
        <v>50</v>
      </c>
      <c r="G277" t="s">
        <v>100</v>
      </c>
      <c r="H277" t="s">
        <v>3949</v>
      </c>
      <c r="I277" t="s">
        <v>52</v>
      </c>
      <c r="J277" t="s">
        <v>177</v>
      </c>
      <c r="K277" t="s">
        <v>54</v>
      </c>
      <c r="L277" t="s">
        <v>102</v>
      </c>
      <c r="O277" t="s">
        <v>178</v>
      </c>
      <c r="P277" t="s">
        <v>179</v>
      </c>
      <c r="Q277" t="s">
        <v>3950</v>
      </c>
      <c r="R277" t="s">
        <v>3951</v>
      </c>
      <c r="S277" t="s">
        <v>2895</v>
      </c>
      <c r="T277" t="s">
        <v>2896</v>
      </c>
      <c r="U277" t="s">
        <v>2897</v>
      </c>
    </row>
    <row r="278" spans="1:21" hidden="1">
      <c r="A278" t="s">
        <v>661</v>
      </c>
      <c r="B278" t="s">
        <v>3931</v>
      </c>
      <c r="C278" t="s">
        <v>3952</v>
      </c>
      <c r="D278" t="s">
        <v>17</v>
      </c>
      <c r="E278" t="s">
        <v>2</v>
      </c>
      <c r="F278" t="s">
        <v>50</v>
      </c>
      <c r="G278" t="s">
        <v>100</v>
      </c>
      <c r="H278" t="s">
        <v>2969</v>
      </c>
      <c r="I278" t="s">
        <v>52</v>
      </c>
      <c r="J278" t="s">
        <v>101</v>
      </c>
      <c r="K278" t="s">
        <v>54</v>
      </c>
      <c r="L278" t="s">
        <v>102</v>
      </c>
      <c r="O278" t="s">
        <v>103</v>
      </c>
      <c r="P278" t="s">
        <v>104</v>
      </c>
      <c r="Q278" t="s">
        <v>3953</v>
      </c>
      <c r="R278" t="s">
        <v>2971</v>
      </c>
      <c r="S278" t="s">
        <v>2895</v>
      </c>
      <c r="T278" t="s">
        <v>2896</v>
      </c>
      <c r="U278" t="s">
        <v>2897</v>
      </c>
    </row>
    <row r="279" spans="1:21" hidden="1">
      <c r="A279" t="s">
        <v>663</v>
      </c>
      <c r="B279" t="s">
        <v>3931</v>
      </c>
      <c r="C279" t="s">
        <v>3954</v>
      </c>
      <c r="D279" t="s">
        <v>17</v>
      </c>
      <c r="E279" t="s">
        <v>2</v>
      </c>
      <c r="F279" t="s">
        <v>149</v>
      </c>
      <c r="G279" t="s">
        <v>72</v>
      </c>
      <c r="H279" t="s">
        <v>3955</v>
      </c>
      <c r="I279" t="s">
        <v>52</v>
      </c>
      <c r="J279" t="s">
        <v>638</v>
      </c>
      <c r="K279" t="s">
        <v>54</v>
      </c>
      <c r="L279" t="s">
        <v>74</v>
      </c>
      <c r="O279" t="s">
        <v>75</v>
      </c>
      <c r="P279" t="s">
        <v>76</v>
      </c>
      <c r="Q279" t="s">
        <v>3956</v>
      </c>
      <c r="R279" t="s">
        <v>3955</v>
      </c>
      <c r="S279" t="s">
        <v>2895</v>
      </c>
      <c r="T279" t="s">
        <v>2896</v>
      </c>
      <c r="U279" t="s">
        <v>2897</v>
      </c>
    </row>
    <row r="280" spans="1:21" hidden="1">
      <c r="A280" t="s">
        <v>665</v>
      </c>
      <c r="B280" t="s">
        <v>3931</v>
      </c>
      <c r="C280" t="s">
        <v>3957</v>
      </c>
      <c r="D280" t="s">
        <v>17</v>
      </c>
      <c r="E280" t="s">
        <v>2</v>
      </c>
      <c r="F280" t="s">
        <v>50</v>
      </c>
      <c r="G280" t="s">
        <v>100</v>
      </c>
      <c r="H280" t="s">
        <v>2969</v>
      </c>
      <c r="I280" t="s">
        <v>52</v>
      </c>
      <c r="J280" t="s">
        <v>101</v>
      </c>
      <c r="K280" t="s">
        <v>54</v>
      </c>
      <c r="L280" t="s">
        <v>102</v>
      </c>
      <c r="O280" t="s">
        <v>103</v>
      </c>
      <c r="P280" t="s">
        <v>104</v>
      </c>
      <c r="Q280" t="s">
        <v>3958</v>
      </c>
      <c r="R280" t="s">
        <v>2971</v>
      </c>
      <c r="S280" t="s">
        <v>2895</v>
      </c>
      <c r="T280" t="s">
        <v>2896</v>
      </c>
      <c r="U280" t="s">
        <v>2897</v>
      </c>
    </row>
    <row r="281" spans="1:21" hidden="1">
      <c r="A281" t="s">
        <v>667</v>
      </c>
      <c r="B281" t="s">
        <v>3931</v>
      </c>
      <c r="C281" t="s">
        <v>3959</v>
      </c>
      <c r="D281" t="s">
        <v>17</v>
      </c>
      <c r="E281" t="s">
        <v>2</v>
      </c>
      <c r="F281" t="s">
        <v>50</v>
      </c>
      <c r="G281" t="s">
        <v>88</v>
      </c>
      <c r="H281" t="s">
        <v>2957</v>
      </c>
      <c r="I281" t="s">
        <v>52</v>
      </c>
      <c r="J281" t="s">
        <v>89</v>
      </c>
      <c r="K281" t="s">
        <v>54</v>
      </c>
      <c r="L281" t="s">
        <v>90</v>
      </c>
      <c r="M281" t="s">
        <v>91</v>
      </c>
      <c r="N281" t="s">
        <v>12</v>
      </c>
      <c r="O281" t="s">
        <v>92</v>
      </c>
      <c r="P281" t="s">
        <v>93</v>
      </c>
      <c r="Q281" t="s">
        <v>3960</v>
      </c>
      <c r="R281" t="s">
        <v>2959</v>
      </c>
      <c r="S281" t="s">
        <v>2895</v>
      </c>
      <c r="T281" t="s">
        <v>2896</v>
      </c>
      <c r="U281" t="s">
        <v>2897</v>
      </c>
    </row>
    <row r="282" spans="1:21" hidden="1">
      <c r="A282" t="s">
        <v>669</v>
      </c>
      <c r="B282" t="s">
        <v>3931</v>
      </c>
      <c r="C282" t="s">
        <v>3396</v>
      </c>
      <c r="D282" t="s">
        <v>17</v>
      </c>
      <c r="E282" t="s">
        <v>2</v>
      </c>
      <c r="F282" t="s">
        <v>50</v>
      </c>
      <c r="G282" t="s">
        <v>51</v>
      </c>
      <c r="H282" t="s">
        <v>3961</v>
      </c>
      <c r="I282" t="s">
        <v>52</v>
      </c>
      <c r="J282" t="s">
        <v>53</v>
      </c>
      <c r="K282" t="s">
        <v>54</v>
      </c>
      <c r="L282" t="s">
        <v>55</v>
      </c>
      <c r="O282" t="s">
        <v>56</v>
      </c>
      <c r="P282" t="s">
        <v>57</v>
      </c>
      <c r="Q282" t="s">
        <v>3962</v>
      </c>
      <c r="R282" t="s">
        <v>3963</v>
      </c>
      <c r="S282" t="s">
        <v>2895</v>
      </c>
      <c r="T282" t="s">
        <v>2896</v>
      </c>
      <c r="U282" t="s">
        <v>2897</v>
      </c>
    </row>
    <row r="283" spans="1:21" hidden="1">
      <c r="A283" t="s">
        <v>671</v>
      </c>
      <c r="B283" t="s">
        <v>3964</v>
      </c>
      <c r="C283" t="s">
        <v>3965</v>
      </c>
      <c r="D283" t="s">
        <v>17</v>
      </c>
      <c r="E283" t="s">
        <v>2</v>
      </c>
      <c r="F283" t="s">
        <v>50</v>
      </c>
      <c r="G283" t="s">
        <v>51</v>
      </c>
      <c r="H283" t="s">
        <v>3966</v>
      </c>
      <c r="I283" t="s">
        <v>52</v>
      </c>
      <c r="J283" t="s">
        <v>81</v>
      </c>
      <c r="K283" t="s">
        <v>54</v>
      </c>
      <c r="L283" t="s">
        <v>55</v>
      </c>
      <c r="O283" t="s">
        <v>82</v>
      </c>
      <c r="P283" t="s">
        <v>83</v>
      </c>
      <c r="Q283" t="s">
        <v>3967</v>
      </c>
      <c r="R283" t="s">
        <v>3968</v>
      </c>
      <c r="S283" t="s">
        <v>2895</v>
      </c>
      <c r="T283" t="s">
        <v>2896</v>
      </c>
      <c r="U283" t="s">
        <v>2897</v>
      </c>
    </row>
    <row r="284" spans="1:21" hidden="1">
      <c r="A284" t="s">
        <v>673</v>
      </c>
      <c r="B284" t="s">
        <v>3964</v>
      </c>
      <c r="C284" t="s">
        <v>3969</v>
      </c>
      <c r="D284" t="s">
        <v>17</v>
      </c>
      <c r="E284" t="s">
        <v>2</v>
      </c>
      <c r="F284" t="s">
        <v>50</v>
      </c>
      <c r="G284" t="s">
        <v>88</v>
      </c>
      <c r="H284" t="s">
        <v>2957</v>
      </c>
      <c r="I284" t="s">
        <v>52</v>
      </c>
      <c r="J284" t="s">
        <v>89</v>
      </c>
      <c r="K284" t="s">
        <v>54</v>
      </c>
      <c r="L284" t="s">
        <v>90</v>
      </c>
      <c r="M284" t="s">
        <v>91</v>
      </c>
      <c r="N284" t="s">
        <v>12</v>
      </c>
      <c r="O284" t="s">
        <v>92</v>
      </c>
      <c r="P284" t="s">
        <v>93</v>
      </c>
      <c r="Q284" t="s">
        <v>3970</v>
      </c>
      <c r="R284" t="s">
        <v>2959</v>
      </c>
      <c r="S284" t="s">
        <v>2895</v>
      </c>
      <c r="T284" t="s">
        <v>2896</v>
      </c>
      <c r="U284" t="s">
        <v>2897</v>
      </c>
    </row>
    <row r="285" spans="1:21" hidden="1">
      <c r="A285" t="s">
        <v>675</v>
      </c>
      <c r="B285" t="s">
        <v>3964</v>
      </c>
      <c r="C285" t="s">
        <v>3971</v>
      </c>
      <c r="D285" t="s">
        <v>17</v>
      </c>
      <c r="E285" t="s">
        <v>2</v>
      </c>
      <c r="F285" t="s">
        <v>50</v>
      </c>
      <c r="G285" t="s">
        <v>51</v>
      </c>
      <c r="H285" t="s">
        <v>3972</v>
      </c>
      <c r="I285" t="s">
        <v>52</v>
      </c>
      <c r="J285" t="s">
        <v>121</v>
      </c>
      <c r="K285" t="s">
        <v>54</v>
      </c>
      <c r="L285" t="s">
        <v>55</v>
      </c>
      <c r="O285" t="s">
        <v>122</v>
      </c>
      <c r="P285" t="s">
        <v>123</v>
      </c>
      <c r="Q285" t="s">
        <v>3973</v>
      </c>
      <c r="R285" t="s">
        <v>3974</v>
      </c>
      <c r="S285" t="s">
        <v>2895</v>
      </c>
      <c r="T285" t="s">
        <v>2896</v>
      </c>
      <c r="U285" t="s">
        <v>2897</v>
      </c>
    </row>
    <row r="286" spans="1:21" hidden="1">
      <c r="A286" t="s">
        <v>677</v>
      </c>
      <c r="B286" t="s">
        <v>3964</v>
      </c>
      <c r="C286" t="s">
        <v>3975</v>
      </c>
      <c r="D286" t="s">
        <v>17</v>
      </c>
      <c r="E286" t="s">
        <v>2</v>
      </c>
      <c r="F286" t="s">
        <v>50</v>
      </c>
      <c r="G286" t="s">
        <v>51</v>
      </c>
      <c r="H286" t="s">
        <v>3976</v>
      </c>
      <c r="I286" t="s">
        <v>52</v>
      </c>
      <c r="J286" t="s">
        <v>121</v>
      </c>
      <c r="K286" t="s">
        <v>54</v>
      </c>
      <c r="L286" t="s">
        <v>55</v>
      </c>
      <c r="O286" t="s">
        <v>122</v>
      </c>
      <c r="P286" t="s">
        <v>123</v>
      </c>
      <c r="Q286" t="s">
        <v>3977</v>
      </c>
      <c r="R286" t="s">
        <v>3978</v>
      </c>
      <c r="S286" t="s">
        <v>2895</v>
      </c>
      <c r="T286" t="s">
        <v>2896</v>
      </c>
      <c r="U286" t="s">
        <v>2897</v>
      </c>
    </row>
    <row r="287" spans="1:21" hidden="1">
      <c r="A287" t="s">
        <v>679</v>
      </c>
      <c r="B287" t="s">
        <v>3964</v>
      </c>
      <c r="C287" t="s">
        <v>3979</v>
      </c>
      <c r="D287" t="s">
        <v>17</v>
      </c>
      <c r="E287" t="s">
        <v>2</v>
      </c>
      <c r="F287" t="s">
        <v>50</v>
      </c>
      <c r="G287" t="s">
        <v>100</v>
      </c>
      <c r="H287" t="s">
        <v>2969</v>
      </c>
      <c r="I287" t="s">
        <v>52</v>
      </c>
      <c r="J287" t="s">
        <v>101</v>
      </c>
      <c r="K287" t="s">
        <v>54</v>
      </c>
      <c r="L287" t="s">
        <v>102</v>
      </c>
      <c r="O287" t="s">
        <v>103</v>
      </c>
      <c r="P287" t="s">
        <v>104</v>
      </c>
      <c r="Q287" t="s">
        <v>3980</v>
      </c>
      <c r="R287" t="s">
        <v>2971</v>
      </c>
      <c r="S287" t="s">
        <v>2895</v>
      </c>
      <c r="T287" t="s">
        <v>2896</v>
      </c>
      <c r="U287" t="s">
        <v>2897</v>
      </c>
    </row>
    <row r="288" spans="1:21" hidden="1">
      <c r="A288" t="s">
        <v>681</v>
      </c>
      <c r="B288" t="s">
        <v>3964</v>
      </c>
      <c r="C288" t="s">
        <v>3981</v>
      </c>
      <c r="D288" t="s">
        <v>17</v>
      </c>
      <c r="E288" t="s">
        <v>2</v>
      </c>
      <c r="F288" t="s">
        <v>50</v>
      </c>
      <c r="G288" t="s">
        <v>100</v>
      </c>
      <c r="H288" t="s">
        <v>2969</v>
      </c>
      <c r="I288" t="s">
        <v>52</v>
      </c>
      <c r="J288" t="s">
        <v>101</v>
      </c>
      <c r="K288" t="s">
        <v>54</v>
      </c>
      <c r="L288" t="s">
        <v>102</v>
      </c>
      <c r="O288" t="s">
        <v>103</v>
      </c>
      <c r="P288" t="s">
        <v>104</v>
      </c>
      <c r="Q288" t="s">
        <v>3982</v>
      </c>
      <c r="R288" t="s">
        <v>2971</v>
      </c>
      <c r="S288" t="s">
        <v>2895</v>
      </c>
      <c r="T288" t="s">
        <v>2896</v>
      </c>
      <c r="U288" t="s">
        <v>2897</v>
      </c>
    </row>
    <row r="289" spans="1:21" hidden="1">
      <c r="A289" t="s">
        <v>683</v>
      </c>
      <c r="B289" t="s">
        <v>3964</v>
      </c>
      <c r="C289" t="s">
        <v>3983</v>
      </c>
      <c r="D289" t="s">
        <v>17</v>
      </c>
      <c r="E289" t="s">
        <v>2</v>
      </c>
      <c r="F289" t="s">
        <v>50</v>
      </c>
      <c r="G289" t="s">
        <v>51</v>
      </c>
      <c r="H289" t="s">
        <v>3984</v>
      </c>
      <c r="I289" t="s">
        <v>52</v>
      </c>
      <c r="J289" t="s">
        <v>60</v>
      </c>
      <c r="K289" t="s">
        <v>54</v>
      </c>
      <c r="L289" t="s">
        <v>55</v>
      </c>
      <c r="O289" t="s">
        <v>61</v>
      </c>
      <c r="P289" t="s">
        <v>62</v>
      </c>
      <c r="Q289" t="s">
        <v>3985</v>
      </c>
      <c r="R289" t="s">
        <v>3986</v>
      </c>
      <c r="S289" t="s">
        <v>2895</v>
      </c>
      <c r="T289" t="s">
        <v>2896</v>
      </c>
      <c r="U289" t="s">
        <v>2897</v>
      </c>
    </row>
    <row r="290" spans="1:21" hidden="1">
      <c r="A290" t="s">
        <v>685</v>
      </c>
      <c r="B290" t="s">
        <v>3964</v>
      </c>
      <c r="C290" t="s">
        <v>3987</v>
      </c>
      <c r="D290" t="s">
        <v>17</v>
      </c>
      <c r="E290" t="s">
        <v>2</v>
      </c>
      <c r="F290" t="s">
        <v>50</v>
      </c>
      <c r="G290" t="s">
        <v>51</v>
      </c>
      <c r="H290" t="s">
        <v>3988</v>
      </c>
      <c r="I290" t="s">
        <v>52</v>
      </c>
      <c r="J290" t="s">
        <v>121</v>
      </c>
      <c r="K290" t="s">
        <v>54</v>
      </c>
      <c r="L290" t="s">
        <v>55</v>
      </c>
      <c r="O290" t="s">
        <v>122</v>
      </c>
      <c r="P290" t="s">
        <v>123</v>
      </c>
      <c r="Q290" t="s">
        <v>3989</v>
      </c>
      <c r="R290" t="s">
        <v>3990</v>
      </c>
      <c r="S290" t="s">
        <v>2895</v>
      </c>
      <c r="T290" t="s">
        <v>2896</v>
      </c>
      <c r="U290" t="s">
        <v>2897</v>
      </c>
    </row>
    <row r="291" spans="1:21" hidden="1">
      <c r="A291" t="s">
        <v>687</v>
      </c>
      <c r="B291" t="s">
        <v>3964</v>
      </c>
      <c r="C291" t="s">
        <v>3991</v>
      </c>
      <c r="D291" t="s">
        <v>17</v>
      </c>
      <c r="E291" t="s">
        <v>2</v>
      </c>
      <c r="F291" t="s">
        <v>50</v>
      </c>
      <c r="G291" t="s">
        <v>100</v>
      </c>
      <c r="H291" t="s">
        <v>3992</v>
      </c>
      <c r="I291" t="s">
        <v>52</v>
      </c>
      <c r="J291" t="s">
        <v>114</v>
      </c>
      <c r="K291" t="s">
        <v>54</v>
      </c>
      <c r="L291" t="s">
        <v>102</v>
      </c>
      <c r="O291" t="s">
        <v>103</v>
      </c>
      <c r="P291" t="s">
        <v>104</v>
      </c>
      <c r="Q291" t="s">
        <v>3993</v>
      </c>
      <c r="R291" t="s">
        <v>3994</v>
      </c>
      <c r="S291" t="s">
        <v>2895</v>
      </c>
      <c r="T291" t="s">
        <v>2896</v>
      </c>
      <c r="U291" t="s">
        <v>2897</v>
      </c>
    </row>
    <row r="292" spans="1:21" hidden="1">
      <c r="A292" t="s">
        <v>689</v>
      </c>
      <c r="B292" t="s">
        <v>3995</v>
      </c>
      <c r="C292" t="s">
        <v>3423</v>
      </c>
      <c r="D292" t="s">
        <v>17</v>
      </c>
      <c r="E292" t="s">
        <v>2</v>
      </c>
      <c r="F292" t="s">
        <v>50</v>
      </c>
      <c r="G292" t="s">
        <v>51</v>
      </c>
      <c r="H292" t="s">
        <v>3996</v>
      </c>
      <c r="I292" t="s">
        <v>52</v>
      </c>
      <c r="J292" t="s">
        <v>53</v>
      </c>
      <c r="K292" t="s">
        <v>54</v>
      </c>
      <c r="L292" t="s">
        <v>55</v>
      </c>
      <c r="O292" t="s">
        <v>56</v>
      </c>
      <c r="P292" t="s">
        <v>57</v>
      </c>
      <c r="Q292" t="s">
        <v>3997</v>
      </c>
      <c r="R292" t="s">
        <v>3998</v>
      </c>
      <c r="S292" t="s">
        <v>2895</v>
      </c>
      <c r="T292" t="s">
        <v>2896</v>
      </c>
      <c r="U292" t="s">
        <v>2897</v>
      </c>
    </row>
    <row r="293" spans="1:21" hidden="1">
      <c r="A293" t="s">
        <v>691</v>
      </c>
      <c r="B293" t="s">
        <v>3995</v>
      </c>
      <c r="C293" t="s">
        <v>3380</v>
      </c>
      <c r="D293" t="s">
        <v>17</v>
      </c>
      <c r="E293" t="s">
        <v>2</v>
      </c>
      <c r="F293" t="s">
        <v>50</v>
      </c>
      <c r="G293" t="s">
        <v>51</v>
      </c>
      <c r="H293" t="s">
        <v>3999</v>
      </c>
      <c r="I293" t="s">
        <v>52</v>
      </c>
      <c r="J293" t="s">
        <v>81</v>
      </c>
      <c r="K293" t="s">
        <v>54</v>
      </c>
      <c r="L293" t="s">
        <v>55</v>
      </c>
      <c r="O293" t="s">
        <v>82</v>
      </c>
      <c r="P293" t="s">
        <v>83</v>
      </c>
      <c r="Q293" t="s">
        <v>4000</v>
      </c>
      <c r="R293" t="s">
        <v>4001</v>
      </c>
      <c r="S293" t="s">
        <v>2895</v>
      </c>
      <c r="T293" t="s">
        <v>2896</v>
      </c>
      <c r="U293" t="s">
        <v>2897</v>
      </c>
    </row>
    <row r="294" spans="1:21" hidden="1">
      <c r="A294" t="s">
        <v>693</v>
      </c>
      <c r="B294" t="s">
        <v>3995</v>
      </c>
      <c r="C294" t="s">
        <v>2989</v>
      </c>
      <c r="D294" t="s">
        <v>17</v>
      </c>
      <c r="E294" t="s">
        <v>2</v>
      </c>
      <c r="F294" t="s">
        <v>50</v>
      </c>
      <c r="G294" t="s">
        <v>51</v>
      </c>
      <c r="H294" t="s">
        <v>4002</v>
      </c>
      <c r="I294" t="s">
        <v>52</v>
      </c>
      <c r="J294" t="s">
        <v>81</v>
      </c>
      <c r="K294" t="s">
        <v>54</v>
      </c>
      <c r="L294" t="s">
        <v>55</v>
      </c>
      <c r="O294" t="s">
        <v>82</v>
      </c>
      <c r="P294" t="s">
        <v>83</v>
      </c>
      <c r="Q294" t="s">
        <v>4003</v>
      </c>
      <c r="R294" t="s">
        <v>4004</v>
      </c>
      <c r="S294" t="s">
        <v>2895</v>
      </c>
      <c r="T294" t="s">
        <v>2896</v>
      </c>
      <c r="U294" t="s">
        <v>2897</v>
      </c>
    </row>
    <row r="295" spans="1:21" hidden="1">
      <c r="A295" t="s">
        <v>695</v>
      </c>
      <c r="B295" t="s">
        <v>3995</v>
      </c>
      <c r="C295" t="s">
        <v>3403</v>
      </c>
      <c r="D295" t="s">
        <v>17</v>
      </c>
      <c r="E295" t="s">
        <v>2</v>
      </c>
      <c r="F295" t="s">
        <v>50</v>
      </c>
      <c r="G295" t="s">
        <v>51</v>
      </c>
      <c r="H295" t="s">
        <v>4005</v>
      </c>
      <c r="I295" t="s">
        <v>52</v>
      </c>
      <c r="J295" t="s">
        <v>126</v>
      </c>
      <c r="K295" t="s">
        <v>54</v>
      </c>
      <c r="L295" t="s">
        <v>55</v>
      </c>
      <c r="O295" t="s">
        <v>56</v>
      </c>
      <c r="P295" t="s">
        <v>57</v>
      </c>
      <c r="Q295" t="s">
        <v>4006</v>
      </c>
      <c r="R295" t="s">
        <v>4007</v>
      </c>
      <c r="S295" t="s">
        <v>2895</v>
      </c>
      <c r="T295" t="s">
        <v>2896</v>
      </c>
      <c r="U295" t="s">
        <v>2897</v>
      </c>
    </row>
    <row r="296" spans="1:21" hidden="1">
      <c r="A296" t="s">
        <v>697</v>
      </c>
      <c r="B296" t="s">
        <v>3995</v>
      </c>
      <c r="C296" t="s">
        <v>4008</v>
      </c>
      <c r="D296" t="s">
        <v>17</v>
      </c>
      <c r="E296" t="s">
        <v>2</v>
      </c>
      <c r="F296" t="s">
        <v>50</v>
      </c>
      <c r="G296" t="s">
        <v>72</v>
      </c>
      <c r="H296" t="s">
        <v>4009</v>
      </c>
      <c r="I296" t="s">
        <v>52</v>
      </c>
      <c r="J296" t="s">
        <v>73</v>
      </c>
      <c r="K296" t="s">
        <v>54</v>
      </c>
      <c r="L296" t="s">
        <v>74</v>
      </c>
      <c r="O296" t="s">
        <v>75</v>
      </c>
      <c r="P296" t="s">
        <v>76</v>
      </c>
      <c r="Q296" t="s">
        <v>4010</v>
      </c>
      <c r="R296" t="s">
        <v>4011</v>
      </c>
      <c r="S296" t="s">
        <v>2895</v>
      </c>
      <c r="T296" t="s">
        <v>2896</v>
      </c>
      <c r="U296" t="s">
        <v>2897</v>
      </c>
    </row>
    <row r="297" spans="1:21" hidden="1">
      <c r="A297" t="s">
        <v>699</v>
      </c>
      <c r="B297" t="s">
        <v>3995</v>
      </c>
      <c r="C297" t="s">
        <v>3640</v>
      </c>
      <c r="D297" t="s">
        <v>17</v>
      </c>
      <c r="E297" t="s">
        <v>2</v>
      </c>
      <c r="F297" t="s">
        <v>50</v>
      </c>
      <c r="G297" t="s">
        <v>100</v>
      </c>
      <c r="H297" t="s">
        <v>2969</v>
      </c>
      <c r="I297" t="s">
        <v>52</v>
      </c>
      <c r="J297" t="s">
        <v>101</v>
      </c>
      <c r="K297" t="s">
        <v>54</v>
      </c>
      <c r="L297" t="s">
        <v>102</v>
      </c>
      <c r="O297" t="s">
        <v>103</v>
      </c>
      <c r="P297" t="s">
        <v>104</v>
      </c>
      <c r="Q297" t="s">
        <v>4012</v>
      </c>
      <c r="R297" t="s">
        <v>2971</v>
      </c>
      <c r="S297" t="s">
        <v>2895</v>
      </c>
      <c r="T297" t="s">
        <v>2896</v>
      </c>
      <c r="U297" t="s">
        <v>2897</v>
      </c>
    </row>
    <row r="298" spans="1:21" hidden="1">
      <c r="A298" t="s">
        <v>701</v>
      </c>
      <c r="B298" t="s">
        <v>3995</v>
      </c>
      <c r="C298" t="s">
        <v>4013</v>
      </c>
      <c r="D298" t="s">
        <v>17</v>
      </c>
      <c r="E298" t="s">
        <v>2</v>
      </c>
      <c r="F298" t="s">
        <v>50</v>
      </c>
      <c r="G298" t="s">
        <v>51</v>
      </c>
      <c r="H298" t="s">
        <v>4014</v>
      </c>
      <c r="I298" t="s">
        <v>52</v>
      </c>
      <c r="J298" t="s">
        <v>60</v>
      </c>
      <c r="K298" t="s">
        <v>54</v>
      </c>
      <c r="L298" t="s">
        <v>55</v>
      </c>
      <c r="O298" t="s">
        <v>61</v>
      </c>
      <c r="P298" t="s">
        <v>62</v>
      </c>
      <c r="Q298" t="s">
        <v>4015</v>
      </c>
      <c r="R298" t="s">
        <v>4016</v>
      </c>
      <c r="S298" t="s">
        <v>2895</v>
      </c>
      <c r="T298" t="s">
        <v>2896</v>
      </c>
      <c r="U298" t="s">
        <v>2897</v>
      </c>
    </row>
    <row r="299" spans="1:21" hidden="1">
      <c r="A299" t="s">
        <v>703</v>
      </c>
      <c r="B299" t="s">
        <v>4017</v>
      </c>
      <c r="C299" t="s">
        <v>4018</v>
      </c>
      <c r="D299" t="s">
        <v>17</v>
      </c>
      <c r="E299" t="s">
        <v>2</v>
      </c>
      <c r="F299" t="s">
        <v>50</v>
      </c>
      <c r="G299" t="s">
        <v>100</v>
      </c>
      <c r="H299" t="s">
        <v>4019</v>
      </c>
      <c r="I299" t="s">
        <v>52</v>
      </c>
      <c r="J299" t="s">
        <v>114</v>
      </c>
      <c r="K299" t="s">
        <v>54</v>
      </c>
      <c r="L299" t="s">
        <v>102</v>
      </c>
      <c r="O299" t="s">
        <v>103</v>
      </c>
      <c r="P299" t="s">
        <v>104</v>
      </c>
      <c r="Q299" t="s">
        <v>4020</v>
      </c>
      <c r="R299" t="s">
        <v>4021</v>
      </c>
      <c r="S299" t="s">
        <v>2895</v>
      </c>
      <c r="T299" t="s">
        <v>2896</v>
      </c>
      <c r="U299" t="s">
        <v>2897</v>
      </c>
    </row>
    <row r="300" spans="1:21" hidden="1">
      <c r="A300" t="s">
        <v>705</v>
      </c>
      <c r="B300" t="s">
        <v>4017</v>
      </c>
      <c r="C300" t="s">
        <v>4022</v>
      </c>
      <c r="D300" t="s">
        <v>17</v>
      </c>
      <c r="E300" t="s">
        <v>2</v>
      </c>
      <c r="F300" t="s">
        <v>50</v>
      </c>
      <c r="G300" t="s">
        <v>100</v>
      </c>
      <c r="H300" t="s">
        <v>4023</v>
      </c>
      <c r="I300" t="s">
        <v>52</v>
      </c>
      <c r="J300" t="s">
        <v>114</v>
      </c>
      <c r="K300" t="s">
        <v>54</v>
      </c>
      <c r="L300" t="s">
        <v>102</v>
      </c>
      <c r="O300" t="s">
        <v>103</v>
      </c>
      <c r="P300" t="s">
        <v>104</v>
      </c>
      <c r="Q300" t="s">
        <v>4024</v>
      </c>
      <c r="R300" t="s">
        <v>4025</v>
      </c>
      <c r="S300" t="s">
        <v>2895</v>
      </c>
      <c r="T300" t="s">
        <v>2896</v>
      </c>
      <c r="U300" t="s">
        <v>2897</v>
      </c>
    </row>
    <row r="301" spans="1:21" hidden="1">
      <c r="A301" t="s">
        <v>707</v>
      </c>
      <c r="B301" t="s">
        <v>4017</v>
      </c>
      <c r="C301" t="s">
        <v>4026</v>
      </c>
      <c r="D301" t="s">
        <v>17</v>
      </c>
      <c r="E301" t="s">
        <v>2</v>
      </c>
      <c r="F301" t="s">
        <v>50</v>
      </c>
      <c r="G301" t="s">
        <v>88</v>
      </c>
      <c r="H301" t="s">
        <v>2957</v>
      </c>
      <c r="I301" t="s">
        <v>52</v>
      </c>
      <c r="J301" t="s">
        <v>89</v>
      </c>
      <c r="K301" t="s">
        <v>54</v>
      </c>
      <c r="L301" t="s">
        <v>90</v>
      </c>
      <c r="M301" t="s">
        <v>91</v>
      </c>
      <c r="N301" t="s">
        <v>12</v>
      </c>
      <c r="O301" t="s">
        <v>92</v>
      </c>
      <c r="P301" t="s">
        <v>93</v>
      </c>
      <c r="Q301" t="s">
        <v>4027</v>
      </c>
      <c r="R301" t="s">
        <v>2959</v>
      </c>
      <c r="S301" t="s">
        <v>2895</v>
      </c>
      <c r="T301" t="s">
        <v>2896</v>
      </c>
      <c r="U301" t="s">
        <v>2897</v>
      </c>
    </row>
    <row r="302" spans="1:21" hidden="1">
      <c r="A302" t="s">
        <v>709</v>
      </c>
      <c r="B302" t="s">
        <v>4017</v>
      </c>
      <c r="C302" t="s">
        <v>4028</v>
      </c>
      <c r="D302" t="s">
        <v>17</v>
      </c>
      <c r="E302" t="s">
        <v>2</v>
      </c>
      <c r="F302" t="s">
        <v>149</v>
      </c>
      <c r="G302" t="s">
        <v>72</v>
      </c>
      <c r="H302" t="s">
        <v>4029</v>
      </c>
      <c r="I302" t="s">
        <v>52</v>
      </c>
      <c r="J302" t="s">
        <v>233</v>
      </c>
      <c r="K302" t="s">
        <v>54</v>
      </c>
      <c r="L302" t="s">
        <v>74</v>
      </c>
      <c r="O302" t="s">
        <v>75</v>
      </c>
      <c r="P302" t="s">
        <v>76</v>
      </c>
      <c r="Q302" t="s">
        <v>4030</v>
      </c>
      <c r="R302" t="s">
        <v>4029</v>
      </c>
      <c r="S302" t="s">
        <v>2895</v>
      </c>
      <c r="T302" t="s">
        <v>2896</v>
      </c>
      <c r="U302" t="s">
        <v>2897</v>
      </c>
    </row>
    <row r="303" spans="1:21" hidden="1">
      <c r="A303" t="s">
        <v>711</v>
      </c>
      <c r="B303" t="s">
        <v>4017</v>
      </c>
      <c r="C303" t="s">
        <v>4031</v>
      </c>
      <c r="D303" t="s">
        <v>17</v>
      </c>
      <c r="E303" t="s">
        <v>2</v>
      </c>
      <c r="F303" t="s">
        <v>50</v>
      </c>
      <c r="G303" t="s">
        <v>51</v>
      </c>
      <c r="H303" t="s">
        <v>4032</v>
      </c>
      <c r="I303" t="s">
        <v>52</v>
      </c>
      <c r="J303" t="s">
        <v>65</v>
      </c>
      <c r="K303" t="s">
        <v>54</v>
      </c>
      <c r="L303" t="s">
        <v>55</v>
      </c>
      <c r="O303" t="s">
        <v>66</v>
      </c>
      <c r="P303" t="s">
        <v>67</v>
      </c>
      <c r="Q303" t="s">
        <v>4033</v>
      </c>
      <c r="R303" t="s">
        <v>4034</v>
      </c>
      <c r="S303" t="s">
        <v>2895</v>
      </c>
      <c r="T303" t="s">
        <v>2896</v>
      </c>
      <c r="U303" t="s">
        <v>2897</v>
      </c>
    </row>
    <row r="304" spans="1:21" hidden="1">
      <c r="A304" t="s">
        <v>713</v>
      </c>
      <c r="B304" t="s">
        <v>4017</v>
      </c>
      <c r="C304" t="s">
        <v>4035</v>
      </c>
      <c r="D304" t="s">
        <v>17</v>
      </c>
      <c r="E304" t="s">
        <v>2</v>
      </c>
      <c r="F304" t="s">
        <v>50</v>
      </c>
      <c r="G304" t="s">
        <v>51</v>
      </c>
      <c r="H304" t="s">
        <v>4036</v>
      </c>
      <c r="I304" t="s">
        <v>52</v>
      </c>
      <c r="J304" t="s">
        <v>196</v>
      </c>
      <c r="K304" t="s">
        <v>54</v>
      </c>
      <c r="L304" t="s">
        <v>55</v>
      </c>
      <c r="O304" t="s">
        <v>197</v>
      </c>
      <c r="P304" t="s">
        <v>198</v>
      </c>
      <c r="Q304" t="s">
        <v>4037</v>
      </c>
      <c r="R304" t="s">
        <v>4038</v>
      </c>
      <c r="S304" t="s">
        <v>2895</v>
      </c>
      <c r="T304" t="s">
        <v>2896</v>
      </c>
      <c r="U304" t="s">
        <v>2897</v>
      </c>
    </row>
    <row r="305" spans="1:21" hidden="1">
      <c r="A305" t="s">
        <v>715</v>
      </c>
      <c r="B305" t="s">
        <v>4017</v>
      </c>
      <c r="C305" t="s">
        <v>4039</v>
      </c>
      <c r="D305" t="s">
        <v>17</v>
      </c>
      <c r="E305" t="s">
        <v>2</v>
      </c>
      <c r="F305" t="s">
        <v>50</v>
      </c>
      <c r="G305" t="s">
        <v>100</v>
      </c>
      <c r="H305" t="s">
        <v>2969</v>
      </c>
      <c r="I305" t="s">
        <v>52</v>
      </c>
      <c r="J305" t="s">
        <v>101</v>
      </c>
      <c r="K305" t="s">
        <v>54</v>
      </c>
      <c r="L305" t="s">
        <v>102</v>
      </c>
      <c r="O305" t="s">
        <v>103</v>
      </c>
      <c r="P305" t="s">
        <v>104</v>
      </c>
      <c r="Q305" t="s">
        <v>4040</v>
      </c>
      <c r="R305" t="s">
        <v>2971</v>
      </c>
      <c r="S305" t="s">
        <v>2895</v>
      </c>
      <c r="T305" t="s">
        <v>2896</v>
      </c>
      <c r="U305" t="s">
        <v>2897</v>
      </c>
    </row>
    <row r="306" spans="1:21" hidden="1">
      <c r="A306" t="s">
        <v>717</v>
      </c>
      <c r="B306" t="s">
        <v>4041</v>
      </c>
      <c r="C306" t="s">
        <v>4042</v>
      </c>
      <c r="D306" t="s">
        <v>17</v>
      </c>
      <c r="E306" t="s">
        <v>2</v>
      </c>
      <c r="F306" t="s">
        <v>50</v>
      </c>
      <c r="G306" t="s">
        <v>51</v>
      </c>
      <c r="H306" t="s">
        <v>4043</v>
      </c>
      <c r="I306" t="s">
        <v>52</v>
      </c>
      <c r="J306" t="s">
        <v>126</v>
      </c>
      <c r="K306" t="s">
        <v>54</v>
      </c>
      <c r="L306" t="s">
        <v>55</v>
      </c>
      <c r="O306" t="s">
        <v>56</v>
      </c>
      <c r="P306" t="s">
        <v>57</v>
      </c>
      <c r="Q306" t="s">
        <v>4044</v>
      </c>
      <c r="R306" t="s">
        <v>4045</v>
      </c>
      <c r="S306" t="s">
        <v>2895</v>
      </c>
      <c r="T306" t="s">
        <v>2896</v>
      </c>
      <c r="U306" t="s">
        <v>2897</v>
      </c>
    </row>
    <row r="307" spans="1:21" hidden="1">
      <c r="A307" t="s">
        <v>719</v>
      </c>
      <c r="B307" t="s">
        <v>4041</v>
      </c>
      <c r="C307" t="s">
        <v>4046</v>
      </c>
      <c r="D307" t="s">
        <v>17</v>
      </c>
      <c r="E307" t="s">
        <v>2</v>
      </c>
      <c r="F307" t="s">
        <v>50</v>
      </c>
      <c r="G307" t="s">
        <v>100</v>
      </c>
      <c r="H307" t="s">
        <v>4047</v>
      </c>
      <c r="I307" t="s">
        <v>52</v>
      </c>
      <c r="J307" t="s">
        <v>114</v>
      </c>
      <c r="K307" t="s">
        <v>54</v>
      </c>
      <c r="L307" t="s">
        <v>102</v>
      </c>
      <c r="O307" t="s">
        <v>103</v>
      </c>
      <c r="P307" t="s">
        <v>104</v>
      </c>
      <c r="Q307" t="s">
        <v>4048</v>
      </c>
      <c r="R307" t="s">
        <v>4049</v>
      </c>
      <c r="S307" t="s">
        <v>2895</v>
      </c>
      <c r="T307" t="s">
        <v>2896</v>
      </c>
      <c r="U307" t="s">
        <v>2897</v>
      </c>
    </row>
    <row r="308" spans="1:21" hidden="1">
      <c r="A308" t="s">
        <v>721</v>
      </c>
      <c r="B308" t="s">
        <v>4041</v>
      </c>
      <c r="C308" t="s">
        <v>4050</v>
      </c>
      <c r="D308" t="s">
        <v>17</v>
      </c>
      <c r="E308" t="s">
        <v>2</v>
      </c>
      <c r="F308" t="s">
        <v>50</v>
      </c>
      <c r="G308" t="s">
        <v>51</v>
      </c>
      <c r="H308" t="s">
        <v>4051</v>
      </c>
      <c r="I308" t="s">
        <v>52</v>
      </c>
      <c r="J308" t="s">
        <v>53</v>
      </c>
      <c r="K308" t="s">
        <v>54</v>
      </c>
      <c r="L308" t="s">
        <v>55</v>
      </c>
      <c r="O308" t="s">
        <v>56</v>
      </c>
      <c r="P308" t="s">
        <v>57</v>
      </c>
      <c r="Q308" t="s">
        <v>4052</v>
      </c>
      <c r="R308" t="s">
        <v>4053</v>
      </c>
      <c r="S308" t="s">
        <v>2895</v>
      </c>
      <c r="T308" t="s">
        <v>2896</v>
      </c>
      <c r="U308" t="s">
        <v>2897</v>
      </c>
    </row>
    <row r="309" spans="1:21" hidden="1">
      <c r="A309" t="s">
        <v>723</v>
      </c>
      <c r="B309" t="s">
        <v>4041</v>
      </c>
      <c r="C309" t="s">
        <v>4054</v>
      </c>
      <c r="D309" t="s">
        <v>17</v>
      </c>
      <c r="E309" t="s">
        <v>2</v>
      </c>
      <c r="F309" t="s">
        <v>50</v>
      </c>
      <c r="G309" t="s">
        <v>51</v>
      </c>
      <c r="H309" t="s">
        <v>4055</v>
      </c>
      <c r="I309" t="s">
        <v>52</v>
      </c>
      <c r="J309" t="s">
        <v>60</v>
      </c>
      <c r="K309" t="s">
        <v>54</v>
      </c>
      <c r="L309" t="s">
        <v>55</v>
      </c>
      <c r="O309" t="s">
        <v>61</v>
      </c>
      <c r="P309" t="s">
        <v>62</v>
      </c>
      <c r="Q309" t="s">
        <v>4056</v>
      </c>
      <c r="R309" t="s">
        <v>4057</v>
      </c>
      <c r="S309" t="s">
        <v>2895</v>
      </c>
      <c r="T309" t="s">
        <v>2896</v>
      </c>
      <c r="U309" t="s">
        <v>2897</v>
      </c>
    </row>
    <row r="310" spans="1:21" hidden="1">
      <c r="A310" t="s">
        <v>725</v>
      </c>
      <c r="B310" t="s">
        <v>4041</v>
      </c>
      <c r="C310" t="s">
        <v>4058</v>
      </c>
      <c r="D310" t="s">
        <v>17</v>
      </c>
      <c r="E310" t="s">
        <v>2</v>
      </c>
      <c r="F310" t="s">
        <v>50</v>
      </c>
      <c r="G310" t="s">
        <v>51</v>
      </c>
      <c r="H310" t="s">
        <v>4059</v>
      </c>
      <c r="I310" t="s">
        <v>52</v>
      </c>
      <c r="J310" t="s">
        <v>81</v>
      </c>
      <c r="K310" t="s">
        <v>54</v>
      </c>
      <c r="L310" t="s">
        <v>55</v>
      </c>
      <c r="O310" t="s">
        <v>82</v>
      </c>
      <c r="P310" t="s">
        <v>83</v>
      </c>
      <c r="Q310" t="s">
        <v>4060</v>
      </c>
      <c r="R310" t="s">
        <v>4061</v>
      </c>
      <c r="S310" t="s">
        <v>2895</v>
      </c>
      <c r="T310" t="s">
        <v>2896</v>
      </c>
      <c r="U310" t="s">
        <v>2897</v>
      </c>
    </row>
    <row r="311" spans="1:21" hidden="1">
      <c r="A311" t="s">
        <v>727</v>
      </c>
      <c r="B311" t="s">
        <v>4062</v>
      </c>
      <c r="C311" t="s">
        <v>4063</v>
      </c>
      <c r="D311" t="s">
        <v>17</v>
      </c>
      <c r="E311" t="s">
        <v>2</v>
      </c>
      <c r="F311" t="s">
        <v>50</v>
      </c>
      <c r="G311" t="s">
        <v>51</v>
      </c>
      <c r="H311" t="s">
        <v>4064</v>
      </c>
      <c r="I311" t="s">
        <v>52</v>
      </c>
      <c r="J311" t="s">
        <v>53</v>
      </c>
      <c r="K311" t="s">
        <v>54</v>
      </c>
      <c r="L311" t="s">
        <v>55</v>
      </c>
      <c r="O311" t="s">
        <v>56</v>
      </c>
      <c r="P311" t="s">
        <v>57</v>
      </c>
      <c r="Q311" t="s">
        <v>4065</v>
      </c>
      <c r="R311" t="s">
        <v>4066</v>
      </c>
      <c r="S311" t="s">
        <v>2895</v>
      </c>
      <c r="T311" t="s">
        <v>2896</v>
      </c>
      <c r="U311" t="s">
        <v>2897</v>
      </c>
    </row>
    <row r="312" spans="1:21" hidden="1">
      <c r="A312" t="s">
        <v>729</v>
      </c>
      <c r="B312" t="s">
        <v>4062</v>
      </c>
      <c r="C312" t="s">
        <v>4067</v>
      </c>
      <c r="D312" t="s">
        <v>17</v>
      </c>
      <c r="E312" t="s">
        <v>2</v>
      </c>
      <c r="F312" t="s">
        <v>50</v>
      </c>
      <c r="G312" t="s">
        <v>100</v>
      </c>
      <c r="H312" t="s">
        <v>2969</v>
      </c>
      <c r="I312" t="s">
        <v>52</v>
      </c>
      <c r="J312" t="s">
        <v>101</v>
      </c>
      <c r="K312" t="s">
        <v>54</v>
      </c>
      <c r="L312" t="s">
        <v>102</v>
      </c>
      <c r="O312" t="s">
        <v>103</v>
      </c>
      <c r="P312" t="s">
        <v>104</v>
      </c>
      <c r="Q312" t="s">
        <v>4068</v>
      </c>
      <c r="R312" t="s">
        <v>2971</v>
      </c>
      <c r="S312" t="s">
        <v>2895</v>
      </c>
      <c r="T312" t="s">
        <v>2896</v>
      </c>
      <c r="U312" t="s">
        <v>2897</v>
      </c>
    </row>
    <row r="313" spans="1:21" hidden="1">
      <c r="A313" t="s">
        <v>731</v>
      </c>
      <c r="B313" t="s">
        <v>4062</v>
      </c>
      <c r="C313" t="s">
        <v>4069</v>
      </c>
      <c r="D313" t="s">
        <v>17</v>
      </c>
      <c r="E313" t="s">
        <v>2</v>
      </c>
      <c r="F313" t="s">
        <v>50</v>
      </c>
      <c r="G313" t="s">
        <v>51</v>
      </c>
      <c r="H313" t="s">
        <v>4070</v>
      </c>
      <c r="I313" t="s">
        <v>52</v>
      </c>
      <c r="J313" t="s">
        <v>81</v>
      </c>
      <c r="K313" t="s">
        <v>54</v>
      </c>
      <c r="L313" t="s">
        <v>55</v>
      </c>
      <c r="O313" t="s">
        <v>82</v>
      </c>
      <c r="P313" t="s">
        <v>83</v>
      </c>
      <c r="Q313" t="s">
        <v>4071</v>
      </c>
      <c r="R313" t="s">
        <v>4072</v>
      </c>
      <c r="S313" t="s">
        <v>2895</v>
      </c>
      <c r="T313" t="s">
        <v>2896</v>
      </c>
      <c r="U313" t="s">
        <v>2897</v>
      </c>
    </row>
    <row r="314" spans="1:21" hidden="1">
      <c r="A314" t="s">
        <v>733</v>
      </c>
      <c r="B314" t="s">
        <v>4062</v>
      </c>
      <c r="C314" t="s">
        <v>4073</v>
      </c>
      <c r="D314" t="s">
        <v>17</v>
      </c>
      <c r="E314" t="s">
        <v>2</v>
      </c>
      <c r="F314" t="s">
        <v>149</v>
      </c>
      <c r="G314" t="s">
        <v>72</v>
      </c>
      <c r="H314" t="s">
        <v>4074</v>
      </c>
      <c r="I314" t="s">
        <v>52</v>
      </c>
      <c r="J314" t="s">
        <v>638</v>
      </c>
      <c r="K314" t="s">
        <v>54</v>
      </c>
      <c r="L314" t="s">
        <v>74</v>
      </c>
      <c r="O314" t="s">
        <v>75</v>
      </c>
      <c r="P314" t="s">
        <v>76</v>
      </c>
      <c r="Q314" t="s">
        <v>4075</v>
      </c>
      <c r="R314" t="s">
        <v>4074</v>
      </c>
      <c r="S314" t="s">
        <v>2895</v>
      </c>
      <c r="T314" t="s">
        <v>2896</v>
      </c>
      <c r="U314" t="s">
        <v>2897</v>
      </c>
    </row>
    <row r="315" spans="1:21" hidden="1">
      <c r="A315" t="s">
        <v>735</v>
      </c>
      <c r="B315" t="s">
        <v>4062</v>
      </c>
      <c r="C315" t="s">
        <v>4076</v>
      </c>
      <c r="D315" t="s">
        <v>17</v>
      </c>
      <c r="E315" t="s">
        <v>2</v>
      </c>
      <c r="F315" t="s">
        <v>50</v>
      </c>
      <c r="G315" t="s">
        <v>51</v>
      </c>
      <c r="H315" t="s">
        <v>4077</v>
      </c>
      <c r="I315" t="s">
        <v>52</v>
      </c>
      <c r="J315" t="s">
        <v>81</v>
      </c>
      <c r="K315" t="s">
        <v>54</v>
      </c>
      <c r="L315" t="s">
        <v>55</v>
      </c>
      <c r="O315" t="s">
        <v>82</v>
      </c>
      <c r="P315" t="s">
        <v>83</v>
      </c>
      <c r="Q315" t="s">
        <v>4078</v>
      </c>
      <c r="R315" t="s">
        <v>4079</v>
      </c>
      <c r="S315" t="s">
        <v>2895</v>
      </c>
      <c r="T315" t="s">
        <v>2896</v>
      </c>
      <c r="U315" t="s">
        <v>2897</v>
      </c>
    </row>
    <row r="316" spans="1:21" hidden="1">
      <c r="A316" t="s">
        <v>737</v>
      </c>
      <c r="B316" t="s">
        <v>4062</v>
      </c>
      <c r="C316" t="s">
        <v>3816</v>
      </c>
      <c r="D316" t="s">
        <v>17</v>
      </c>
      <c r="E316" t="s">
        <v>2</v>
      </c>
      <c r="F316" t="s">
        <v>50</v>
      </c>
      <c r="G316" t="s">
        <v>100</v>
      </c>
      <c r="H316" t="s">
        <v>4080</v>
      </c>
      <c r="I316" t="s">
        <v>52</v>
      </c>
      <c r="J316" t="s">
        <v>244</v>
      </c>
      <c r="K316" t="s">
        <v>54</v>
      </c>
      <c r="L316" t="s">
        <v>102</v>
      </c>
      <c r="O316" t="s">
        <v>178</v>
      </c>
      <c r="P316" t="s">
        <v>245</v>
      </c>
      <c r="Q316" t="s">
        <v>4081</v>
      </c>
      <c r="R316" t="s">
        <v>4082</v>
      </c>
      <c r="S316" t="s">
        <v>2895</v>
      </c>
      <c r="T316" t="s">
        <v>2896</v>
      </c>
      <c r="U316" t="s">
        <v>2897</v>
      </c>
    </row>
    <row r="317" spans="1:21" hidden="1">
      <c r="A317" t="s">
        <v>739</v>
      </c>
      <c r="B317" t="s">
        <v>4062</v>
      </c>
      <c r="C317" t="s">
        <v>4083</v>
      </c>
      <c r="D317" t="s">
        <v>17</v>
      </c>
      <c r="E317" t="s">
        <v>2</v>
      </c>
      <c r="F317" t="s">
        <v>50</v>
      </c>
      <c r="G317" t="s">
        <v>88</v>
      </c>
      <c r="H317" t="s">
        <v>4084</v>
      </c>
      <c r="I317" t="s">
        <v>52</v>
      </c>
      <c r="J317" t="s">
        <v>89</v>
      </c>
      <c r="K317" t="s">
        <v>54</v>
      </c>
      <c r="L317" t="s">
        <v>90</v>
      </c>
      <c r="M317" t="s">
        <v>91</v>
      </c>
      <c r="N317" t="s">
        <v>12</v>
      </c>
      <c r="O317" t="s">
        <v>92</v>
      </c>
      <c r="P317" t="s">
        <v>93</v>
      </c>
      <c r="Q317" t="s">
        <v>4085</v>
      </c>
      <c r="R317" t="s">
        <v>4086</v>
      </c>
      <c r="S317" t="s">
        <v>2895</v>
      </c>
      <c r="T317" t="s">
        <v>2896</v>
      </c>
      <c r="U317" t="s">
        <v>2897</v>
      </c>
    </row>
    <row r="318" spans="1:21" hidden="1">
      <c r="A318" t="s">
        <v>741</v>
      </c>
      <c r="B318" t="s">
        <v>4062</v>
      </c>
      <c r="C318" t="s">
        <v>4087</v>
      </c>
      <c r="D318" t="s">
        <v>17</v>
      </c>
      <c r="E318" t="s">
        <v>2</v>
      </c>
      <c r="F318" t="s">
        <v>50</v>
      </c>
      <c r="G318" t="s">
        <v>100</v>
      </c>
      <c r="H318" t="s">
        <v>4088</v>
      </c>
      <c r="I318" t="s">
        <v>52</v>
      </c>
      <c r="J318" t="s">
        <v>114</v>
      </c>
      <c r="K318" t="s">
        <v>54</v>
      </c>
      <c r="L318" t="s">
        <v>102</v>
      </c>
      <c r="O318" t="s">
        <v>103</v>
      </c>
      <c r="P318" t="s">
        <v>104</v>
      </c>
      <c r="Q318" t="s">
        <v>4089</v>
      </c>
      <c r="R318" t="s">
        <v>4090</v>
      </c>
      <c r="S318" t="s">
        <v>2895</v>
      </c>
      <c r="T318" t="s">
        <v>2896</v>
      </c>
      <c r="U318" t="s">
        <v>2897</v>
      </c>
    </row>
    <row r="319" spans="1:21" hidden="1">
      <c r="A319" t="s">
        <v>743</v>
      </c>
      <c r="B319" t="s">
        <v>4091</v>
      </c>
      <c r="C319" t="s">
        <v>4092</v>
      </c>
      <c r="D319" t="s">
        <v>17</v>
      </c>
      <c r="E319" t="s">
        <v>2</v>
      </c>
      <c r="F319" t="s">
        <v>50</v>
      </c>
      <c r="G319" t="s">
        <v>51</v>
      </c>
      <c r="H319" t="s">
        <v>4093</v>
      </c>
      <c r="I319" t="s">
        <v>52</v>
      </c>
      <c r="J319" t="s">
        <v>126</v>
      </c>
      <c r="K319" t="s">
        <v>54</v>
      </c>
      <c r="L319" t="s">
        <v>55</v>
      </c>
      <c r="O319" t="s">
        <v>56</v>
      </c>
      <c r="P319" t="s">
        <v>57</v>
      </c>
      <c r="Q319" t="s">
        <v>4094</v>
      </c>
      <c r="R319" t="s">
        <v>4095</v>
      </c>
      <c r="S319" t="s">
        <v>2895</v>
      </c>
      <c r="T319" t="s">
        <v>2896</v>
      </c>
      <c r="U319" t="s">
        <v>2897</v>
      </c>
    </row>
    <row r="320" spans="1:21" hidden="1">
      <c r="A320" t="s">
        <v>745</v>
      </c>
      <c r="B320" t="s">
        <v>4091</v>
      </c>
      <c r="C320" t="s">
        <v>4096</v>
      </c>
      <c r="D320" t="s">
        <v>17</v>
      </c>
      <c r="E320" t="s">
        <v>2</v>
      </c>
      <c r="F320" t="s">
        <v>50</v>
      </c>
      <c r="G320" t="s">
        <v>51</v>
      </c>
      <c r="H320" t="s">
        <v>4097</v>
      </c>
      <c r="I320" t="s">
        <v>52</v>
      </c>
      <c r="J320" t="s">
        <v>81</v>
      </c>
      <c r="K320" t="s">
        <v>54</v>
      </c>
      <c r="L320" t="s">
        <v>55</v>
      </c>
      <c r="O320" t="s">
        <v>82</v>
      </c>
      <c r="P320" t="s">
        <v>83</v>
      </c>
      <c r="Q320" t="s">
        <v>4098</v>
      </c>
      <c r="R320" t="s">
        <v>4099</v>
      </c>
      <c r="S320" t="s">
        <v>2895</v>
      </c>
      <c r="T320" t="s">
        <v>2896</v>
      </c>
      <c r="U320" t="s">
        <v>2897</v>
      </c>
    </row>
    <row r="321" spans="1:21" hidden="1">
      <c r="A321" t="s">
        <v>747</v>
      </c>
      <c r="B321" t="s">
        <v>4091</v>
      </c>
      <c r="C321" t="s">
        <v>4100</v>
      </c>
      <c r="D321" t="s">
        <v>17</v>
      </c>
      <c r="E321" t="s">
        <v>2</v>
      </c>
      <c r="F321" t="s">
        <v>50</v>
      </c>
      <c r="G321" t="s">
        <v>100</v>
      </c>
      <c r="H321" t="s">
        <v>4101</v>
      </c>
      <c r="I321" t="s">
        <v>52</v>
      </c>
      <c r="J321" t="s">
        <v>114</v>
      </c>
      <c r="K321" t="s">
        <v>54</v>
      </c>
      <c r="L321" t="s">
        <v>102</v>
      </c>
      <c r="O321" t="s">
        <v>103</v>
      </c>
      <c r="P321" t="s">
        <v>104</v>
      </c>
      <c r="Q321" t="s">
        <v>4102</v>
      </c>
      <c r="R321" t="s">
        <v>4103</v>
      </c>
      <c r="S321" t="s">
        <v>2895</v>
      </c>
      <c r="T321" t="s">
        <v>2896</v>
      </c>
      <c r="U321" t="s">
        <v>2897</v>
      </c>
    </row>
    <row r="322" spans="1:21" hidden="1">
      <c r="A322" t="s">
        <v>749</v>
      </c>
      <c r="B322" t="s">
        <v>4091</v>
      </c>
      <c r="C322" t="s">
        <v>3266</v>
      </c>
      <c r="D322" t="s">
        <v>17</v>
      </c>
      <c r="E322" t="s">
        <v>2</v>
      </c>
      <c r="F322" t="s">
        <v>50</v>
      </c>
      <c r="G322" t="s">
        <v>100</v>
      </c>
      <c r="H322" t="s">
        <v>2969</v>
      </c>
      <c r="I322" t="s">
        <v>52</v>
      </c>
      <c r="J322" t="s">
        <v>101</v>
      </c>
      <c r="K322" t="s">
        <v>54</v>
      </c>
      <c r="L322" t="s">
        <v>102</v>
      </c>
      <c r="O322" t="s">
        <v>103</v>
      </c>
      <c r="P322" t="s">
        <v>104</v>
      </c>
      <c r="Q322" t="s">
        <v>4104</v>
      </c>
      <c r="R322" t="s">
        <v>2971</v>
      </c>
      <c r="S322" t="s">
        <v>2895</v>
      </c>
      <c r="T322" t="s">
        <v>2896</v>
      </c>
      <c r="U322" t="s">
        <v>2897</v>
      </c>
    </row>
    <row r="323" spans="1:21" hidden="1">
      <c r="A323" t="s">
        <v>751</v>
      </c>
      <c r="B323" t="s">
        <v>4091</v>
      </c>
      <c r="C323" t="s">
        <v>4105</v>
      </c>
      <c r="D323" t="s">
        <v>17</v>
      </c>
      <c r="E323" t="s">
        <v>2</v>
      </c>
      <c r="F323" t="s">
        <v>50</v>
      </c>
      <c r="G323" t="s">
        <v>100</v>
      </c>
      <c r="H323" t="s">
        <v>2969</v>
      </c>
      <c r="I323" t="s">
        <v>52</v>
      </c>
      <c r="J323" t="s">
        <v>101</v>
      </c>
      <c r="K323" t="s">
        <v>54</v>
      </c>
      <c r="L323" t="s">
        <v>102</v>
      </c>
      <c r="O323" t="s">
        <v>103</v>
      </c>
      <c r="P323" t="s">
        <v>104</v>
      </c>
      <c r="Q323" t="s">
        <v>4106</v>
      </c>
      <c r="R323" t="s">
        <v>2971</v>
      </c>
      <c r="S323" t="s">
        <v>2895</v>
      </c>
      <c r="T323" t="s">
        <v>2896</v>
      </c>
      <c r="U323" t="s">
        <v>2897</v>
      </c>
    </row>
    <row r="324" spans="1:21" hidden="1">
      <c r="A324" t="s">
        <v>753</v>
      </c>
      <c r="B324" t="s">
        <v>4091</v>
      </c>
      <c r="C324" t="s">
        <v>4107</v>
      </c>
      <c r="D324" t="s">
        <v>17</v>
      </c>
      <c r="E324" t="s">
        <v>2</v>
      </c>
      <c r="F324" t="s">
        <v>50</v>
      </c>
      <c r="G324" t="s">
        <v>100</v>
      </c>
      <c r="H324" t="s">
        <v>4108</v>
      </c>
      <c r="I324" t="s">
        <v>52</v>
      </c>
      <c r="J324" t="s">
        <v>114</v>
      </c>
      <c r="K324" t="s">
        <v>54</v>
      </c>
      <c r="L324" t="s">
        <v>102</v>
      </c>
      <c r="O324" t="s">
        <v>103</v>
      </c>
      <c r="P324" t="s">
        <v>104</v>
      </c>
      <c r="Q324" t="s">
        <v>4109</v>
      </c>
      <c r="R324" t="s">
        <v>4110</v>
      </c>
      <c r="S324" t="s">
        <v>2895</v>
      </c>
      <c r="T324" t="s">
        <v>2896</v>
      </c>
      <c r="U324" t="s">
        <v>2897</v>
      </c>
    </row>
    <row r="325" spans="1:21" hidden="1">
      <c r="A325" t="s">
        <v>755</v>
      </c>
      <c r="B325" t="s">
        <v>4091</v>
      </c>
      <c r="C325" t="s">
        <v>3744</v>
      </c>
      <c r="D325" t="s">
        <v>17</v>
      </c>
      <c r="E325" t="s">
        <v>2</v>
      </c>
      <c r="F325" t="s">
        <v>50</v>
      </c>
      <c r="G325" t="s">
        <v>100</v>
      </c>
      <c r="H325" t="s">
        <v>2969</v>
      </c>
      <c r="I325" t="s">
        <v>52</v>
      </c>
      <c r="J325" t="s">
        <v>101</v>
      </c>
      <c r="K325" t="s">
        <v>54</v>
      </c>
      <c r="L325" t="s">
        <v>102</v>
      </c>
      <c r="O325" t="s">
        <v>103</v>
      </c>
      <c r="P325" t="s">
        <v>104</v>
      </c>
      <c r="Q325" t="s">
        <v>4111</v>
      </c>
      <c r="R325" t="s">
        <v>2971</v>
      </c>
      <c r="S325" t="s">
        <v>2895</v>
      </c>
      <c r="T325" t="s">
        <v>2896</v>
      </c>
      <c r="U325" t="s">
        <v>2897</v>
      </c>
    </row>
    <row r="326" spans="1:21" hidden="1">
      <c r="A326" t="s">
        <v>757</v>
      </c>
      <c r="B326" t="s">
        <v>4091</v>
      </c>
      <c r="C326" t="s">
        <v>3620</v>
      </c>
      <c r="D326" t="s">
        <v>17</v>
      </c>
      <c r="E326" t="s">
        <v>2</v>
      </c>
      <c r="F326" t="s">
        <v>149</v>
      </c>
      <c r="G326" t="s">
        <v>72</v>
      </c>
      <c r="H326" t="s">
        <v>4112</v>
      </c>
      <c r="I326" t="s">
        <v>52</v>
      </c>
      <c r="J326" t="s">
        <v>73</v>
      </c>
      <c r="K326" t="s">
        <v>54</v>
      </c>
      <c r="L326" t="s">
        <v>74</v>
      </c>
      <c r="O326" t="s">
        <v>75</v>
      </c>
      <c r="P326" t="s">
        <v>76</v>
      </c>
      <c r="Q326" t="s">
        <v>4113</v>
      </c>
      <c r="R326" t="s">
        <v>4112</v>
      </c>
      <c r="S326" t="s">
        <v>2895</v>
      </c>
      <c r="T326" t="s">
        <v>2896</v>
      </c>
      <c r="U326" t="s">
        <v>2897</v>
      </c>
    </row>
    <row r="327" spans="1:21" hidden="1">
      <c r="A327" t="s">
        <v>759</v>
      </c>
      <c r="B327" t="s">
        <v>4091</v>
      </c>
      <c r="C327" t="s">
        <v>3290</v>
      </c>
      <c r="D327" t="s">
        <v>17</v>
      </c>
      <c r="E327" t="s">
        <v>2</v>
      </c>
      <c r="F327" t="s">
        <v>149</v>
      </c>
      <c r="G327" t="s">
        <v>321</v>
      </c>
      <c r="H327" t="s">
        <v>4114</v>
      </c>
      <c r="I327" t="s">
        <v>52</v>
      </c>
      <c r="J327" t="s">
        <v>9</v>
      </c>
      <c r="K327" t="s">
        <v>54</v>
      </c>
      <c r="L327" t="s">
        <v>102</v>
      </c>
      <c r="O327" t="s">
        <v>322</v>
      </c>
      <c r="P327" t="s">
        <v>323</v>
      </c>
      <c r="Q327" t="s">
        <v>4115</v>
      </c>
      <c r="R327" t="s">
        <v>4114</v>
      </c>
      <c r="S327" t="s">
        <v>2895</v>
      </c>
      <c r="T327" t="s">
        <v>2896</v>
      </c>
      <c r="U327" t="s">
        <v>2897</v>
      </c>
    </row>
    <row r="328" spans="1:21" hidden="1">
      <c r="A328" t="s">
        <v>761</v>
      </c>
      <c r="B328" t="s">
        <v>4116</v>
      </c>
      <c r="C328" t="s">
        <v>3704</v>
      </c>
      <c r="D328" t="s">
        <v>17</v>
      </c>
      <c r="E328" t="s">
        <v>2</v>
      </c>
      <c r="F328" t="s">
        <v>50</v>
      </c>
      <c r="G328" t="s">
        <v>100</v>
      </c>
      <c r="H328" t="s">
        <v>2969</v>
      </c>
      <c r="I328" t="s">
        <v>52</v>
      </c>
      <c r="J328" t="s">
        <v>101</v>
      </c>
      <c r="K328" t="s">
        <v>54</v>
      </c>
      <c r="L328" t="s">
        <v>102</v>
      </c>
      <c r="O328" t="s">
        <v>103</v>
      </c>
      <c r="P328" t="s">
        <v>104</v>
      </c>
      <c r="Q328" t="s">
        <v>4117</v>
      </c>
      <c r="R328" t="s">
        <v>2971</v>
      </c>
      <c r="S328" t="s">
        <v>2895</v>
      </c>
      <c r="T328" t="s">
        <v>2896</v>
      </c>
      <c r="U328" t="s">
        <v>2897</v>
      </c>
    </row>
    <row r="329" spans="1:21" hidden="1">
      <c r="A329" t="s">
        <v>763</v>
      </c>
      <c r="B329" t="s">
        <v>4116</v>
      </c>
      <c r="C329" t="s">
        <v>3790</v>
      </c>
      <c r="D329" t="s">
        <v>17</v>
      </c>
      <c r="E329" t="s">
        <v>2</v>
      </c>
      <c r="F329" t="s">
        <v>50</v>
      </c>
      <c r="G329" t="s">
        <v>51</v>
      </c>
      <c r="H329" t="s">
        <v>4118</v>
      </c>
      <c r="I329" t="s">
        <v>52</v>
      </c>
      <c r="J329" t="s">
        <v>196</v>
      </c>
      <c r="K329" t="s">
        <v>54</v>
      </c>
      <c r="L329" t="s">
        <v>55</v>
      </c>
      <c r="O329" t="s">
        <v>197</v>
      </c>
      <c r="P329" t="s">
        <v>198</v>
      </c>
      <c r="Q329" t="s">
        <v>4119</v>
      </c>
      <c r="R329" t="s">
        <v>4120</v>
      </c>
      <c r="S329" t="s">
        <v>2895</v>
      </c>
      <c r="T329" t="s">
        <v>2896</v>
      </c>
      <c r="U329" t="s">
        <v>2897</v>
      </c>
    </row>
    <row r="330" spans="1:21" hidden="1">
      <c r="A330" t="s">
        <v>765</v>
      </c>
      <c r="B330" t="s">
        <v>4116</v>
      </c>
      <c r="C330" t="s">
        <v>4121</v>
      </c>
      <c r="D330" t="s">
        <v>17</v>
      </c>
      <c r="E330" t="s">
        <v>2</v>
      </c>
      <c r="F330" t="s">
        <v>50</v>
      </c>
      <c r="G330" t="s">
        <v>51</v>
      </c>
      <c r="H330" t="s">
        <v>4122</v>
      </c>
      <c r="I330" t="s">
        <v>52</v>
      </c>
      <c r="J330" t="s">
        <v>81</v>
      </c>
      <c r="K330" t="s">
        <v>54</v>
      </c>
      <c r="L330" t="s">
        <v>55</v>
      </c>
      <c r="O330" t="s">
        <v>82</v>
      </c>
      <c r="P330" t="s">
        <v>83</v>
      </c>
      <c r="Q330" t="s">
        <v>4123</v>
      </c>
      <c r="R330" t="s">
        <v>4124</v>
      </c>
      <c r="S330" t="s">
        <v>2895</v>
      </c>
      <c r="T330" t="s">
        <v>2896</v>
      </c>
      <c r="U330" t="s">
        <v>2897</v>
      </c>
    </row>
    <row r="331" spans="1:21" hidden="1">
      <c r="A331" t="s">
        <v>767</v>
      </c>
      <c r="B331" t="s">
        <v>4116</v>
      </c>
      <c r="C331" t="s">
        <v>4125</v>
      </c>
      <c r="D331" t="s">
        <v>17</v>
      </c>
      <c r="E331" t="s">
        <v>2</v>
      </c>
      <c r="F331" t="s">
        <v>50</v>
      </c>
      <c r="G331" t="s">
        <v>51</v>
      </c>
      <c r="H331" t="s">
        <v>4126</v>
      </c>
      <c r="I331" t="s">
        <v>52</v>
      </c>
      <c r="J331" t="s">
        <v>65</v>
      </c>
      <c r="K331" t="s">
        <v>54</v>
      </c>
      <c r="L331" t="s">
        <v>55</v>
      </c>
      <c r="O331" t="s">
        <v>66</v>
      </c>
      <c r="P331" t="s">
        <v>67</v>
      </c>
      <c r="Q331" t="s">
        <v>4127</v>
      </c>
      <c r="R331" t="s">
        <v>4128</v>
      </c>
      <c r="S331" t="s">
        <v>2895</v>
      </c>
      <c r="T331" t="s">
        <v>2896</v>
      </c>
      <c r="U331" t="s">
        <v>2897</v>
      </c>
    </row>
    <row r="332" spans="1:21" hidden="1">
      <c r="A332" t="s">
        <v>769</v>
      </c>
      <c r="B332" t="s">
        <v>4116</v>
      </c>
      <c r="C332" t="s">
        <v>4129</v>
      </c>
      <c r="D332" t="s">
        <v>17</v>
      </c>
      <c r="E332" t="s">
        <v>2</v>
      </c>
      <c r="F332" t="s">
        <v>50</v>
      </c>
      <c r="G332" t="s">
        <v>100</v>
      </c>
      <c r="H332" t="s">
        <v>2969</v>
      </c>
      <c r="I332" t="s">
        <v>52</v>
      </c>
      <c r="J332" t="s">
        <v>101</v>
      </c>
      <c r="K332" t="s">
        <v>54</v>
      </c>
      <c r="L332" t="s">
        <v>102</v>
      </c>
      <c r="O332" t="s">
        <v>103</v>
      </c>
      <c r="P332" t="s">
        <v>104</v>
      </c>
      <c r="Q332" t="s">
        <v>4130</v>
      </c>
      <c r="R332" t="s">
        <v>2971</v>
      </c>
      <c r="S332" t="s">
        <v>2895</v>
      </c>
      <c r="T332" t="s">
        <v>2896</v>
      </c>
      <c r="U332" t="s">
        <v>2897</v>
      </c>
    </row>
    <row r="333" spans="1:21" hidden="1">
      <c r="A333" t="s">
        <v>771</v>
      </c>
      <c r="B333" t="s">
        <v>4116</v>
      </c>
      <c r="C333" t="s">
        <v>4131</v>
      </c>
      <c r="D333" t="s">
        <v>17</v>
      </c>
      <c r="E333" t="s">
        <v>2</v>
      </c>
      <c r="F333" t="s">
        <v>50</v>
      </c>
      <c r="G333" t="s">
        <v>100</v>
      </c>
      <c r="H333" t="s">
        <v>4132</v>
      </c>
      <c r="I333" t="s">
        <v>52</v>
      </c>
      <c r="J333" t="s">
        <v>114</v>
      </c>
      <c r="K333" t="s">
        <v>54</v>
      </c>
      <c r="L333" t="s">
        <v>102</v>
      </c>
      <c r="O333" t="s">
        <v>103</v>
      </c>
      <c r="P333" t="s">
        <v>104</v>
      </c>
      <c r="Q333" t="s">
        <v>4133</v>
      </c>
      <c r="R333" t="s">
        <v>4134</v>
      </c>
      <c r="S333" t="s">
        <v>2895</v>
      </c>
      <c r="T333" t="s">
        <v>2896</v>
      </c>
      <c r="U333" t="s">
        <v>2897</v>
      </c>
    </row>
    <row r="334" spans="1:21" hidden="1">
      <c r="A334" t="s">
        <v>773</v>
      </c>
      <c r="B334" t="s">
        <v>4116</v>
      </c>
      <c r="C334" t="s">
        <v>2980</v>
      </c>
      <c r="D334" t="s">
        <v>17</v>
      </c>
      <c r="E334" t="s">
        <v>2</v>
      </c>
      <c r="F334" t="s">
        <v>50</v>
      </c>
      <c r="G334" t="s">
        <v>100</v>
      </c>
      <c r="H334" t="s">
        <v>2977</v>
      </c>
      <c r="I334" t="s">
        <v>52</v>
      </c>
      <c r="J334" t="s">
        <v>114</v>
      </c>
      <c r="K334" t="s">
        <v>54</v>
      </c>
      <c r="L334" t="s">
        <v>102</v>
      </c>
      <c r="O334" t="s">
        <v>103</v>
      </c>
      <c r="P334" t="s">
        <v>104</v>
      </c>
      <c r="Q334" t="s">
        <v>4135</v>
      </c>
      <c r="R334" t="s">
        <v>2979</v>
      </c>
      <c r="S334" t="s">
        <v>2895</v>
      </c>
      <c r="T334" t="s">
        <v>2896</v>
      </c>
      <c r="U334" t="s">
        <v>2897</v>
      </c>
    </row>
    <row r="335" spans="1:21" hidden="1">
      <c r="A335" t="s">
        <v>775</v>
      </c>
      <c r="B335" t="s">
        <v>4116</v>
      </c>
      <c r="C335" t="s">
        <v>4136</v>
      </c>
      <c r="D335" t="s">
        <v>17</v>
      </c>
      <c r="E335" t="s">
        <v>2</v>
      </c>
      <c r="F335" t="s">
        <v>50</v>
      </c>
      <c r="G335" t="s">
        <v>51</v>
      </c>
      <c r="H335" t="s">
        <v>4137</v>
      </c>
      <c r="I335" t="s">
        <v>52</v>
      </c>
      <c r="J335" t="s">
        <v>81</v>
      </c>
      <c r="K335" t="s">
        <v>54</v>
      </c>
      <c r="L335" t="s">
        <v>55</v>
      </c>
      <c r="O335" t="s">
        <v>82</v>
      </c>
      <c r="P335" t="s">
        <v>83</v>
      </c>
      <c r="Q335" t="s">
        <v>4138</v>
      </c>
      <c r="R335" t="s">
        <v>4139</v>
      </c>
      <c r="S335" t="s">
        <v>2895</v>
      </c>
      <c r="T335" t="s">
        <v>2896</v>
      </c>
      <c r="U335" t="s">
        <v>2897</v>
      </c>
    </row>
    <row r="336" spans="1:21" hidden="1">
      <c r="A336" t="s">
        <v>777</v>
      </c>
      <c r="B336" t="s">
        <v>4116</v>
      </c>
      <c r="C336" t="s">
        <v>3778</v>
      </c>
      <c r="D336" t="s">
        <v>17</v>
      </c>
      <c r="E336" t="s">
        <v>2</v>
      </c>
      <c r="F336" t="s">
        <v>50</v>
      </c>
      <c r="G336" t="s">
        <v>72</v>
      </c>
      <c r="H336" t="s">
        <v>4140</v>
      </c>
      <c r="I336" t="s">
        <v>52</v>
      </c>
      <c r="J336" t="s">
        <v>638</v>
      </c>
      <c r="K336" t="s">
        <v>54</v>
      </c>
      <c r="L336" t="s">
        <v>74</v>
      </c>
      <c r="O336" t="s">
        <v>75</v>
      </c>
      <c r="P336" t="s">
        <v>76</v>
      </c>
      <c r="Q336" t="s">
        <v>4141</v>
      </c>
      <c r="R336" t="s">
        <v>4142</v>
      </c>
      <c r="S336" t="s">
        <v>2895</v>
      </c>
      <c r="T336" t="s">
        <v>2896</v>
      </c>
      <c r="U336" t="s">
        <v>2897</v>
      </c>
    </row>
    <row r="337" spans="1:21" hidden="1">
      <c r="A337" t="s">
        <v>779</v>
      </c>
      <c r="B337" t="s">
        <v>4143</v>
      </c>
      <c r="C337" t="s">
        <v>4144</v>
      </c>
      <c r="D337" t="s">
        <v>17</v>
      </c>
      <c r="E337" t="s">
        <v>2</v>
      </c>
      <c r="F337" t="s">
        <v>50</v>
      </c>
      <c r="G337" t="s">
        <v>51</v>
      </c>
      <c r="H337" t="s">
        <v>3634</v>
      </c>
      <c r="I337" t="s">
        <v>52</v>
      </c>
      <c r="J337" t="s">
        <v>81</v>
      </c>
      <c r="K337" t="s">
        <v>54</v>
      </c>
      <c r="L337" t="s">
        <v>55</v>
      </c>
      <c r="O337" t="s">
        <v>82</v>
      </c>
      <c r="P337" t="s">
        <v>83</v>
      </c>
      <c r="Q337" t="s">
        <v>4145</v>
      </c>
      <c r="R337" t="s">
        <v>3636</v>
      </c>
      <c r="S337" t="s">
        <v>2895</v>
      </c>
      <c r="T337" t="s">
        <v>2896</v>
      </c>
      <c r="U337" t="s">
        <v>2897</v>
      </c>
    </row>
    <row r="338" spans="1:21" hidden="1">
      <c r="A338" t="s">
        <v>781</v>
      </c>
      <c r="B338" t="s">
        <v>4143</v>
      </c>
      <c r="C338" t="s">
        <v>4146</v>
      </c>
      <c r="D338" t="s">
        <v>17</v>
      </c>
      <c r="E338" t="s">
        <v>2</v>
      </c>
      <c r="F338" t="s">
        <v>50</v>
      </c>
      <c r="G338" t="s">
        <v>51</v>
      </c>
      <c r="H338" t="s">
        <v>4147</v>
      </c>
      <c r="I338" t="s">
        <v>52</v>
      </c>
      <c r="J338" t="s">
        <v>126</v>
      </c>
      <c r="K338" t="s">
        <v>54</v>
      </c>
      <c r="L338" t="s">
        <v>55</v>
      </c>
      <c r="O338" t="s">
        <v>56</v>
      </c>
      <c r="P338" t="s">
        <v>57</v>
      </c>
      <c r="Q338" t="s">
        <v>4148</v>
      </c>
      <c r="R338" t="s">
        <v>4149</v>
      </c>
      <c r="S338" t="s">
        <v>2895</v>
      </c>
      <c r="T338" t="s">
        <v>2896</v>
      </c>
      <c r="U338" t="s">
        <v>2897</v>
      </c>
    </row>
    <row r="339" spans="1:21" hidden="1">
      <c r="A339" t="s">
        <v>783</v>
      </c>
      <c r="B339" t="s">
        <v>4143</v>
      </c>
      <c r="C339" t="s">
        <v>4150</v>
      </c>
      <c r="D339" t="s">
        <v>17</v>
      </c>
      <c r="E339" t="s">
        <v>2</v>
      </c>
      <c r="F339" t="s">
        <v>50</v>
      </c>
      <c r="G339" t="s">
        <v>51</v>
      </c>
      <c r="H339" t="s">
        <v>4151</v>
      </c>
      <c r="I339" t="s">
        <v>52</v>
      </c>
      <c r="J339" t="s">
        <v>121</v>
      </c>
      <c r="K339" t="s">
        <v>54</v>
      </c>
      <c r="L339" t="s">
        <v>55</v>
      </c>
      <c r="O339" t="s">
        <v>122</v>
      </c>
      <c r="P339" t="s">
        <v>123</v>
      </c>
      <c r="Q339" t="s">
        <v>4152</v>
      </c>
      <c r="R339" t="s">
        <v>4153</v>
      </c>
      <c r="S339" t="s">
        <v>2895</v>
      </c>
      <c r="T339" t="s">
        <v>2896</v>
      </c>
      <c r="U339" t="s">
        <v>2897</v>
      </c>
    </row>
    <row r="340" spans="1:21" hidden="1">
      <c r="A340" t="s">
        <v>785</v>
      </c>
      <c r="B340" t="s">
        <v>4143</v>
      </c>
      <c r="C340" t="s">
        <v>3325</v>
      </c>
      <c r="D340" t="s">
        <v>17</v>
      </c>
      <c r="E340" t="s">
        <v>2</v>
      </c>
      <c r="F340" t="s">
        <v>50</v>
      </c>
      <c r="G340" t="s">
        <v>51</v>
      </c>
      <c r="H340" t="s">
        <v>4154</v>
      </c>
      <c r="I340" t="s">
        <v>52</v>
      </c>
      <c r="J340" t="s">
        <v>60</v>
      </c>
      <c r="K340" t="s">
        <v>54</v>
      </c>
      <c r="L340" t="s">
        <v>55</v>
      </c>
      <c r="O340" t="s">
        <v>61</v>
      </c>
      <c r="P340" t="s">
        <v>62</v>
      </c>
      <c r="Q340" t="s">
        <v>4155</v>
      </c>
      <c r="R340" t="s">
        <v>4156</v>
      </c>
      <c r="S340" t="s">
        <v>2895</v>
      </c>
      <c r="T340" t="s">
        <v>2896</v>
      </c>
      <c r="U340" t="s">
        <v>2897</v>
      </c>
    </row>
    <row r="341" spans="1:21" hidden="1">
      <c r="A341" t="s">
        <v>787</v>
      </c>
      <c r="B341" t="s">
        <v>4143</v>
      </c>
      <c r="C341" t="s">
        <v>4157</v>
      </c>
      <c r="D341" t="s">
        <v>17</v>
      </c>
      <c r="E341" t="s">
        <v>2</v>
      </c>
      <c r="F341" t="s">
        <v>50</v>
      </c>
      <c r="G341" t="s">
        <v>51</v>
      </c>
      <c r="H341" t="s">
        <v>4158</v>
      </c>
      <c r="I341" t="s">
        <v>52</v>
      </c>
      <c r="J341" t="s">
        <v>196</v>
      </c>
      <c r="K341" t="s">
        <v>54</v>
      </c>
      <c r="L341" t="s">
        <v>55</v>
      </c>
      <c r="O341" t="s">
        <v>197</v>
      </c>
      <c r="P341" t="s">
        <v>198</v>
      </c>
      <c r="Q341" t="s">
        <v>4159</v>
      </c>
      <c r="R341" t="s">
        <v>4160</v>
      </c>
      <c r="S341" t="s">
        <v>2895</v>
      </c>
      <c r="T341" t="s">
        <v>2896</v>
      </c>
      <c r="U341" t="s">
        <v>2897</v>
      </c>
    </row>
    <row r="342" spans="1:21" hidden="1">
      <c r="A342" t="s">
        <v>789</v>
      </c>
      <c r="B342" t="s">
        <v>4143</v>
      </c>
      <c r="C342" t="s">
        <v>4161</v>
      </c>
      <c r="D342" t="s">
        <v>17</v>
      </c>
      <c r="E342" t="s">
        <v>2</v>
      </c>
      <c r="F342" t="s">
        <v>50</v>
      </c>
      <c r="G342" t="s">
        <v>51</v>
      </c>
      <c r="H342" t="s">
        <v>4162</v>
      </c>
      <c r="I342" t="s">
        <v>52</v>
      </c>
      <c r="J342" t="s">
        <v>60</v>
      </c>
      <c r="K342" t="s">
        <v>54</v>
      </c>
      <c r="L342" t="s">
        <v>55</v>
      </c>
      <c r="O342" t="s">
        <v>61</v>
      </c>
      <c r="P342" t="s">
        <v>62</v>
      </c>
      <c r="Q342" t="s">
        <v>4163</v>
      </c>
      <c r="R342" t="s">
        <v>4164</v>
      </c>
      <c r="S342" t="s">
        <v>2895</v>
      </c>
      <c r="T342" t="s">
        <v>2896</v>
      </c>
      <c r="U342" t="s">
        <v>2897</v>
      </c>
    </row>
    <row r="343" spans="1:21" hidden="1">
      <c r="A343" t="s">
        <v>791</v>
      </c>
      <c r="B343" t="s">
        <v>4143</v>
      </c>
      <c r="C343" t="s">
        <v>3991</v>
      </c>
      <c r="D343" t="s">
        <v>17</v>
      </c>
      <c r="E343" t="s">
        <v>2</v>
      </c>
      <c r="F343" t="s">
        <v>50</v>
      </c>
      <c r="G343" t="s">
        <v>100</v>
      </c>
      <c r="H343" t="s">
        <v>4165</v>
      </c>
      <c r="I343" t="s">
        <v>52</v>
      </c>
      <c r="J343" t="s">
        <v>114</v>
      </c>
      <c r="K343" t="s">
        <v>54</v>
      </c>
      <c r="L343" t="s">
        <v>102</v>
      </c>
      <c r="O343" t="s">
        <v>103</v>
      </c>
      <c r="P343" t="s">
        <v>104</v>
      </c>
      <c r="Q343" t="s">
        <v>4166</v>
      </c>
      <c r="R343" t="s">
        <v>4167</v>
      </c>
      <c r="S343" t="s">
        <v>2895</v>
      </c>
      <c r="T343" t="s">
        <v>2896</v>
      </c>
      <c r="U343" t="s">
        <v>2897</v>
      </c>
    </row>
    <row r="344" spans="1:21" hidden="1">
      <c r="A344" t="s">
        <v>793</v>
      </c>
      <c r="B344" t="s">
        <v>4143</v>
      </c>
      <c r="C344" t="s">
        <v>4168</v>
      </c>
      <c r="D344" t="s">
        <v>17</v>
      </c>
      <c r="E344" t="s">
        <v>2</v>
      </c>
      <c r="F344" t="s">
        <v>50</v>
      </c>
      <c r="G344" t="s">
        <v>100</v>
      </c>
      <c r="H344" t="s">
        <v>3037</v>
      </c>
      <c r="I344" t="s">
        <v>52</v>
      </c>
      <c r="J344" t="s">
        <v>114</v>
      </c>
      <c r="K344" t="s">
        <v>54</v>
      </c>
      <c r="L344" t="s">
        <v>102</v>
      </c>
      <c r="O344" t="s">
        <v>103</v>
      </c>
      <c r="P344" t="s">
        <v>104</v>
      </c>
      <c r="Q344" t="s">
        <v>4169</v>
      </c>
      <c r="R344" t="s">
        <v>3039</v>
      </c>
      <c r="S344" t="s">
        <v>2895</v>
      </c>
      <c r="T344" t="s">
        <v>2896</v>
      </c>
      <c r="U344" t="s">
        <v>2897</v>
      </c>
    </row>
    <row r="345" spans="1:21" hidden="1">
      <c r="A345" t="s">
        <v>795</v>
      </c>
      <c r="B345" t="s">
        <v>4170</v>
      </c>
      <c r="C345" t="s">
        <v>4171</v>
      </c>
      <c r="D345" t="s">
        <v>17</v>
      </c>
      <c r="E345" t="s">
        <v>2</v>
      </c>
      <c r="F345" t="s">
        <v>50</v>
      </c>
      <c r="G345" t="s">
        <v>51</v>
      </c>
      <c r="H345" t="s">
        <v>4172</v>
      </c>
      <c r="I345" t="s">
        <v>52</v>
      </c>
      <c r="J345" t="s">
        <v>81</v>
      </c>
      <c r="K345" t="s">
        <v>54</v>
      </c>
      <c r="L345" t="s">
        <v>55</v>
      </c>
      <c r="O345" t="s">
        <v>82</v>
      </c>
      <c r="P345" t="s">
        <v>83</v>
      </c>
      <c r="Q345" t="s">
        <v>4173</v>
      </c>
      <c r="R345" t="s">
        <v>4174</v>
      </c>
      <c r="S345" t="s">
        <v>2895</v>
      </c>
      <c r="T345" t="s">
        <v>2896</v>
      </c>
      <c r="U345" t="s">
        <v>2897</v>
      </c>
    </row>
    <row r="346" spans="1:21" hidden="1">
      <c r="A346" t="s">
        <v>797</v>
      </c>
      <c r="B346" t="s">
        <v>4170</v>
      </c>
      <c r="C346" t="s">
        <v>4175</v>
      </c>
      <c r="D346" t="s">
        <v>17</v>
      </c>
      <c r="E346" t="s">
        <v>2</v>
      </c>
      <c r="F346" t="s">
        <v>50</v>
      </c>
      <c r="G346" t="s">
        <v>51</v>
      </c>
      <c r="H346" t="s">
        <v>4176</v>
      </c>
      <c r="I346" t="s">
        <v>52</v>
      </c>
      <c r="J346" t="s">
        <v>196</v>
      </c>
      <c r="K346" t="s">
        <v>54</v>
      </c>
      <c r="L346" t="s">
        <v>55</v>
      </c>
      <c r="O346" t="s">
        <v>197</v>
      </c>
      <c r="P346" t="s">
        <v>198</v>
      </c>
      <c r="Q346" t="s">
        <v>4177</v>
      </c>
      <c r="R346" t="s">
        <v>4178</v>
      </c>
      <c r="S346" t="s">
        <v>2895</v>
      </c>
      <c r="T346" t="s">
        <v>2896</v>
      </c>
      <c r="U346" t="s">
        <v>2897</v>
      </c>
    </row>
    <row r="347" spans="1:21" hidden="1">
      <c r="A347" t="s">
        <v>799</v>
      </c>
      <c r="B347" t="s">
        <v>4170</v>
      </c>
      <c r="C347" t="s">
        <v>3343</v>
      </c>
      <c r="D347" t="s">
        <v>17</v>
      </c>
      <c r="E347" t="s">
        <v>2</v>
      </c>
      <c r="F347" t="s">
        <v>50</v>
      </c>
      <c r="G347" t="s">
        <v>51</v>
      </c>
      <c r="H347" t="s">
        <v>4179</v>
      </c>
      <c r="I347" t="s">
        <v>52</v>
      </c>
      <c r="J347" t="s">
        <v>126</v>
      </c>
      <c r="K347" t="s">
        <v>54</v>
      </c>
      <c r="L347" t="s">
        <v>55</v>
      </c>
      <c r="O347" t="s">
        <v>56</v>
      </c>
      <c r="P347" t="s">
        <v>57</v>
      </c>
      <c r="Q347" t="s">
        <v>4180</v>
      </c>
      <c r="R347" t="s">
        <v>4181</v>
      </c>
      <c r="S347" t="s">
        <v>2895</v>
      </c>
      <c r="T347" t="s">
        <v>2896</v>
      </c>
      <c r="U347" t="s">
        <v>2897</v>
      </c>
    </row>
    <row r="348" spans="1:21" hidden="1">
      <c r="A348" t="s">
        <v>801</v>
      </c>
      <c r="B348" t="s">
        <v>4170</v>
      </c>
      <c r="C348" t="s">
        <v>3604</v>
      </c>
      <c r="D348" t="s">
        <v>17</v>
      </c>
      <c r="E348" t="s">
        <v>2</v>
      </c>
      <c r="F348" t="s">
        <v>50</v>
      </c>
      <c r="G348" t="s">
        <v>100</v>
      </c>
      <c r="H348" t="s">
        <v>2969</v>
      </c>
      <c r="I348" t="s">
        <v>52</v>
      </c>
      <c r="J348" t="s">
        <v>101</v>
      </c>
      <c r="K348" t="s">
        <v>54</v>
      </c>
      <c r="L348" t="s">
        <v>102</v>
      </c>
      <c r="O348" t="s">
        <v>103</v>
      </c>
      <c r="P348" t="s">
        <v>104</v>
      </c>
      <c r="Q348" t="s">
        <v>4182</v>
      </c>
      <c r="R348" t="s">
        <v>2971</v>
      </c>
      <c r="S348" t="s">
        <v>2895</v>
      </c>
      <c r="T348" t="s">
        <v>2896</v>
      </c>
      <c r="U348" t="s">
        <v>2897</v>
      </c>
    </row>
    <row r="349" spans="1:21" hidden="1">
      <c r="A349" t="s">
        <v>803</v>
      </c>
      <c r="B349" t="s">
        <v>4170</v>
      </c>
      <c r="C349" t="s">
        <v>3261</v>
      </c>
      <c r="D349" t="s">
        <v>17</v>
      </c>
      <c r="E349" t="s">
        <v>2</v>
      </c>
      <c r="F349" t="s">
        <v>50</v>
      </c>
      <c r="G349" t="s">
        <v>51</v>
      </c>
      <c r="H349" t="s">
        <v>4183</v>
      </c>
      <c r="I349" t="s">
        <v>52</v>
      </c>
      <c r="J349" t="s">
        <v>81</v>
      </c>
      <c r="K349" t="s">
        <v>54</v>
      </c>
      <c r="L349" t="s">
        <v>55</v>
      </c>
      <c r="O349" t="s">
        <v>82</v>
      </c>
      <c r="P349" t="s">
        <v>83</v>
      </c>
      <c r="Q349" t="s">
        <v>4184</v>
      </c>
      <c r="R349" t="s">
        <v>4185</v>
      </c>
      <c r="S349" t="s">
        <v>2895</v>
      </c>
      <c r="T349" t="s">
        <v>2896</v>
      </c>
      <c r="U349" t="s">
        <v>2897</v>
      </c>
    </row>
    <row r="350" spans="1:21" hidden="1">
      <c r="A350" t="s">
        <v>805</v>
      </c>
      <c r="B350" t="s">
        <v>4186</v>
      </c>
      <c r="C350" t="s">
        <v>4187</v>
      </c>
      <c r="D350" t="s">
        <v>17</v>
      </c>
      <c r="E350" t="s">
        <v>2</v>
      </c>
      <c r="F350" t="s">
        <v>50</v>
      </c>
      <c r="G350" t="s">
        <v>51</v>
      </c>
      <c r="H350" t="s">
        <v>4188</v>
      </c>
      <c r="I350" t="s">
        <v>52</v>
      </c>
      <c r="J350" t="s">
        <v>53</v>
      </c>
      <c r="K350" t="s">
        <v>54</v>
      </c>
      <c r="L350" t="s">
        <v>55</v>
      </c>
      <c r="O350" t="s">
        <v>56</v>
      </c>
      <c r="P350" t="s">
        <v>57</v>
      </c>
      <c r="Q350" t="s">
        <v>4189</v>
      </c>
      <c r="R350" t="s">
        <v>4190</v>
      </c>
      <c r="S350" t="s">
        <v>2895</v>
      </c>
      <c r="T350" t="s">
        <v>2896</v>
      </c>
      <c r="U350" t="s">
        <v>2897</v>
      </c>
    </row>
    <row r="351" spans="1:21" hidden="1">
      <c r="A351" t="s">
        <v>807</v>
      </c>
      <c r="B351" t="s">
        <v>4186</v>
      </c>
      <c r="C351" t="s">
        <v>4191</v>
      </c>
      <c r="D351" t="s">
        <v>17</v>
      </c>
      <c r="E351" t="s">
        <v>2</v>
      </c>
      <c r="F351" t="s">
        <v>50</v>
      </c>
      <c r="G351" t="s">
        <v>100</v>
      </c>
      <c r="H351" t="s">
        <v>4192</v>
      </c>
      <c r="I351" t="s">
        <v>52</v>
      </c>
      <c r="J351" t="s">
        <v>114</v>
      </c>
      <c r="K351" t="s">
        <v>54</v>
      </c>
      <c r="L351" t="s">
        <v>102</v>
      </c>
      <c r="O351" t="s">
        <v>103</v>
      </c>
      <c r="P351" t="s">
        <v>104</v>
      </c>
      <c r="Q351" t="s">
        <v>4193</v>
      </c>
      <c r="R351" t="s">
        <v>4194</v>
      </c>
      <c r="S351" t="s">
        <v>2895</v>
      </c>
      <c r="T351" t="s">
        <v>2896</v>
      </c>
      <c r="U351" t="s">
        <v>2897</v>
      </c>
    </row>
    <row r="352" spans="1:21" hidden="1">
      <c r="A352" t="s">
        <v>809</v>
      </c>
      <c r="B352" t="s">
        <v>4186</v>
      </c>
      <c r="C352" t="s">
        <v>2956</v>
      </c>
      <c r="D352" t="s">
        <v>17</v>
      </c>
      <c r="E352" t="s">
        <v>2</v>
      </c>
      <c r="F352" t="s">
        <v>50</v>
      </c>
      <c r="G352" t="s">
        <v>51</v>
      </c>
      <c r="H352" t="s">
        <v>4195</v>
      </c>
      <c r="I352" t="s">
        <v>52</v>
      </c>
      <c r="J352" t="s">
        <v>60</v>
      </c>
      <c r="K352" t="s">
        <v>54</v>
      </c>
      <c r="L352" t="s">
        <v>55</v>
      </c>
      <c r="O352" t="s">
        <v>61</v>
      </c>
      <c r="P352" t="s">
        <v>62</v>
      </c>
      <c r="Q352" t="s">
        <v>4196</v>
      </c>
      <c r="R352" t="s">
        <v>4197</v>
      </c>
      <c r="S352" t="s">
        <v>2895</v>
      </c>
      <c r="T352" t="s">
        <v>2896</v>
      </c>
      <c r="U352" t="s">
        <v>2897</v>
      </c>
    </row>
    <row r="353" spans="1:21" hidden="1">
      <c r="A353" t="s">
        <v>811</v>
      </c>
      <c r="B353" t="s">
        <v>4186</v>
      </c>
      <c r="C353" t="s">
        <v>3118</v>
      </c>
      <c r="D353" t="s">
        <v>17</v>
      </c>
      <c r="E353" t="s">
        <v>2</v>
      </c>
      <c r="F353" t="s">
        <v>50</v>
      </c>
      <c r="G353" t="s">
        <v>51</v>
      </c>
      <c r="H353" t="s">
        <v>4198</v>
      </c>
      <c r="I353" t="s">
        <v>52</v>
      </c>
      <c r="J353" t="s">
        <v>81</v>
      </c>
      <c r="K353" t="s">
        <v>54</v>
      </c>
      <c r="L353" t="s">
        <v>55</v>
      </c>
      <c r="O353" t="s">
        <v>82</v>
      </c>
      <c r="P353" t="s">
        <v>83</v>
      </c>
      <c r="Q353" t="s">
        <v>4199</v>
      </c>
      <c r="R353" t="s">
        <v>4200</v>
      </c>
      <c r="S353" t="s">
        <v>2895</v>
      </c>
      <c r="T353" t="s">
        <v>2896</v>
      </c>
      <c r="U353" t="s">
        <v>2897</v>
      </c>
    </row>
    <row r="354" spans="1:21" hidden="1">
      <c r="A354" t="s">
        <v>813</v>
      </c>
      <c r="B354" t="s">
        <v>4186</v>
      </c>
      <c r="C354" t="s">
        <v>4201</v>
      </c>
      <c r="D354" t="s">
        <v>17</v>
      </c>
      <c r="E354" t="s">
        <v>2</v>
      </c>
      <c r="F354" t="s">
        <v>50</v>
      </c>
      <c r="G354" t="s">
        <v>100</v>
      </c>
      <c r="H354" t="s">
        <v>2969</v>
      </c>
      <c r="I354" t="s">
        <v>52</v>
      </c>
      <c r="J354" t="s">
        <v>101</v>
      </c>
      <c r="K354" t="s">
        <v>54</v>
      </c>
      <c r="L354" t="s">
        <v>102</v>
      </c>
      <c r="O354" t="s">
        <v>103</v>
      </c>
      <c r="P354" t="s">
        <v>104</v>
      </c>
      <c r="Q354" t="s">
        <v>4202</v>
      </c>
      <c r="R354" t="s">
        <v>2971</v>
      </c>
      <c r="S354" t="s">
        <v>2895</v>
      </c>
      <c r="T354" t="s">
        <v>2896</v>
      </c>
      <c r="U354" t="s">
        <v>2897</v>
      </c>
    </row>
    <row r="355" spans="1:21" hidden="1">
      <c r="A355" t="s">
        <v>815</v>
      </c>
      <c r="B355" t="s">
        <v>4186</v>
      </c>
      <c r="C355" t="s">
        <v>3458</v>
      </c>
      <c r="D355" t="s">
        <v>17</v>
      </c>
      <c r="E355" t="s">
        <v>2</v>
      </c>
      <c r="F355" t="s">
        <v>50</v>
      </c>
      <c r="G355" t="s">
        <v>51</v>
      </c>
      <c r="H355" t="s">
        <v>4203</v>
      </c>
      <c r="I355" t="s">
        <v>52</v>
      </c>
      <c r="J355" t="s">
        <v>121</v>
      </c>
      <c r="K355" t="s">
        <v>54</v>
      </c>
      <c r="L355" t="s">
        <v>55</v>
      </c>
      <c r="O355" t="s">
        <v>122</v>
      </c>
      <c r="P355" t="s">
        <v>123</v>
      </c>
      <c r="Q355" t="s">
        <v>4204</v>
      </c>
      <c r="R355" t="s">
        <v>4205</v>
      </c>
      <c r="S355" t="s">
        <v>2895</v>
      </c>
      <c r="T355" t="s">
        <v>2896</v>
      </c>
      <c r="U355" t="s">
        <v>2897</v>
      </c>
    </row>
    <row r="356" spans="1:21" hidden="1">
      <c r="A356" t="s">
        <v>817</v>
      </c>
      <c r="B356" t="s">
        <v>4186</v>
      </c>
      <c r="C356" t="s">
        <v>4206</v>
      </c>
      <c r="D356" t="s">
        <v>17</v>
      </c>
      <c r="E356" t="s">
        <v>2</v>
      </c>
      <c r="F356" t="s">
        <v>50</v>
      </c>
      <c r="G356" t="s">
        <v>72</v>
      </c>
      <c r="H356" t="s">
        <v>4207</v>
      </c>
      <c r="I356" t="s">
        <v>52</v>
      </c>
      <c r="J356" t="s">
        <v>150</v>
      </c>
      <c r="K356" t="s">
        <v>54</v>
      </c>
      <c r="L356" t="s">
        <v>74</v>
      </c>
      <c r="O356" t="s">
        <v>75</v>
      </c>
      <c r="P356" t="s">
        <v>76</v>
      </c>
      <c r="Q356" t="s">
        <v>4208</v>
      </c>
      <c r="R356" t="s">
        <v>4209</v>
      </c>
      <c r="S356" t="s">
        <v>2895</v>
      </c>
      <c r="T356" t="s">
        <v>2896</v>
      </c>
      <c r="U356" t="s">
        <v>2897</v>
      </c>
    </row>
    <row r="357" spans="1:21" hidden="1">
      <c r="A357" t="s">
        <v>819</v>
      </c>
      <c r="B357" t="s">
        <v>4210</v>
      </c>
      <c r="C357" t="s">
        <v>4211</v>
      </c>
      <c r="D357" t="s">
        <v>17</v>
      </c>
      <c r="E357" t="s">
        <v>2</v>
      </c>
      <c r="F357" t="s">
        <v>50</v>
      </c>
      <c r="G357" t="s">
        <v>51</v>
      </c>
      <c r="H357" t="s">
        <v>4212</v>
      </c>
      <c r="I357" t="s">
        <v>52</v>
      </c>
      <c r="J357" t="s">
        <v>53</v>
      </c>
      <c r="K357" t="s">
        <v>54</v>
      </c>
      <c r="L357" t="s">
        <v>55</v>
      </c>
      <c r="O357" t="s">
        <v>56</v>
      </c>
      <c r="P357" t="s">
        <v>57</v>
      </c>
      <c r="Q357" t="s">
        <v>4213</v>
      </c>
      <c r="R357" t="s">
        <v>4214</v>
      </c>
      <c r="S357" t="s">
        <v>2895</v>
      </c>
      <c r="T357" t="s">
        <v>2896</v>
      </c>
      <c r="U357" t="s">
        <v>2897</v>
      </c>
    </row>
    <row r="358" spans="1:21" hidden="1">
      <c r="A358" t="s">
        <v>821</v>
      </c>
      <c r="B358" t="s">
        <v>4210</v>
      </c>
      <c r="C358" t="s">
        <v>4215</v>
      </c>
      <c r="D358" t="s">
        <v>17</v>
      </c>
      <c r="E358" t="s">
        <v>2</v>
      </c>
      <c r="F358" t="s">
        <v>50</v>
      </c>
      <c r="G358" t="s">
        <v>51</v>
      </c>
      <c r="H358" t="s">
        <v>4216</v>
      </c>
      <c r="I358" t="s">
        <v>52</v>
      </c>
      <c r="J358" t="s">
        <v>81</v>
      </c>
      <c r="K358" t="s">
        <v>54</v>
      </c>
      <c r="L358" t="s">
        <v>55</v>
      </c>
      <c r="O358" t="s">
        <v>82</v>
      </c>
      <c r="P358" t="s">
        <v>83</v>
      </c>
      <c r="Q358" t="s">
        <v>4217</v>
      </c>
      <c r="R358" t="s">
        <v>4218</v>
      </c>
      <c r="S358" t="s">
        <v>2895</v>
      </c>
      <c r="T358" t="s">
        <v>2896</v>
      </c>
      <c r="U358" t="s">
        <v>2897</v>
      </c>
    </row>
    <row r="359" spans="1:21" hidden="1">
      <c r="A359" t="s">
        <v>823</v>
      </c>
      <c r="B359" t="s">
        <v>4210</v>
      </c>
      <c r="C359" t="s">
        <v>4219</v>
      </c>
      <c r="D359" t="s">
        <v>17</v>
      </c>
      <c r="E359" t="s">
        <v>2</v>
      </c>
      <c r="F359" t="s">
        <v>50</v>
      </c>
      <c r="G359" t="s">
        <v>100</v>
      </c>
      <c r="H359" t="s">
        <v>2969</v>
      </c>
      <c r="I359" t="s">
        <v>52</v>
      </c>
      <c r="J359" t="s">
        <v>101</v>
      </c>
      <c r="K359" t="s">
        <v>54</v>
      </c>
      <c r="L359" t="s">
        <v>102</v>
      </c>
      <c r="O359" t="s">
        <v>103</v>
      </c>
      <c r="P359" t="s">
        <v>104</v>
      </c>
      <c r="Q359" t="s">
        <v>4220</v>
      </c>
      <c r="R359" t="s">
        <v>2971</v>
      </c>
      <c r="S359" t="s">
        <v>2895</v>
      </c>
      <c r="T359" t="s">
        <v>2896</v>
      </c>
      <c r="U359" t="s">
        <v>2897</v>
      </c>
    </row>
    <row r="360" spans="1:21" hidden="1">
      <c r="A360" t="s">
        <v>825</v>
      </c>
      <c r="B360" t="s">
        <v>4210</v>
      </c>
      <c r="C360" t="s">
        <v>4221</v>
      </c>
      <c r="D360" t="s">
        <v>17</v>
      </c>
      <c r="E360" t="s">
        <v>2</v>
      </c>
      <c r="F360" t="s">
        <v>50</v>
      </c>
      <c r="G360" t="s">
        <v>51</v>
      </c>
      <c r="H360" t="s">
        <v>4222</v>
      </c>
      <c r="I360" t="s">
        <v>52</v>
      </c>
      <c r="J360" t="s">
        <v>121</v>
      </c>
      <c r="K360" t="s">
        <v>54</v>
      </c>
      <c r="L360" t="s">
        <v>55</v>
      </c>
      <c r="O360" t="s">
        <v>122</v>
      </c>
      <c r="P360" t="s">
        <v>123</v>
      </c>
      <c r="Q360" t="s">
        <v>4223</v>
      </c>
      <c r="R360" t="s">
        <v>4224</v>
      </c>
      <c r="S360" t="s">
        <v>2895</v>
      </c>
      <c r="T360" t="s">
        <v>2896</v>
      </c>
      <c r="U360" t="s">
        <v>2897</v>
      </c>
    </row>
    <row r="361" spans="1:21" hidden="1">
      <c r="A361" t="s">
        <v>827</v>
      </c>
      <c r="B361" t="s">
        <v>4210</v>
      </c>
      <c r="C361" t="s">
        <v>4225</v>
      </c>
      <c r="D361" t="s">
        <v>17</v>
      </c>
      <c r="E361" t="s">
        <v>2</v>
      </c>
      <c r="F361" t="s">
        <v>50</v>
      </c>
      <c r="G361" t="s">
        <v>51</v>
      </c>
      <c r="H361" t="s">
        <v>4226</v>
      </c>
      <c r="I361" t="s">
        <v>52</v>
      </c>
      <c r="J361" t="s">
        <v>81</v>
      </c>
      <c r="K361" t="s">
        <v>54</v>
      </c>
      <c r="L361" t="s">
        <v>55</v>
      </c>
      <c r="O361" t="s">
        <v>82</v>
      </c>
      <c r="P361" t="s">
        <v>83</v>
      </c>
      <c r="Q361" t="s">
        <v>4227</v>
      </c>
      <c r="R361" t="s">
        <v>4228</v>
      </c>
      <c r="S361" t="s">
        <v>2895</v>
      </c>
      <c r="T361" t="s">
        <v>2896</v>
      </c>
      <c r="U361" t="s">
        <v>2897</v>
      </c>
    </row>
    <row r="362" spans="1:21" hidden="1">
      <c r="A362" t="s">
        <v>829</v>
      </c>
      <c r="B362" t="s">
        <v>4210</v>
      </c>
      <c r="C362" t="s">
        <v>3088</v>
      </c>
      <c r="D362" t="s">
        <v>17</v>
      </c>
      <c r="E362" t="s">
        <v>2</v>
      </c>
      <c r="F362" t="s">
        <v>50</v>
      </c>
      <c r="G362" t="s">
        <v>100</v>
      </c>
      <c r="H362" t="s">
        <v>2969</v>
      </c>
      <c r="I362" t="s">
        <v>52</v>
      </c>
      <c r="J362" t="s">
        <v>101</v>
      </c>
      <c r="K362" t="s">
        <v>54</v>
      </c>
      <c r="L362" t="s">
        <v>102</v>
      </c>
      <c r="O362" t="s">
        <v>103</v>
      </c>
      <c r="P362" t="s">
        <v>104</v>
      </c>
      <c r="Q362" t="s">
        <v>4229</v>
      </c>
      <c r="R362" t="s">
        <v>2971</v>
      </c>
      <c r="S362" t="s">
        <v>2895</v>
      </c>
      <c r="T362" t="s">
        <v>2896</v>
      </c>
      <c r="U362" t="s">
        <v>2897</v>
      </c>
    </row>
    <row r="363" spans="1:21" hidden="1">
      <c r="A363" t="s">
        <v>831</v>
      </c>
      <c r="B363" t="s">
        <v>4210</v>
      </c>
      <c r="C363" t="s">
        <v>4230</v>
      </c>
      <c r="D363" t="s">
        <v>17</v>
      </c>
      <c r="E363" t="s">
        <v>2</v>
      </c>
      <c r="F363" t="s">
        <v>50</v>
      </c>
      <c r="G363" t="s">
        <v>51</v>
      </c>
      <c r="H363" t="s">
        <v>4231</v>
      </c>
      <c r="I363" t="s">
        <v>52</v>
      </c>
      <c r="J363" t="s">
        <v>81</v>
      </c>
      <c r="K363" t="s">
        <v>54</v>
      </c>
      <c r="L363" t="s">
        <v>55</v>
      </c>
      <c r="O363" t="s">
        <v>82</v>
      </c>
      <c r="P363" t="s">
        <v>83</v>
      </c>
      <c r="Q363" t="s">
        <v>4232</v>
      </c>
      <c r="R363" t="s">
        <v>4233</v>
      </c>
      <c r="S363" t="s">
        <v>2895</v>
      </c>
      <c r="T363" t="s">
        <v>2896</v>
      </c>
      <c r="U363" t="s">
        <v>2897</v>
      </c>
    </row>
    <row r="364" spans="1:21" hidden="1">
      <c r="A364" t="s">
        <v>833</v>
      </c>
      <c r="B364" t="s">
        <v>4210</v>
      </c>
      <c r="C364" t="s">
        <v>4234</v>
      </c>
      <c r="D364" t="s">
        <v>17</v>
      </c>
      <c r="E364" t="s">
        <v>2</v>
      </c>
      <c r="F364" t="s">
        <v>50</v>
      </c>
      <c r="G364" t="s">
        <v>51</v>
      </c>
      <c r="H364" t="s">
        <v>4235</v>
      </c>
      <c r="I364" t="s">
        <v>52</v>
      </c>
      <c r="J364" t="s">
        <v>60</v>
      </c>
      <c r="K364" t="s">
        <v>54</v>
      </c>
      <c r="L364" t="s">
        <v>55</v>
      </c>
      <c r="O364" t="s">
        <v>61</v>
      </c>
      <c r="P364" t="s">
        <v>62</v>
      </c>
      <c r="Q364" t="s">
        <v>4236</v>
      </c>
      <c r="R364" t="s">
        <v>4237</v>
      </c>
      <c r="S364" t="s">
        <v>2895</v>
      </c>
      <c r="T364" t="s">
        <v>2896</v>
      </c>
      <c r="U364" t="s">
        <v>2897</v>
      </c>
    </row>
    <row r="365" spans="1:21" hidden="1">
      <c r="A365" t="s">
        <v>835</v>
      </c>
      <c r="B365" t="s">
        <v>4238</v>
      </c>
      <c r="C365" t="s">
        <v>4239</v>
      </c>
      <c r="D365" t="s">
        <v>17</v>
      </c>
      <c r="E365" t="s">
        <v>2</v>
      </c>
      <c r="F365" t="s">
        <v>50</v>
      </c>
      <c r="G365" t="s">
        <v>51</v>
      </c>
      <c r="H365" t="s">
        <v>4240</v>
      </c>
      <c r="I365" t="s">
        <v>52</v>
      </c>
      <c r="J365" t="s">
        <v>81</v>
      </c>
      <c r="K365" t="s">
        <v>54</v>
      </c>
      <c r="L365" t="s">
        <v>55</v>
      </c>
      <c r="O365" t="s">
        <v>82</v>
      </c>
      <c r="P365" t="s">
        <v>83</v>
      </c>
      <c r="Q365" t="s">
        <v>4241</v>
      </c>
      <c r="R365" t="s">
        <v>4242</v>
      </c>
      <c r="S365" t="s">
        <v>2895</v>
      </c>
      <c r="T365" t="s">
        <v>2896</v>
      </c>
      <c r="U365" t="s">
        <v>2897</v>
      </c>
    </row>
    <row r="366" spans="1:21" hidden="1">
      <c r="A366" t="s">
        <v>837</v>
      </c>
      <c r="B366" t="s">
        <v>4238</v>
      </c>
      <c r="C366" t="s">
        <v>4243</v>
      </c>
      <c r="D366" t="s">
        <v>17</v>
      </c>
      <c r="E366" t="s">
        <v>2</v>
      </c>
      <c r="F366" t="s">
        <v>149</v>
      </c>
      <c r="G366" t="s">
        <v>72</v>
      </c>
      <c r="H366" t="s">
        <v>4244</v>
      </c>
      <c r="I366" t="s">
        <v>52</v>
      </c>
      <c r="J366" t="s">
        <v>606</v>
      </c>
      <c r="K366" t="s">
        <v>54</v>
      </c>
      <c r="L366" t="s">
        <v>74</v>
      </c>
      <c r="O366" t="s">
        <v>75</v>
      </c>
      <c r="P366" t="s">
        <v>76</v>
      </c>
      <c r="Q366" t="s">
        <v>4245</v>
      </c>
      <c r="R366" t="s">
        <v>4244</v>
      </c>
      <c r="S366" t="s">
        <v>2895</v>
      </c>
      <c r="T366" t="s">
        <v>2896</v>
      </c>
      <c r="U366" t="s">
        <v>2897</v>
      </c>
    </row>
    <row r="367" spans="1:21" hidden="1">
      <c r="A367" t="s">
        <v>839</v>
      </c>
      <c r="B367" t="s">
        <v>4238</v>
      </c>
      <c r="C367" t="s">
        <v>4246</v>
      </c>
      <c r="D367" t="s">
        <v>17</v>
      </c>
      <c r="E367" t="s">
        <v>2</v>
      </c>
      <c r="F367" t="s">
        <v>50</v>
      </c>
      <c r="G367" t="s">
        <v>100</v>
      </c>
      <c r="H367" t="s">
        <v>2969</v>
      </c>
      <c r="I367" t="s">
        <v>52</v>
      </c>
      <c r="J367" t="s">
        <v>101</v>
      </c>
      <c r="K367" t="s">
        <v>54</v>
      </c>
      <c r="L367" t="s">
        <v>102</v>
      </c>
      <c r="O367" t="s">
        <v>103</v>
      </c>
      <c r="P367" t="s">
        <v>104</v>
      </c>
      <c r="Q367" t="s">
        <v>4247</v>
      </c>
      <c r="R367" t="s">
        <v>2971</v>
      </c>
      <c r="S367" t="s">
        <v>2895</v>
      </c>
      <c r="T367" t="s">
        <v>2896</v>
      </c>
      <c r="U367" t="s">
        <v>2897</v>
      </c>
    </row>
    <row r="368" spans="1:21" hidden="1">
      <c r="A368" t="s">
        <v>841</v>
      </c>
      <c r="B368" t="s">
        <v>4238</v>
      </c>
      <c r="C368" t="s">
        <v>4248</v>
      </c>
      <c r="D368" t="s">
        <v>17</v>
      </c>
      <c r="E368" t="s">
        <v>2</v>
      </c>
      <c r="F368" t="s">
        <v>50</v>
      </c>
      <c r="G368" t="s">
        <v>51</v>
      </c>
      <c r="H368" t="s">
        <v>3988</v>
      </c>
      <c r="I368" t="s">
        <v>52</v>
      </c>
      <c r="J368" t="s">
        <v>53</v>
      </c>
      <c r="K368" t="s">
        <v>54</v>
      </c>
      <c r="L368" t="s">
        <v>55</v>
      </c>
      <c r="O368" t="s">
        <v>56</v>
      </c>
      <c r="P368" t="s">
        <v>57</v>
      </c>
      <c r="Q368" t="s">
        <v>4249</v>
      </c>
      <c r="R368" t="s">
        <v>3990</v>
      </c>
      <c r="S368" t="s">
        <v>2895</v>
      </c>
      <c r="T368" t="s">
        <v>2896</v>
      </c>
      <c r="U368" t="s">
        <v>2897</v>
      </c>
    </row>
    <row r="369" spans="1:21" hidden="1">
      <c r="A369" t="s">
        <v>843</v>
      </c>
      <c r="B369" t="s">
        <v>4238</v>
      </c>
      <c r="C369" t="s">
        <v>4250</v>
      </c>
      <c r="D369" t="s">
        <v>17</v>
      </c>
      <c r="E369" t="s">
        <v>2</v>
      </c>
      <c r="F369" t="s">
        <v>50</v>
      </c>
      <c r="G369" t="s">
        <v>51</v>
      </c>
      <c r="H369" t="s">
        <v>4251</v>
      </c>
      <c r="I369" t="s">
        <v>52</v>
      </c>
      <c r="J369" t="s">
        <v>196</v>
      </c>
      <c r="K369" t="s">
        <v>54</v>
      </c>
      <c r="L369" t="s">
        <v>55</v>
      </c>
      <c r="O369" t="s">
        <v>197</v>
      </c>
      <c r="P369" t="s">
        <v>198</v>
      </c>
      <c r="Q369" t="s">
        <v>4252</v>
      </c>
      <c r="R369" t="s">
        <v>4253</v>
      </c>
      <c r="S369" t="s">
        <v>2895</v>
      </c>
      <c r="T369" t="s">
        <v>2896</v>
      </c>
      <c r="U369" t="s">
        <v>2897</v>
      </c>
    </row>
    <row r="370" spans="1:21" hidden="1">
      <c r="A370" t="s">
        <v>845</v>
      </c>
      <c r="B370" t="s">
        <v>4238</v>
      </c>
      <c r="C370" t="s">
        <v>4254</v>
      </c>
      <c r="D370" t="s">
        <v>17</v>
      </c>
      <c r="E370" t="s">
        <v>2</v>
      </c>
      <c r="F370" t="s">
        <v>50</v>
      </c>
      <c r="G370" t="s">
        <v>100</v>
      </c>
      <c r="H370" t="s">
        <v>3451</v>
      </c>
      <c r="I370" t="s">
        <v>52</v>
      </c>
      <c r="J370" t="s">
        <v>384</v>
      </c>
      <c r="K370" t="s">
        <v>54</v>
      </c>
      <c r="L370" t="s">
        <v>102</v>
      </c>
      <c r="O370" t="s">
        <v>178</v>
      </c>
      <c r="P370" t="s">
        <v>385</v>
      </c>
      <c r="Q370" t="s">
        <v>4255</v>
      </c>
      <c r="R370" t="s">
        <v>3453</v>
      </c>
      <c r="S370" t="s">
        <v>2895</v>
      </c>
      <c r="T370" t="s">
        <v>2896</v>
      </c>
      <c r="U370" t="s">
        <v>2897</v>
      </c>
    </row>
    <row r="371" spans="1:21" hidden="1">
      <c r="A371" t="s">
        <v>847</v>
      </c>
      <c r="B371" t="s">
        <v>4238</v>
      </c>
      <c r="C371" t="s">
        <v>4256</v>
      </c>
      <c r="D371" t="s">
        <v>17</v>
      </c>
      <c r="E371" t="s">
        <v>2</v>
      </c>
      <c r="F371" t="s">
        <v>50</v>
      </c>
      <c r="G371" t="s">
        <v>100</v>
      </c>
      <c r="H371" t="s">
        <v>4257</v>
      </c>
      <c r="I371" t="s">
        <v>52</v>
      </c>
      <c r="J371" t="s">
        <v>114</v>
      </c>
      <c r="K371" t="s">
        <v>54</v>
      </c>
      <c r="L371" t="s">
        <v>102</v>
      </c>
      <c r="O371" t="s">
        <v>103</v>
      </c>
      <c r="P371" t="s">
        <v>104</v>
      </c>
      <c r="Q371" t="s">
        <v>4258</v>
      </c>
      <c r="R371" t="s">
        <v>4259</v>
      </c>
      <c r="S371" t="s">
        <v>2895</v>
      </c>
      <c r="T371" t="s">
        <v>2896</v>
      </c>
      <c r="U371" t="s">
        <v>2897</v>
      </c>
    </row>
    <row r="372" spans="1:21" hidden="1">
      <c r="A372" t="s">
        <v>849</v>
      </c>
      <c r="B372" t="s">
        <v>4238</v>
      </c>
      <c r="C372" t="s">
        <v>3558</v>
      </c>
      <c r="D372" t="s">
        <v>17</v>
      </c>
      <c r="E372" t="s">
        <v>2</v>
      </c>
      <c r="F372" t="s">
        <v>50</v>
      </c>
      <c r="G372" t="s">
        <v>51</v>
      </c>
      <c r="H372" t="s">
        <v>4260</v>
      </c>
      <c r="I372" t="s">
        <v>52</v>
      </c>
      <c r="J372" t="s">
        <v>196</v>
      </c>
      <c r="K372" t="s">
        <v>54</v>
      </c>
      <c r="L372" t="s">
        <v>55</v>
      </c>
      <c r="O372" t="s">
        <v>197</v>
      </c>
      <c r="P372" t="s">
        <v>198</v>
      </c>
      <c r="Q372" t="s">
        <v>4261</v>
      </c>
      <c r="R372" t="s">
        <v>4262</v>
      </c>
      <c r="S372" t="s">
        <v>2895</v>
      </c>
      <c r="T372" t="s">
        <v>2896</v>
      </c>
      <c r="U372" t="s">
        <v>2897</v>
      </c>
    </row>
    <row r="373" spans="1:21" hidden="1">
      <c r="A373" t="s">
        <v>851</v>
      </c>
      <c r="B373" t="s">
        <v>4238</v>
      </c>
      <c r="C373" t="s">
        <v>4263</v>
      </c>
      <c r="D373" t="s">
        <v>17</v>
      </c>
      <c r="E373" t="s">
        <v>2</v>
      </c>
      <c r="F373" t="s">
        <v>50</v>
      </c>
      <c r="G373" t="s">
        <v>88</v>
      </c>
      <c r="H373" t="s">
        <v>4084</v>
      </c>
      <c r="I373" t="s">
        <v>52</v>
      </c>
      <c r="J373" t="s">
        <v>89</v>
      </c>
      <c r="K373" t="s">
        <v>54</v>
      </c>
      <c r="L373" t="s">
        <v>90</v>
      </c>
      <c r="M373" t="s">
        <v>91</v>
      </c>
      <c r="N373" t="s">
        <v>12</v>
      </c>
      <c r="O373" t="s">
        <v>92</v>
      </c>
      <c r="P373" t="s">
        <v>93</v>
      </c>
      <c r="Q373" t="s">
        <v>4264</v>
      </c>
      <c r="R373" t="s">
        <v>4086</v>
      </c>
      <c r="S373" t="s">
        <v>2895</v>
      </c>
      <c r="T373" t="s">
        <v>2896</v>
      </c>
      <c r="U373" t="s">
        <v>2897</v>
      </c>
    </row>
    <row r="374" spans="1:21" hidden="1">
      <c r="A374" t="s">
        <v>853</v>
      </c>
      <c r="B374" t="s">
        <v>4238</v>
      </c>
      <c r="C374" t="s">
        <v>4265</v>
      </c>
      <c r="D374" t="s">
        <v>17</v>
      </c>
      <c r="E374" t="s">
        <v>2</v>
      </c>
      <c r="F374" t="s">
        <v>50</v>
      </c>
      <c r="G374" t="s">
        <v>100</v>
      </c>
      <c r="H374" t="s">
        <v>2969</v>
      </c>
      <c r="I374" t="s">
        <v>52</v>
      </c>
      <c r="J374" t="s">
        <v>101</v>
      </c>
      <c r="K374" t="s">
        <v>54</v>
      </c>
      <c r="L374" t="s">
        <v>102</v>
      </c>
      <c r="O374" t="s">
        <v>103</v>
      </c>
      <c r="P374" t="s">
        <v>104</v>
      </c>
      <c r="Q374" t="s">
        <v>4266</v>
      </c>
      <c r="R374" t="s">
        <v>2971</v>
      </c>
      <c r="S374" t="s">
        <v>2895</v>
      </c>
      <c r="T374" t="s">
        <v>2896</v>
      </c>
      <c r="U374" t="s">
        <v>2897</v>
      </c>
    </row>
    <row r="375" spans="1:21" hidden="1">
      <c r="A375" t="s">
        <v>855</v>
      </c>
      <c r="B375" t="s">
        <v>4238</v>
      </c>
      <c r="C375" t="s">
        <v>4267</v>
      </c>
      <c r="D375" t="s">
        <v>17</v>
      </c>
      <c r="E375" t="s">
        <v>2</v>
      </c>
      <c r="F375" t="s">
        <v>50</v>
      </c>
      <c r="G375" t="s">
        <v>51</v>
      </c>
      <c r="H375" t="s">
        <v>4268</v>
      </c>
      <c r="I375" t="s">
        <v>52</v>
      </c>
      <c r="J375" t="s">
        <v>126</v>
      </c>
      <c r="K375" t="s">
        <v>54</v>
      </c>
      <c r="L375" t="s">
        <v>55</v>
      </c>
      <c r="O375" t="s">
        <v>56</v>
      </c>
      <c r="P375" t="s">
        <v>57</v>
      </c>
      <c r="Q375" t="s">
        <v>4269</v>
      </c>
      <c r="R375" t="s">
        <v>4270</v>
      </c>
      <c r="S375" t="s">
        <v>2895</v>
      </c>
      <c r="T375" t="s">
        <v>2896</v>
      </c>
      <c r="U375" t="s">
        <v>2897</v>
      </c>
    </row>
    <row r="376" spans="1:21" hidden="1">
      <c r="A376" t="s">
        <v>857</v>
      </c>
      <c r="B376" t="s">
        <v>4271</v>
      </c>
      <c r="C376" t="s">
        <v>4272</v>
      </c>
      <c r="D376" t="s">
        <v>17</v>
      </c>
      <c r="E376" t="s">
        <v>2</v>
      </c>
      <c r="F376" t="s">
        <v>50</v>
      </c>
      <c r="G376" t="s">
        <v>51</v>
      </c>
      <c r="H376" t="s">
        <v>4273</v>
      </c>
      <c r="I376" t="s">
        <v>52</v>
      </c>
      <c r="J376" t="s">
        <v>121</v>
      </c>
      <c r="K376" t="s">
        <v>54</v>
      </c>
      <c r="L376" t="s">
        <v>55</v>
      </c>
      <c r="O376" t="s">
        <v>122</v>
      </c>
      <c r="P376" t="s">
        <v>123</v>
      </c>
      <c r="Q376" t="s">
        <v>4274</v>
      </c>
      <c r="R376" t="s">
        <v>4275</v>
      </c>
      <c r="S376" t="s">
        <v>2895</v>
      </c>
      <c r="T376" t="s">
        <v>2896</v>
      </c>
      <c r="U376" t="s">
        <v>2897</v>
      </c>
    </row>
    <row r="377" spans="1:21" hidden="1">
      <c r="A377" t="s">
        <v>859</v>
      </c>
      <c r="B377" t="s">
        <v>4271</v>
      </c>
      <c r="C377" t="s">
        <v>4276</v>
      </c>
      <c r="D377" t="s">
        <v>17</v>
      </c>
      <c r="E377" t="s">
        <v>2</v>
      </c>
      <c r="F377" t="s">
        <v>50</v>
      </c>
      <c r="G377" t="s">
        <v>72</v>
      </c>
      <c r="H377" t="s">
        <v>4277</v>
      </c>
      <c r="I377" t="s">
        <v>52</v>
      </c>
      <c r="J377" t="s">
        <v>606</v>
      </c>
      <c r="K377" t="s">
        <v>54</v>
      </c>
      <c r="L377" t="s">
        <v>74</v>
      </c>
      <c r="O377" t="s">
        <v>75</v>
      </c>
      <c r="P377" t="s">
        <v>76</v>
      </c>
      <c r="Q377" t="s">
        <v>4278</v>
      </c>
      <c r="R377" t="s">
        <v>4279</v>
      </c>
      <c r="S377" t="s">
        <v>2895</v>
      </c>
      <c r="T377" t="s">
        <v>2896</v>
      </c>
      <c r="U377" t="s">
        <v>2897</v>
      </c>
    </row>
    <row r="378" spans="1:21" hidden="1">
      <c r="A378" t="s">
        <v>861</v>
      </c>
      <c r="B378" t="s">
        <v>4271</v>
      </c>
      <c r="C378" t="s">
        <v>3637</v>
      </c>
      <c r="D378" t="s">
        <v>17</v>
      </c>
      <c r="E378" t="s">
        <v>2</v>
      </c>
      <c r="F378" t="s">
        <v>50</v>
      </c>
      <c r="G378" t="s">
        <v>100</v>
      </c>
      <c r="H378" t="s">
        <v>4280</v>
      </c>
      <c r="I378" t="s">
        <v>52</v>
      </c>
      <c r="J378" t="s">
        <v>114</v>
      </c>
      <c r="K378" t="s">
        <v>54</v>
      </c>
      <c r="L378" t="s">
        <v>102</v>
      </c>
      <c r="O378" t="s">
        <v>103</v>
      </c>
      <c r="P378" t="s">
        <v>104</v>
      </c>
      <c r="Q378" t="s">
        <v>4281</v>
      </c>
      <c r="R378" t="s">
        <v>4282</v>
      </c>
      <c r="S378" t="s">
        <v>2895</v>
      </c>
      <c r="T378" t="s">
        <v>2896</v>
      </c>
      <c r="U378" t="s">
        <v>2897</v>
      </c>
    </row>
    <row r="379" spans="1:21" hidden="1">
      <c r="A379" t="s">
        <v>863</v>
      </c>
      <c r="B379" t="s">
        <v>4271</v>
      </c>
      <c r="C379" t="s">
        <v>4283</v>
      </c>
      <c r="D379" t="s">
        <v>17</v>
      </c>
      <c r="E379" t="s">
        <v>2</v>
      </c>
      <c r="F379" t="s">
        <v>50</v>
      </c>
      <c r="G379" t="s">
        <v>100</v>
      </c>
      <c r="H379" t="s">
        <v>4284</v>
      </c>
      <c r="I379" t="s">
        <v>52</v>
      </c>
      <c r="J379" t="s">
        <v>114</v>
      </c>
      <c r="K379" t="s">
        <v>54</v>
      </c>
      <c r="L379" t="s">
        <v>102</v>
      </c>
      <c r="O379" t="s">
        <v>103</v>
      </c>
      <c r="P379" t="s">
        <v>104</v>
      </c>
      <c r="Q379" t="s">
        <v>4285</v>
      </c>
      <c r="R379" t="s">
        <v>4286</v>
      </c>
      <c r="S379" t="s">
        <v>2895</v>
      </c>
      <c r="T379" t="s">
        <v>2896</v>
      </c>
      <c r="U379" t="s">
        <v>2897</v>
      </c>
    </row>
    <row r="380" spans="1:21" hidden="1">
      <c r="A380" t="s">
        <v>865</v>
      </c>
      <c r="B380" t="s">
        <v>4271</v>
      </c>
      <c r="C380" t="s">
        <v>4287</v>
      </c>
      <c r="D380" t="s">
        <v>17</v>
      </c>
      <c r="E380" t="s">
        <v>2</v>
      </c>
      <c r="F380" t="s">
        <v>50</v>
      </c>
      <c r="G380" t="s">
        <v>51</v>
      </c>
      <c r="H380" t="s">
        <v>4288</v>
      </c>
      <c r="I380" t="s">
        <v>52</v>
      </c>
      <c r="J380" t="s">
        <v>60</v>
      </c>
      <c r="K380" t="s">
        <v>54</v>
      </c>
      <c r="L380" t="s">
        <v>55</v>
      </c>
      <c r="O380" t="s">
        <v>61</v>
      </c>
      <c r="P380" t="s">
        <v>62</v>
      </c>
      <c r="Q380" t="s">
        <v>4289</v>
      </c>
      <c r="R380" t="s">
        <v>4290</v>
      </c>
      <c r="S380" t="s">
        <v>2895</v>
      </c>
      <c r="T380" t="s">
        <v>2896</v>
      </c>
      <c r="U380" t="s">
        <v>2897</v>
      </c>
    </row>
    <row r="381" spans="1:21" hidden="1">
      <c r="A381" t="s">
        <v>867</v>
      </c>
      <c r="B381" t="s">
        <v>4271</v>
      </c>
      <c r="C381" t="s">
        <v>4291</v>
      </c>
      <c r="D381" t="s">
        <v>17</v>
      </c>
      <c r="E381" t="s">
        <v>2</v>
      </c>
      <c r="F381" t="s">
        <v>50</v>
      </c>
      <c r="G381" t="s">
        <v>51</v>
      </c>
      <c r="H381" t="s">
        <v>4292</v>
      </c>
      <c r="I381" t="s">
        <v>52</v>
      </c>
      <c r="J381" t="s">
        <v>60</v>
      </c>
      <c r="K381" t="s">
        <v>54</v>
      </c>
      <c r="L381" t="s">
        <v>55</v>
      </c>
      <c r="O381" t="s">
        <v>61</v>
      </c>
      <c r="P381" t="s">
        <v>62</v>
      </c>
      <c r="Q381" t="s">
        <v>4293</v>
      </c>
      <c r="R381" t="s">
        <v>4294</v>
      </c>
      <c r="S381" t="s">
        <v>2895</v>
      </c>
      <c r="T381" t="s">
        <v>2896</v>
      </c>
      <c r="U381" t="s">
        <v>2897</v>
      </c>
    </row>
    <row r="382" spans="1:21" hidden="1">
      <c r="A382" t="s">
        <v>869</v>
      </c>
      <c r="B382" t="s">
        <v>4271</v>
      </c>
      <c r="C382" t="s">
        <v>3441</v>
      </c>
      <c r="D382" t="s">
        <v>17</v>
      </c>
      <c r="E382" t="s">
        <v>2</v>
      </c>
      <c r="F382" t="s">
        <v>50</v>
      </c>
      <c r="G382" t="s">
        <v>100</v>
      </c>
      <c r="H382" t="s">
        <v>4295</v>
      </c>
      <c r="I382" t="s">
        <v>52</v>
      </c>
      <c r="J382" t="s">
        <v>114</v>
      </c>
      <c r="K382" t="s">
        <v>54</v>
      </c>
      <c r="L382" t="s">
        <v>102</v>
      </c>
      <c r="O382" t="s">
        <v>103</v>
      </c>
      <c r="P382" t="s">
        <v>104</v>
      </c>
      <c r="Q382" t="s">
        <v>4296</v>
      </c>
      <c r="R382" t="s">
        <v>4297</v>
      </c>
      <c r="S382" t="s">
        <v>2895</v>
      </c>
      <c r="T382" t="s">
        <v>2896</v>
      </c>
      <c r="U382" t="s">
        <v>2897</v>
      </c>
    </row>
    <row r="383" spans="1:21" hidden="1">
      <c r="A383" t="s">
        <v>871</v>
      </c>
      <c r="B383" t="s">
        <v>4271</v>
      </c>
      <c r="C383" t="s">
        <v>4298</v>
      </c>
      <c r="D383" t="s">
        <v>17</v>
      </c>
      <c r="E383" t="s">
        <v>2</v>
      </c>
      <c r="F383" t="s">
        <v>50</v>
      </c>
      <c r="G383" t="s">
        <v>100</v>
      </c>
      <c r="H383" t="s">
        <v>2969</v>
      </c>
      <c r="I383" t="s">
        <v>52</v>
      </c>
      <c r="J383" t="s">
        <v>101</v>
      </c>
      <c r="K383" t="s">
        <v>54</v>
      </c>
      <c r="L383" t="s">
        <v>102</v>
      </c>
      <c r="O383" t="s">
        <v>103</v>
      </c>
      <c r="P383" t="s">
        <v>104</v>
      </c>
      <c r="Q383" t="s">
        <v>4299</v>
      </c>
      <c r="R383" t="s">
        <v>2971</v>
      </c>
      <c r="S383" t="s">
        <v>2895</v>
      </c>
      <c r="T383" t="s">
        <v>2896</v>
      </c>
      <c r="U383" t="s">
        <v>2897</v>
      </c>
    </row>
    <row r="384" spans="1:21" hidden="1">
      <c r="A384" t="s">
        <v>873</v>
      </c>
      <c r="B384" t="s">
        <v>4271</v>
      </c>
      <c r="C384" t="s">
        <v>4300</v>
      </c>
      <c r="D384" t="s">
        <v>17</v>
      </c>
      <c r="E384" t="s">
        <v>2</v>
      </c>
      <c r="F384" t="s">
        <v>50</v>
      </c>
      <c r="G384" t="s">
        <v>51</v>
      </c>
      <c r="H384" t="s">
        <v>4301</v>
      </c>
      <c r="I384" t="s">
        <v>52</v>
      </c>
      <c r="J384" t="s">
        <v>196</v>
      </c>
      <c r="K384" t="s">
        <v>54</v>
      </c>
      <c r="L384" t="s">
        <v>55</v>
      </c>
      <c r="O384" t="s">
        <v>197</v>
      </c>
      <c r="P384" t="s">
        <v>198</v>
      </c>
      <c r="Q384" t="s">
        <v>4302</v>
      </c>
      <c r="R384" t="s">
        <v>4303</v>
      </c>
      <c r="S384" t="s">
        <v>2895</v>
      </c>
      <c r="T384" t="s">
        <v>2896</v>
      </c>
      <c r="U384" t="s">
        <v>2897</v>
      </c>
    </row>
    <row r="385" spans="1:21" hidden="1">
      <c r="A385" t="s">
        <v>875</v>
      </c>
      <c r="B385" t="s">
        <v>4304</v>
      </c>
      <c r="C385" t="s">
        <v>4305</v>
      </c>
      <c r="D385" t="s">
        <v>17</v>
      </c>
      <c r="E385" t="s">
        <v>2</v>
      </c>
      <c r="F385" t="s">
        <v>50</v>
      </c>
      <c r="G385" t="s">
        <v>51</v>
      </c>
      <c r="H385" t="s">
        <v>4306</v>
      </c>
      <c r="I385" t="s">
        <v>52</v>
      </c>
      <c r="J385" t="s">
        <v>65</v>
      </c>
      <c r="K385" t="s">
        <v>54</v>
      </c>
      <c r="L385" t="s">
        <v>55</v>
      </c>
      <c r="O385" t="s">
        <v>66</v>
      </c>
      <c r="P385" t="s">
        <v>67</v>
      </c>
      <c r="Q385" t="s">
        <v>4307</v>
      </c>
      <c r="R385" t="s">
        <v>4308</v>
      </c>
      <c r="S385" t="s">
        <v>2895</v>
      </c>
      <c r="T385" t="s">
        <v>2896</v>
      </c>
      <c r="U385" t="s">
        <v>2897</v>
      </c>
    </row>
    <row r="386" spans="1:21" hidden="1">
      <c r="A386" t="s">
        <v>877</v>
      </c>
      <c r="B386" t="s">
        <v>4304</v>
      </c>
      <c r="C386" t="s">
        <v>4309</v>
      </c>
      <c r="D386" t="s">
        <v>17</v>
      </c>
      <c r="E386" t="s">
        <v>2</v>
      </c>
      <c r="F386" t="s">
        <v>50</v>
      </c>
      <c r="G386" t="s">
        <v>72</v>
      </c>
      <c r="H386" t="s">
        <v>4310</v>
      </c>
      <c r="I386" t="s">
        <v>52</v>
      </c>
      <c r="J386" t="s">
        <v>73</v>
      </c>
      <c r="K386" t="s">
        <v>54</v>
      </c>
      <c r="L386" t="s">
        <v>74</v>
      </c>
      <c r="O386" t="s">
        <v>75</v>
      </c>
      <c r="P386" t="s">
        <v>76</v>
      </c>
      <c r="Q386" t="s">
        <v>4311</v>
      </c>
      <c r="R386" t="s">
        <v>4312</v>
      </c>
      <c r="S386" t="s">
        <v>2895</v>
      </c>
      <c r="T386" t="s">
        <v>2896</v>
      </c>
      <c r="U386" t="s">
        <v>2897</v>
      </c>
    </row>
    <row r="387" spans="1:21" hidden="1">
      <c r="A387" t="s">
        <v>879</v>
      </c>
      <c r="B387" t="s">
        <v>4304</v>
      </c>
      <c r="C387" t="s">
        <v>4313</v>
      </c>
      <c r="D387" t="s">
        <v>17</v>
      </c>
      <c r="E387" t="s">
        <v>2</v>
      </c>
      <c r="F387" t="s">
        <v>50</v>
      </c>
      <c r="G387" t="s">
        <v>51</v>
      </c>
      <c r="H387" t="s">
        <v>4314</v>
      </c>
      <c r="I387" t="s">
        <v>52</v>
      </c>
      <c r="J387" t="s">
        <v>60</v>
      </c>
      <c r="K387" t="s">
        <v>54</v>
      </c>
      <c r="L387" t="s">
        <v>55</v>
      </c>
      <c r="O387" t="s">
        <v>61</v>
      </c>
      <c r="P387" t="s">
        <v>62</v>
      </c>
      <c r="Q387" t="s">
        <v>4315</v>
      </c>
      <c r="R387" t="s">
        <v>4316</v>
      </c>
      <c r="S387" t="s">
        <v>2895</v>
      </c>
      <c r="T387" t="s">
        <v>2896</v>
      </c>
      <c r="U387" t="s">
        <v>2897</v>
      </c>
    </row>
    <row r="388" spans="1:21" hidden="1">
      <c r="A388" t="s">
        <v>881</v>
      </c>
      <c r="B388" t="s">
        <v>4304</v>
      </c>
      <c r="C388" t="s">
        <v>3798</v>
      </c>
      <c r="D388" t="s">
        <v>17</v>
      </c>
      <c r="E388" t="s">
        <v>2</v>
      </c>
      <c r="F388" t="s">
        <v>50</v>
      </c>
      <c r="G388" t="s">
        <v>51</v>
      </c>
      <c r="H388" t="s">
        <v>4317</v>
      </c>
      <c r="I388" t="s">
        <v>52</v>
      </c>
      <c r="J388" t="s">
        <v>65</v>
      </c>
      <c r="K388" t="s">
        <v>54</v>
      </c>
      <c r="L388" t="s">
        <v>55</v>
      </c>
      <c r="O388" t="s">
        <v>66</v>
      </c>
      <c r="P388" t="s">
        <v>67</v>
      </c>
      <c r="Q388" t="s">
        <v>4318</v>
      </c>
      <c r="R388" t="s">
        <v>4319</v>
      </c>
      <c r="S388" t="s">
        <v>2895</v>
      </c>
      <c r="T388" t="s">
        <v>2896</v>
      </c>
      <c r="U388" t="s">
        <v>2897</v>
      </c>
    </row>
    <row r="389" spans="1:21" hidden="1">
      <c r="A389" t="s">
        <v>883</v>
      </c>
      <c r="B389" t="s">
        <v>4304</v>
      </c>
      <c r="C389" t="s">
        <v>3576</v>
      </c>
      <c r="D389" t="s">
        <v>17</v>
      </c>
      <c r="E389" t="s">
        <v>2</v>
      </c>
      <c r="F389" t="s">
        <v>50</v>
      </c>
      <c r="G389" t="s">
        <v>100</v>
      </c>
      <c r="H389" t="s">
        <v>2969</v>
      </c>
      <c r="I389" t="s">
        <v>52</v>
      </c>
      <c r="J389" t="s">
        <v>101</v>
      </c>
      <c r="K389" t="s">
        <v>54</v>
      </c>
      <c r="L389" t="s">
        <v>102</v>
      </c>
      <c r="O389" t="s">
        <v>103</v>
      </c>
      <c r="P389" t="s">
        <v>104</v>
      </c>
      <c r="Q389" t="s">
        <v>4320</v>
      </c>
      <c r="R389" t="s">
        <v>2971</v>
      </c>
      <c r="S389" t="s">
        <v>2895</v>
      </c>
      <c r="T389" t="s">
        <v>2896</v>
      </c>
      <c r="U389" t="s">
        <v>2897</v>
      </c>
    </row>
    <row r="390" spans="1:21" hidden="1">
      <c r="A390" t="s">
        <v>885</v>
      </c>
      <c r="B390" t="s">
        <v>4304</v>
      </c>
      <c r="C390" t="s">
        <v>4321</v>
      </c>
      <c r="D390" t="s">
        <v>17</v>
      </c>
      <c r="E390" t="s">
        <v>2</v>
      </c>
      <c r="F390" t="s">
        <v>50</v>
      </c>
      <c r="G390" t="s">
        <v>51</v>
      </c>
      <c r="H390" t="s">
        <v>4322</v>
      </c>
      <c r="I390" t="s">
        <v>52</v>
      </c>
      <c r="J390" t="s">
        <v>81</v>
      </c>
      <c r="K390" t="s">
        <v>54</v>
      </c>
      <c r="L390" t="s">
        <v>55</v>
      </c>
      <c r="O390" t="s">
        <v>82</v>
      </c>
      <c r="P390" t="s">
        <v>83</v>
      </c>
      <c r="Q390" t="s">
        <v>4323</v>
      </c>
      <c r="R390" t="s">
        <v>4324</v>
      </c>
      <c r="S390" t="s">
        <v>2895</v>
      </c>
      <c r="T390" t="s">
        <v>2896</v>
      </c>
      <c r="U390" t="s">
        <v>2897</v>
      </c>
    </row>
    <row r="391" spans="1:21" hidden="1">
      <c r="A391" t="s">
        <v>887</v>
      </c>
      <c r="B391" t="s">
        <v>4304</v>
      </c>
      <c r="C391" t="s">
        <v>4325</v>
      </c>
      <c r="D391" t="s">
        <v>17</v>
      </c>
      <c r="E391" t="s">
        <v>2</v>
      </c>
      <c r="F391" t="s">
        <v>50</v>
      </c>
      <c r="G391" t="s">
        <v>100</v>
      </c>
      <c r="H391" t="s">
        <v>2969</v>
      </c>
      <c r="I391" t="s">
        <v>52</v>
      </c>
      <c r="J391" t="s">
        <v>101</v>
      </c>
      <c r="K391" t="s">
        <v>54</v>
      </c>
      <c r="L391" t="s">
        <v>102</v>
      </c>
      <c r="O391" t="s">
        <v>103</v>
      </c>
      <c r="P391" t="s">
        <v>104</v>
      </c>
      <c r="Q391" t="s">
        <v>4326</v>
      </c>
      <c r="R391" t="s">
        <v>2971</v>
      </c>
      <c r="S391" t="s">
        <v>2895</v>
      </c>
      <c r="T391" t="s">
        <v>2896</v>
      </c>
      <c r="U391" t="s">
        <v>2897</v>
      </c>
    </row>
    <row r="392" spans="1:21" hidden="1">
      <c r="A392" t="s">
        <v>889</v>
      </c>
      <c r="B392" t="s">
        <v>4304</v>
      </c>
      <c r="C392" t="s">
        <v>3234</v>
      </c>
      <c r="D392" t="s">
        <v>17</v>
      </c>
      <c r="E392" t="s">
        <v>2</v>
      </c>
      <c r="F392" t="s">
        <v>50</v>
      </c>
      <c r="G392" t="s">
        <v>51</v>
      </c>
      <c r="H392" t="s">
        <v>4327</v>
      </c>
      <c r="I392" t="s">
        <v>52</v>
      </c>
      <c r="J392" t="s">
        <v>53</v>
      </c>
      <c r="K392" t="s">
        <v>54</v>
      </c>
      <c r="L392" t="s">
        <v>55</v>
      </c>
      <c r="O392" t="s">
        <v>56</v>
      </c>
      <c r="P392" t="s">
        <v>57</v>
      </c>
      <c r="Q392" t="s">
        <v>4328</v>
      </c>
      <c r="R392" t="s">
        <v>4329</v>
      </c>
      <c r="S392" t="s">
        <v>2895</v>
      </c>
      <c r="T392" t="s">
        <v>2896</v>
      </c>
      <c r="U392" t="s">
        <v>2897</v>
      </c>
    </row>
    <row r="393" spans="1:21" hidden="1">
      <c r="A393" t="s">
        <v>891</v>
      </c>
      <c r="B393" t="s">
        <v>4330</v>
      </c>
      <c r="C393" t="s">
        <v>4331</v>
      </c>
      <c r="D393" t="s">
        <v>17</v>
      </c>
      <c r="E393" t="s">
        <v>2</v>
      </c>
      <c r="F393" t="s">
        <v>50</v>
      </c>
      <c r="G393" t="s">
        <v>51</v>
      </c>
      <c r="H393" t="s">
        <v>4332</v>
      </c>
      <c r="I393" t="s">
        <v>52</v>
      </c>
      <c r="J393" t="s">
        <v>53</v>
      </c>
      <c r="K393" t="s">
        <v>54</v>
      </c>
      <c r="L393" t="s">
        <v>55</v>
      </c>
      <c r="O393" t="s">
        <v>56</v>
      </c>
      <c r="P393" t="s">
        <v>57</v>
      </c>
      <c r="Q393" t="s">
        <v>4333</v>
      </c>
      <c r="R393" t="s">
        <v>4334</v>
      </c>
      <c r="S393" t="s">
        <v>2895</v>
      </c>
      <c r="T393" t="s">
        <v>2896</v>
      </c>
      <c r="U393" t="s">
        <v>2897</v>
      </c>
    </row>
    <row r="394" spans="1:21" hidden="1">
      <c r="A394" t="s">
        <v>893</v>
      </c>
      <c r="B394" t="s">
        <v>4330</v>
      </c>
      <c r="C394" t="s">
        <v>3103</v>
      </c>
      <c r="D394" t="s">
        <v>17</v>
      </c>
      <c r="E394" t="s">
        <v>2</v>
      </c>
      <c r="F394" t="s">
        <v>50</v>
      </c>
      <c r="G394" t="s">
        <v>100</v>
      </c>
      <c r="H394" t="s">
        <v>2969</v>
      </c>
      <c r="I394" t="s">
        <v>52</v>
      </c>
      <c r="J394" t="s">
        <v>101</v>
      </c>
      <c r="K394" t="s">
        <v>54</v>
      </c>
      <c r="L394" t="s">
        <v>102</v>
      </c>
      <c r="O394" t="s">
        <v>103</v>
      </c>
      <c r="P394" t="s">
        <v>104</v>
      </c>
      <c r="Q394" t="s">
        <v>4335</v>
      </c>
      <c r="R394" t="s">
        <v>2971</v>
      </c>
      <c r="S394" t="s">
        <v>2895</v>
      </c>
      <c r="T394" t="s">
        <v>2896</v>
      </c>
      <c r="U394" t="s">
        <v>2897</v>
      </c>
    </row>
    <row r="395" spans="1:21" hidden="1">
      <c r="A395" t="s">
        <v>895</v>
      </c>
      <c r="B395" t="s">
        <v>4330</v>
      </c>
      <c r="C395" t="s">
        <v>3816</v>
      </c>
      <c r="D395" t="s">
        <v>17</v>
      </c>
      <c r="E395" t="s">
        <v>2</v>
      </c>
      <c r="F395" t="s">
        <v>50</v>
      </c>
      <c r="G395" t="s">
        <v>100</v>
      </c>
      <c r="H395" t="s">
        <v>2969</v>
      </c>
      <c r="I395" t="s">
        <v>52</v>
      </c>
      <c r="J395" t="s">
        <v>101</v>
      </c>
      <c r="K395" t="s">
        <v>54</v>
      </c>
      <c r="L395" t="s">
        <v>102</v>
      </c>
      <c r="O395" t="s">
        <v>103</v>
      </c>
      <c r="P395" t="s">
        <v>104</v>
      </c>
      <c r="Q395" t="s">
        <v>4336</v>
      </c>
      <c r="R395" t="s">
        <v>2971</v>
      </c>
      <c r="S395" t="s">
        <v>2895</v>
      </c>
      <c r="T395" t="s">
        <v>2896</v>
      </c>
      <c r="U395" t="s">
        <v>2897</v>
      </c>
    </row>
    <row r="396" spans="1:21" hidden="1">
      <c r="A396" t="s">
        <v>897</v>
      </c>
      <c r="B396" t="s">
        <v>4330</v>
      </c>
      <c r="C396" t="s">
        <v>4337</v>
      </c>
      <c r="D396" t="s">
        <v>17</v>
      </c>
      <c r="E396" t="s">
        <v>2</v>
      </c>
      <c r="F396" t="s">
        <v>50</v>
      </c>
      <c r="G396" t="s">
        <v>51</v>
      </c>
      <c r="H396" t="s">
        <v>4338</v>
      </c>
      <c r="I396" t="s">
        <v>52</v>
      </c>
      <c r="J396" t="s">
        <v>126</v>
      </c>
      <c r="K396" t="s">
        <v>54</v>
      </c>
      <c r="L396" t="s">
        <v>55</v>
      </c>
      <c r="O396" t="s">
        <v>56</v>
      </c>
      <c r="P396" t="s">
        <v>57</v>
      </c>
      <c r="Q396" t="s">
        <v>4339</v>
      </c>
      <c r="R396" t="s">
        <v>4340</v>
      </c>
      <c r="S396" t="s">
        <v>2895</v>
      </c>
      <c r="T396" t="s">
        <v>2896</v>
      </c>
      <c r="U396" t="s">
        <v>2897</v>
      </c>
    </row>
    <row r="397" spans="1:21" hidden="1">
      <c r="A397" t="s">
        <v>899</v>
      </c>
      <c r="B397" t="s">
        <v>4330</v>
      </c>
      <c r="C397" t="s">
        <v>4341</v>
      </c>
      <c r="D397" t="s">
        <v>17</v>
      </c>
      <c r="E397" t="s">
        <v>2</v>
      </c>
      <c r="F397" t="s">
        <v>50</v>
      </c>
      <c r="G397" t="s">
        <v>51</v>
      </c>
      <c r="H397" t="s">
        <v>4342</v>
      </c>
      <c r="I397" t="s">
        <v>52</v>
      </c>
      <c r="J397" t="s">
        <v>121</v>
      </c>
      <c r="K397" t="s">
        <v>54</v>
      </c>
      <c r="L397" t="s">
        <v>55</v>
      </c>
      <c r="O397" t="s">
        <v>122</v>
      </c>
      <c r="P397" t="s">
        <v>123</v>
      </c>
      <c r="Q397" t="s">
        <v>4343</v>
      </c>
      <c r="R397" t="s">
        <v>4344</v>
      </c>
      <c r="S397" t="s">
        <v>2895</v>
      </c>
      <c r="T397" t="s">
        <v>2896</v>
      </c>
      <c r="U397" t="s">
        <v>2897</v>
      </c>
    </row>
    <row r="398" spans="1:21" hidden="1">
      <c r="A398" t="s">
        <v>901</v>
      </c>
      <c r="B398" t="s">
        <v>4330</v>
      </c>
      <c r="C398" t="s">
        <v>4345</v>
      </c>
      <c r="D398" t="s">
        <v>17</v>
      </c>
      <c r="E398" t="s">
        <v>2</v>
      </c>
      <c r="F398" t="s">
        <v>50</v>
      </c>
      <c r="G398" t="s">
        <v>51</v>
      </c>
      <c r="H398" t="s">
        <v>3822</v>
      </c>
      <c r="I398" t="s">
        <v>52</v>
      </c>
      <c r="J398" t="s">
        <v>65</v>
      </c>
      <c r="K398" t="s">
        <v>54</v>
      </c>
      <c r="L398" t="s">
        <v>55</v>
      </c>
      <c r="O398" t="s">
        <v>66</v>
      </c>
      <c r="P398" t="s">
        <v>67</v>
      </c>
      <c r="Q398" t="s">
        <v>4346</v>
      </c>
      <c r="R398" t="s">
        <v>3824</v>
      </c>
      <c r="S398" t="s">
        <v>2895</v>
      </c>
      <c r="T398" t="s">
        <v>2896</v>
      </c>
      <c r="U398" t="s">
        <v>2897</v>
      </c>
    </row>
    <row r="399" spans="1:21" hidden="1">
      <c r="A399" t="s">
        <v>903</v>
      </c>
      <c r="B399" t="s">
        <v>4330</v>
      </c>
      <c r="C399" t="s">
        <v>3348</v>
      </c>
      <c r="D399" t="s">
        <v>17</v>
      </c>
      <c r="E399" t="s">
        <v>2</v>
      </c>
      <c r="F399" t="s">
        <v>50</v>
      </c>
      <c r="G399" t="s">
        <v>51</v>
      </c>
      <c r="H399" t="s">
        <v>4347</v>
      </c>
      <c r="I399" t="s">
        <v>52</v>
      </c>
      <c r="J399" t="s">
        <v>126</v>
      </c>
      <c r="K399" t="s">
        <v>54</v>
      </c>
      <c r="L399" t="s">
        <v>55</v>
      </c>
      <c r="O399" t="s">
        <v>56</v>
      </c>
      <c r="P399" t="s">
        <v>57</v>
      </c>
      <c r="Q399" t="s">
        <v>4348</v>
      </c>
      <c r="R399" t="s">
        <v>4349</v>
      </c>
      <c r="S399" t="s">
        <v>2895</v>
      </c>
      <c r="T399" t="s">
        <v>2896</v>
      </c>
      <c r="U399" t="s">
        <v>2897</v>
      </c>
    </row>
    <row r="400" spans="1:21" hidden="1">
      <c r="A400" t="s">
        <v>905</v>
      </c>
      <c r="B400" t="s">
        <v>4350</v>
      </c>
      <c r="C400" t="s">
        <v>4351</v>
      </c>
      <c r="D400" t="s">
        <v>17</v>
      </c>
      <c r="E400" t="s">
        <v>2</v>
      </c>
      <c r="F400" t="s">
        <v>50</v>
      </c>
      <c r="G400" t="s">
        <v>100</v>
      </c>
      <c r="H400" t="s">
        <v>4352</v>
      </c>
      <c r="I400" t="s">
        <v>52</v>
      </c>
      <c r="J400" t="s">
        <v>114</v>
      </c>
      <c r="K400" t="s">
        <v>54</v>
      </c>
      <c r="L400" t="s">
        <v>102</v>
      </c>
      <c r="O400" t="s">
        <v>103</v>
      </c>
      <c r="P400" t="s">
        <v>104</v>
      </c>
      <c r="Q400" t="s">
        <v>4353</v>
      </c>
      <c r="R400" t="s">
        <v>4354</v>
      </c>
      <c r="S400" t="s">
        <v>2895</v>
      </c>
      <c r="T400" t="s">
        <v>2896</v>
      </c>
      <c r="U400" t="s">
        <v>2897</v>
      </c>
    </row>
    <row r="401" spans="1:21" hidden="1">
      <c r="A401" t="s">
        <v>907</v>
      </c>
      <c r="B401" t="s">
        <v>4350</v>
      </c>
      <c r="C401" t="s">
        <v>4355</v>
      </c>
      <c r="D401" t="s">
        <v>17</v>
      </c>
      <c r="E401" t="s">
        <v>2</v>
      </c>
      <c r="F401" t="s">
        <v>50</v>
      </c>
      <c r="G401" t="s">
        <v>100</v>
      </c>
      <c r="H401" t="s">
        <v>3199</v>
      </c>
      <c r="I401" t="s">
        <v>52</v>
      </c>
      <c r="J401" t="s">
        <v>114</v>
      </c>
      <c r="K401" t="s">
        <v>54</v>
      </c>
      <c r="L401" t="s">
        <v>102</v>
      </c>
      <c r="O401" t="s">
        <v>103</v>
      </c>
      <c r="P401" t="s">
        <v>104</v>
      </c>
      <c r="Q401" t="s">
        <v>4356</v>
      </c>
      <c r="R401" t="s">
        <v>3201</v>
      </c>
      <c r="S401" t="s">
        <v>2895</v>
      </c>
      <c r="T401" t="s">
        <v>2896</v>
      </c>
      <c r="U401" t="s">
        <v>2897</v>
      </c>
    </row>
    <row r="402" spans="1:21" hidden="1">
      <c r="A402" t="s">
        <v>909</v>
      </c>
      <c r="B402" t="s">
        <v>4350</v>
      </c>
      <c r="C402" t="s">
        <v>3266</v>
      </c>
      <c r="D402" t="s">
        <v>17</v>
      </c>
      <c r="E402" t="s">
        <v>2</v>
      </c>
      <c r="F402" t="s">
        <v>50</v>
      </c>
      <c r="G402" t="s">
        <v>51</v>
      </c>
      <c r="H402" t="s">
        <v>4357</v>
      </c>
      <c r="I402" t="s">
        <v>52</v>
      </c>
      <c r="J402" t="s">
        <v>121</v>
      </c>
      <c r="K402" t="s">
        <v>54</v>
      </c>
      <c r="L402" t="s">
        <v>55</v>
      </c>
      <c r="O402" t="s">
        <v>122</v>
      </c>
      <c r="P402" t="s">
        <v>123</v>
      </c>
      <c r="Q402" t="s">
        <v>4358</v>
      </c>
      <c r="R402" t="s">
        <v>4359</v>
      </c>
      <c r="S402" t="s">
        <v>2895</v>
      </c>
      <c r="T402" t="s">
        <v>2896</v>
      </c>
      <c r="U402" t="s">
        <v>2897</v>
      </c>
    </row>
    <row r="403" spans="1:21" hidden="1">
      <c r="A403" t="s">
        <v>911</v>
      </c>
      <c r="B403" t="s">
        <v>4350</v>
      </c>
      <c r="C403" t="s">
        <v>4360</v>
      </c>
      <c r="D403" t="s">
        <v>17</v>
      </c>
      <c r="E403" t="s">
        <v>2</v>
      </c>
      <c r="F403" t="s">
        <v>50</v>
      </c>
      <c r="G403" t="s">
        <v>51</v>
      </c>
      <c r="H403" t="s">
        <v>4361</v>
      </c>
      <c r="I403" t="s">
        <v>52</v>
      </c>
      <c r="J403" t="s">
        <v>121</v>
      </c>
      <c r="K403" t="s">
        <v>54</v>
      </c>
      <c r="L403" t="s">
        <v>55</v>
      </c>
      <c r="O403" t="s">
        <v>122</v>
      </c>
      <c r="P403" t="s">
        <v>123</v>
      </c>
      <c r="Q403" t="s">
        <v>4362</v>
      </c>
      <c r="R403" t="s">
        <v>4363</v>
      </c>
      <c r="S403" t="s">
        <v>2895</v>
      </c>
      <c r="T403" t="s">
        <v>2896</v>
      </c>
      <c r="U403" t="s">
        <v>2897</v>
      </c>
    </row>
    <row r="404" spans="1:21" hidden="1">
      <c r="A404" t="s">
        <v>913</v>
      </c>
      <c r="B404" t="s">
        <v>4350</v>
      </c>
      <c r="C404" t="s">
        <v>4364</v>
      </c>
      <c r="D404" t="s">
        <v>17</v>
      </c>
      <c r="E404" t="s">
        <v>2</v>
      </c>
      <c r="F404" t="s">
        <v>50</v>
      </c>
      <c r="G404" t="s">
        <v>51</v>
      </c>
      <c r="H404" t="s">
        <v>4365</v>
      </c>
      <c r="I404" t="s">
        <v>52</v>
      </c>
      <c r="J404" t="s">
        <v>53</v>
      </c>
      <c r="K404" t="s">
        <v>54</v>
      </c>
      <c r="L404" t="s">
        <v>55</v>
      </c>
      <c r="O404" t="s">
        <v>56</v>
      </c>
      <c r="P404" t="s">
        <v>57</v>
      </c>
      <c r="Q404" t="s">
        <v>4366</v>
      </c>
      <c r="R404" t="s">
        <v>4367</v>
      </c>
      <c r="S404" t="s">
        <v>2895</v>
      </c>
      <c r="T404" t="s">
        <v>2896</v>
      </c>
      <c r="U404" t="s">
        <v>2897</v>
      </c>
    </row>
    <row r="405" spans="1:21" hidden="1">
      <c r="A405" t="s">
        <v>915</v>
      </c>
      <c r="B405" t="s">
        <v>4350</v>
      </c>
      <c r="C405" t="s">
        <v>4368</v>
      </c>
      <c r="D405" t="s">
        <v>17</v>
      </c>
      <c r="E405" t="s">
        <v>2</v>
      </c>
      <c r="F405" t="s">
        <v>50</v>
      </c>
      <c r="G405" t="s">
        <v>72</v>
      </c>
      <c r="H405" t="s">
        <v>4369</v>
      </c>
      <c r="I405" t="s">
        <v>52</v>
      </c>
      <c r="J405" t="s">
        <v>150</v>
      </c>
      <c r="K405" t="s">
        <v>54</v>
      </c>
      <c r="L405" t="s">
        <v>74</v>
      </c>
      <c r="O405" t="s">
        <v>75</v>
      </c>
      <c r="P405" t="s">
        <v>76</v>
      </c>
      <c r="Q405" t="s">
        <v>4370</v>
      </c>
      <c r="R405" t="s">
        <v>4371</v>
      </c>
      <c r="S405" t="s">
        <v>2895</v>
      </c>
      <c r="T405" t="s">
        <v>2896</v>
      </c>
      <c r="U405" t="s">
        <v>2897</v>
      </c>
    </row>
    <row r="406" spans="1:21" hidden="1">
      <c r="A406" t="s">
        <v>917</v>
      </c>
      <c r="B406" t="s">
        <v>4350</v>
      </c>
      <c r="C406" t="s">
        <v>3261</v>
      </c>
      <c r="D406" t="s">
        <v>17</v>
      </c>
      <c r="E406" t="s">
        <v>2</v>
      </c>
      <c r="F406" t="s">
        <v>50</v>
      </c>
      <c r="G406" t="s">
        <v>51</v>
      </c>
      <c r="H406" t="s">
        <v>4372</v>
      </c>
      <c r="I406" t="s">
        <v>52</v>
      </c>
      <c r="J406" t="s">
        <v>126</v>
      </c>
      <c r="K406" t="s">
        <v>54</v>
      </c>
      <c r="L406" t="s">
        <v>55</v>
      </c>
      <c r="O406" t="s">
        <v>56</v>
      </c>
      <c r="P406" t="s">
        <v>57</v>
      </c>
      <c r="Q406" t="s">
        <v>4373</v>
      </c>
      <c r="R406" t="s">
        <v>4374</v>
      </c>
      <c r="S406" t="s">
        <v>2895</v>
      </c>
      <c r="T406" t="s">
        <v>2896</v>
      </c>
      <c r="U406" t="s">
        <v>2897</v>
      </c>
    </row>
    <row r="407" spans="1:21" hidden="1">
      <c r="A407" t="s">
        <v>919</v>
      </c>
      <c r="B407" t="s">
        <v>4350</v>
      </c>
      <c r="C407" t="s">
        <v>4375</v>
      </c>
      <c r="D407" t="s">
        <v>17</v>
      </c>
      <c r="E407" t="s">
        <v>2</v>
      </c>
      <c r="F407" t="s">
        <v>50</v>
      </c>
      <c r="G407" t="s">
        <v>51</v>
      </c>
      <c r="H407" t="s">
        <v>4376</v>
      </c>
      <c r="I407" t="s">
        <v>52</v>
      </c>
      <c r="J407" t="s">
        <v>53</v>
      </c>
      <c r="K407" t="s">
        <v>54</v>
      </c>
      <c r="L407" t="s">
        <v>55</v>
      </c>
      <c r="O407" t="s">
        <v>56</v>
      </c>
      <c r="P407" t="s">
        <v>57</v>
      </c>
      <c r="Q407" t="s">
        <v>4377</v>
      </c>
      <c r="R407" t="s">
        <v>4378</v>
      </c>
      <c r="S407" t="s">
        <v>2895</v>
      </c>
      <c r="T407" t="s">
        <v>2896</v>
      </c>
      <c r="U407" t="s">
        <v>2897</v>
      </c>
    </row>
    <row r="408" spans="1:21" hidden="1">
      <c r="A408" t="s">
        <v>921</v>
      </c>
      <c r="B408" t="s">
        <v>4379</v>
      </c>
      <c r="C408" t="s">
        <v>4380</v>
      </c>
      <c r="D408" t="s">
        <v>17</v>
      </c>
      <c r="E408" t="s">
        <v>2</v>
      </c>
      <c r="F408" t="s">
        <v>50</v>
      </c>
      <c r="G408" t="s">
        <v>51</v>
      </c>
      <c r="H408" t="s">
        <v>3996</v>
      </c>
      <c r="I408" t="s">
        <v>52</v>
      </c>
      <c r="J408" t="s">
        <v>53</v>
      </c>
      <c r="K408" t="s">
        <v>54</v>
      </c>
      <c r="L408" t="s">
        <v>55</v>
      </c>
      <c r="O408" t="s">
        <v>56</v>
      </c>
      <c r="P408" t="s">
        <v>57</v>
      </c>
      <c r="Q408" t="s">
        <v>4381</v>
      </c>
      <c r="R408" t="s">
        <v>3998</v>
      </c>
      <c r="S408" t="s">
        <v>2895</v>
      </c>
      <c r="T408" t="s">
        <v>2896</v>
      </c>
      <c r="U408" t="s">
        <v>2897</v>
      </c>
    </row>
    <row r="409" spans="1:21" hidden="1">
      <c r="A409" t="s">
        <v>923</v>
      </c>
      <c r="B409" t="s">
        <v>4379</v>
      </c>
      <c r="C409" t="s">
        <v>3885</v>
      </c>
      <c r="D409" t="s">
        <v>17</v>
      </c>
      <c r="E409" t="s">
        <v>2</v>
      </c>
      <c r="F409" t="s">
        <v>50</v>
      </c>
      <c r="G409" t="s">
        <v>51</v>
      </c>
      <c r="H409" t="s">
        <v>4382</v>
      </c>
      <c r="I409" t="s">
        <v>52</v>
      </c>
      <c r="J409" t="s">
        <v>65</v>
      </c>
      <c r="K409" t="s">
        <v>54</v>
      </c>
      <c r="L409" t="s">
        <v>55</v>
      </c>
      <c r="O409" t="s">
        <v>66</v>
      </c>
      <c r="P409" t="s">
        <v>67</v>
      </c>
      <c r="Q409" t="s">
        <v>4383</v>
      </c>
      <c r="R409" t="s">
        <v>4384</v>
      </c>
      <c r="S409" t="s">
        <v>2895</v>
      </c>
      <c r="T409" t="s">
        <v>2896</v>
      </c>
      <c r="U409" t="s">
        <v>2897</v>
      </c>
    </row>
    <row r="410" spans="1:21" hidden="1">
      <c r="A410" t="s">
        <v>925</v>
      </c>
      <c r="B410" t="s">
        <v>4379</v>
      </c>
      <c r="C410" t="s">
        <v>4385</v>
      </c>
      <c r="D410" t="s">
        <v>17</v>
      </c>
      <c r="E410" t="s">
        <v>2</v>
      </c>
      <c r="F410" t="s">
        <v>50</v>
      </c>
      <c r="G410" t="s">
        <v>51</v>
      </c>
      <c r="H410" t="s">
        <v>4386</v>
      </c>
      <c r="I410" t="s">
        <v>52</v>
      </c>
      <c r="J410" t="s">
        <v>53</v>
      </c>
      <c r="K410" t="s">
        <v>54</v>
      </c>
      <c r="L410" t="s">
        <v>55</v>
      </c>
      <c r="O410" t="s">
        <v>56</v>
      </c>
      <c r="P410" t="s">
        <v>57</v>
      </c>
      <c r="Q410" t="s">
        <v>4387</v>
      </c>
      <c r="R410" t="s">
        <v>4388</v>
      </c>
      <c r="S410" t="s">
        <v>2895</v>
      </c>
      <c r="T410" t="s">
        <v>2896</v>
      </c>
      <c r="U410" t="s">
        <v>2897</v>
      </c>
    </row>
    <row r="411" spans="1:21" hidden="1">
      <c r="A411" t="s">
        <v>927</v>
      </c>
      <c r="B411" t="s">
        <v>4379</v>
      </c>
      <c r="C411" t="s">
        <v>4389</v>
      </c>
      <c r="D411" t="s">
        <v>17</v>
      </c>
      <c r="E411" t="s">
        <v>2</v>
      </c>
      <c r="F411" t="s">
        <v>50</v>
      </c>
      <c r="G411" t="s">
        <v>100</v>
      </c>
      <c r="H411" t="s">
        <v>4390</v>
      </c>
      <c r="I411" t="s">
        <v>52</v>
      </c>
      <c r="J411" t="s">
        <v>114</v>
      </c>
      <c r="K411" t="s">
        <v>54</v>
      </c>
      <c r="L411" t="s">
        <v>102</v>
      </c>
      <c r="O411" t="s">
        <v>103</v>
      </c>
      <c r="P411" t="s">
        <v>104</v>
      </c>
      <c r="Q411" t="s">
        <v>4391</v>
      </c>
      <c r="R411" t="s">
        <v>4392</v>
      </c>
      <c r="S411" t="s">
        <v>2895</v>
      </c>
      <c r="T411" t="s">
        <v>2896</v>
      </c>
      <c r="U411" t="s">
        <v>2897</v>
      </c>
    </row>
    <row r="412" spans="1:21" hidden="1">
      <c r="A412" t="s">
        <v>929</v>
      </c>
      <c r="B412" t="s">
        <v>4379</v>
      </c>
      <c r="C412" t="s">
        <v>3971</v>
      </c>
      <c r="D412" t="s">
        <v>17</v>
      </c>
      <c r="E412" t="s">
        <v>2</v>
      </c>
      <c r="F412" t="s">
        <v>50</v>
      </c>
      <c r="G412" t="s">
        <v>51</v>
      </c>
      <c r="H412" t="s">
        <v>4314</v>
      </c>
      <c r="I412" t="s">
        <v>52</v>
      </c>
      <c r="J412" t="s">
        <v>81</v>
      </c>
      <c r="K412" t="s">
        <v>54</v>
      </c>
      <c r="L412" t="s">
        <v>55</v>
      </c>
      <c r="O412" t="s">
        <v>82</v>
      </c>
      <c r="P412" t="s">
        <v>83</v>
      </c>
      <c r="Q412" t="s">
        <v>4393</v>
      </c>
      <c r="R412" t="s">
        <v>4316</v>
      </c>
      <c r="S412" t="s">
        <v>2895</v>
      </c>
      <c r="T412" t="s">
        <v>2896</v>
      </c>
      <c r="U412" t="s">
        <v>2897</v>
      </c>
    </row>
    <row r="413" spans="1:21" hidden="1">
      <c r="A413" t="s">
        <v>931</v>
      </c>
      <c r="B413" t="s">
        <v>4379</v>
      </c>
      <c r="C413" t="s">
        <v>4394</v>
      </c>
      <c r="D413" t="s">
        <v>17</v>
      </c>
      <c r="E413" t="s">
        <v>2</v>
      </c>
      <c r="F413" t="s">
        <v>50</v>
      </c>
      <c r="G413" t="s">
        <v>51</v>
      </c>
      <c r="H413" t="s">
        <v>4395</v>
      </c>
      <c r="I413" t="s">
        <v>52</v>
      </c>
      <c r="J413" t="s">
        <v>53</v>
      </c>
      <c r="K413" t="s">
        <v>54</v>
      </c>
      <c r="L413" t="s">
        <v>55</v>
      </c>
      <c r="O413" t="s">
        <v>56</v>
      </c>
      <c r="P413" t="s">
        <v>57</v>
      </c>
      <c r="Q413" t="s">
        <v>4396</v>
      </c>
      <c r="R413" t="s">
        <v>4397</v>
      </c>
      <c r="S413" t="s">
        <v>2895</v>
      </c>
      <c r="T413" t="s">
        <v>2896</v>
      </c>
      <c r="U413" t="s">
        <v>2897</v>
      </c>
    </row>
    <row r="414" spans="1:21" hidden="1">
      <c r="A414" t="s">
        <v>933</v>
      </c>
      <c r="B414" t="s">
        <v>4398</v>
      </c>
      <c r="C414" t="s">
        <v>4399</v>
      </c>
      <c r="D414" t="s">
        <v>17</v>
      </c>
      <c r="E414" t="s">
        <v>2</v>
      </c>
      <c r="F414" t="s">
        <v>50</v>
      </c>
      <c r="G414" t="s">
        <v>100</v>
      </c>
      <c r="H414" t="s">
        <v>2969</v>
      </c>
      <c r="I414" t="s">
        <v>52</v>
      </c>
      <c r="J414" t="s">
        <v>101</v>
      </c>
      <c r="K414" t="s">
        <v>54</v>
      </c>
      <c r="L414" t="s">
        <v>102</v>
      </c>
      <c r="O414" t="s">
        <v>103</v>
      </c>
      <c r="P414" t="s">
        <v>104</v>
      </c>
      <c r="Q414" t="s">
        <v>4400</v>
      </c>
      <c r="R414" t="s">
        <v>2971</v>
      </c>
      <c r="S414" t="s">
        <v>2895</v>
      </c>
      <c r="T414" t="s">
        <v>2896</v>
      </c>
      <c r="U414" t="s">
        <v>2897</v>
      </c>
    </row>
    <row r="415" spans="1:21" hidden="1">
      <c r="A415" t="s">
        <v>935</v>
      </c>
      <c r="B415" t="s">
        <v>4398</v>
      </c>
      <c r="C415" t="s">
        <v>4401</v>
      </c>
      <c r="D415" t="s">
        <v>17</v>
      </c>
      <c r="E415" t="s">
        <v>2</v>
      </c>
      <c r="F415" t="s">
        <v>50</v>
      </c>
      <c r="G415" t="s">
        <v>100</v>
      </c>
      <c r="H415" t="s">
        <v>4402</v>
      </c>
      <c r="I415" t="s">
        <v>52</v>
      </c>
      <c r="J415" t="s">
        <v>114</v>
      </c>
      <c r="K415" t="s">
        <v>54</v>
      </c>
      <c r="L415" t="s">
        <v>102</v>
      </c>
      <c r="O415" t="s">
        <v>103</v>
      </c>
      <c r="P415" t="s">
        <v>104</v>
      </c>
      <c r="Q415" t="s">
        <v>4403</v>
      </c>
      <c r="R415" t="s">
        <v>4404</v>
      </c>
      <c r="S415" t="s">
        <v>2895</v>
      </c>
      <c r="T415" t="s">
        <v>2896</v>
      </c>
      <c r="U415" t="s">
        <v>2897</v>
      </c>
    </row>
    <row r="416" spans="1:21" hidden="1">
      <c r="A416" t="s">
        <v>937</v>
      </c>
      <c r="B416" t="s">
        <v>4398</v>
      </c>
      <c r="C416" t="s">
        <v>4405</v>
      </c>
      <c r="D416" t="s">
        <v>17</v>
      </c>
      <c r="E416" t="s">
        <v>2</v>
      </c>
      <c r="F416" t="s">
        <v>50</v>
      </c>
      <c r="G416" t="s">
        <v>51</v>
      </c>
      <c r="H416" t="s">
        <v>4406</v>
      </c>
      <c r="I416" t="s">
        <v>52</v>
      </c>
      <c r="J416" t="s">
        <v>53</v>
      </c>
      <c r="K416" t="s">
        <v>54</v>
      </c>
      <c r="L416" t="s">
        <v>55</v>
      </c>
      <c r="O416" t="s">
        <v>56</v>
      </c>
      <c r="P416" t="s">
        <v>57</v>
      </c>
      <c r="Q416" t="s">
        <v>4407</v>
      </c>
      <c r="R416" t="s">
        <v>4408</v>
      </c>
      <c r="S416" t="s">
        <v>2895</v>
      </c>
      <c r="T416" t="s">
        <v>2896</v>
      </c>
      <c r="U416" t="s">
        <v>2897</v>
      </c>
    </row>
    <row r="417" spans="1:21" hidden="1">
      <c r="A417" t="s">
        <v>939</v>
      </c>
      <c r="B417" t="s">
        <v>4398</v>
      </c>
      <c r="C417" t="s">
        <v>4409</v>
      </c>
      <c r="D417" t="s">
        <v>17</v>
      </c>
      <c r="E417" t="s">
        <v>2</v>
      </c>
      <c r="F417" t="s">
        <v>50</v>
      </c>
      <c r="G417" t="s">
        <v>51</v>
      </c>
      <c r="H417" t="s">
        <v>4410</v>
      </c>
      <c r="I417" t="s">
        <v>52</v>
      </c>
      <c r="J417" t="s">
        <v>126</v>
      </c>
      <c r="K417" t="s">
        <v>54</v>
      </c>
      <c r="L417" t="s">
        <v>55</v>
      </c>
      <c r="O417" t="s">
        <v>56</v>
      </c>
      <c r="P417" t="s">
        <v>57</v>
      </c>
      <c r="Q417" t="s">
        <v>4411</v>
      </c>
      <c r="R417" t="s">
        <v>4412</v>
      </c>
      <c r="S417" t="s">
        <v>2895</v>
      </c>
      <c r="T417" t="s">
        <v>2896</v>
      </c>
      <c r="U417" t="s">
        <v>2897</v>
      </c>
    </row>
    <row r="418" spans="1:21" hidden="1">
      <c r="A418" t="s">
        <v>941</v>
      </c>
      <c r="B418" t="s">
        <v>4398</v>
      </c>
      <c r="C418" t="s">
        <v>4413</v>
      </c>
      <c r="D418" t="s">
        <v>17</v>
      </c>
      <c r="E418" t="s">
        <v>2</v>
      </c>
      <c r="F418" t="s">
        <v>50</v>
      </c>
      <c r="G418" t="s">
        <v>51</v>
      </c>
      <c r="H418" t="s">
        <v>4414</v>
      </c>
      <c r="I418" t="s">
        <v>52</v>
      </c>
      <c r="J418" t="s">
        <v>126</v>
      </c>
      <c r="K418" t="s">
        <v>54</v>
      </c>
      <c r="L418" t="s">
        <v>55</v>
      </c>
      <c r="O418" t="s">
        <v>56</v>
      </c>
      <c r="P418" t="s">
        <v>57</v>
      </c>
      <c r="Q418" t="s">
        <v>4415</v>
      </c>
      <c r="R418" t="s">
        <v>4416</v>
      </c>
      <c r="S418" t="s">
        <v>2895</v>
      </c>
      <c r="T418" t="s">
        <v>2896</v>
      </c>
      <c r="U418" t="s">
        <v>2897</v>
      </c>
    </row>
    <row r="419" spans="1:21" hidden="1">
      <c r="A419" t="s">
        <v>943</v>
      </c>
      <c r="B419" t="s">
        <v>4398</v>
      </c>
      <c r="C419" t="s">
        <v>3893</v>
      </c>
      <c r="D419" t="s">
        <v>17</v>
      </c>
      <c r="E419" t="s">
        <v>2</v>
      </c>
      <c r="F419" t="s">
        <v>50</v>
      </c>
      <c r="G419" t="s">
        <v>100</v>
      </c>
      <c r="H419" t="s">
        <v>4417</v>
      </c>
      <c r="I419" t="s">
        <v>52</v>
      </c>
      <c r="J419" t="s">
        <v>114</v>
      </c>
      <c r="K419" t="s">
        <v>54</v>
      </c>
      <c r="L419" t="s">
        <v>102</v>
      </c>
      <c r="O419" t="s">
        <v>103</v>
      </c>
      <c r="P419" t="s">
        <v>104</v>
      </c>
      <c r="Q419" t="s">
        <v>4418</v>
      </c>
      <c r="R419" t="s">
        <v>4419</v>
      </c>
      <c r="S419" t="s">
        <v>2895</v>
      </c>
      <c r="T419" t="s">
        <v>2896</v>
      </c>
      <c r="U419" t="s">
        <v>2897</v>
      </c>
    </row>
    <row r="420" spans="1:21" hidden="1">
      <c r="A420" t="s">
        <v>945</v>
      </c>
      <c r="B420" t="s">
        <v>4398</v>
      </c>
      <c r="C420" t="s">
        <v>3767</v>
      </c>
      <c r="D420" t="s">
        <v>17</v>
      </c>
      <c r="E420" t="s">
        <v>2</v>
      </c>
      <c r="F420" t="s">
        <v>50</v>
      </c>
      <c r="G420" t="s">
        <v>100</v>
      </c>
      <c r="H420" t="s">
        <v>4420</v>
      </c>
      <c r="I420" t="s">
        <v>52</v>
      </c>
      <c r="J420" t="s">
        <v>114</v>
      </c>
      <c r="K420" t="s">
        <v>54</v>
      </c>
      <c r="L420" t="s">
        <v>102</v>
      </c>
      <c r="O420" t="s">
        <v>103</v>
      </c>
      <c r="P420" t="s">
        <v>104</v>
      </c>
      <c r="Q420" t="s">
        <v>4421</v>
      </c>
      <c r="R420" t="s">
        <v>4422</v>
      </c>
      <c r="S420" t="s">
        <v>2895</v>
      </c>
      <c r="T420" t="s">
        <v>2896</v>
      </c>
      <c r="U420" t="s">
        <v>2897</v>
      </c>
    </row>
    <row r="421" spans="1:21" hidden="1">
      <c r="A421" t="s">
        <v>947</v>
      </c>
      <c r="B421" t="s">
        <v>4398</v>
      </c>
      <c r="C421" t="s">
        <v>4423</v>
      </c>
      <c r="D421" t="s">
        <v>17</v>
      </c>
      <c r="E421" t="s">
        <v>2</v>
      </c>
      <c r="F421" t="s">
        <v>50</v>
      </c>
      <c r="G421" t="s">
        <v>51</v>
      </c>
      <c r="H421" t="s">
        <v>4424</v>
      </c>
      <c r="I421" t="s">
        <v>52</v>
      </c>
      <c r="J421" t="s">
        <v>60</v>
      </c>
      <c r="K421" t="s">
        <v>54</v>
      </c>
      <c r="L421" t="s">
        <v>55</v>
      </c>
      <c r="O421" t="s">
        <v>61</v>
      </c>
      <c r="P421" t="s">
        <v>62</v>
      </c>
      <c r="Q421" t="s">
        <v>4425</v>
      </c>
      <c r="R421" t="s">
        <v>4426</v>
      </c>
      <c r="S421" t="s">
        <v>2895</v>
      </c>
      <c r="T421" t="s">
        <v>2896</v>
      </c>
      <c r="U421" t="s">
        <v>2897</v>
      </c>
    </row>
    <row r="422" spans="1:21" hidden="1">
      <c r="A422" t="s">
        <v>949</v>
      </c>
      <c r="B422" t="s">
        <v>4427</v>
      </c>
      <c r="C422" t="s">
        <v>4428</v>
      </c>
      <c r="D422" t="s">
        <v>17</v>
      </c>
      <c r="E422" t="s">
        <v>2</v>
      </c>
      <c r="F422" t="s">
        <v>50</v>
      </c>
      <c r="G422" t="s">
        <v>51</v>
      </c>
      <c r="H422" t="s">
        <v>4429</v>
      </c>
      <c r="I422" t="s">
        <v>52</v>
      </c>
      <c r="J422" t="s">
        <v>53</v>
      </c>
      <c r="K422" t="s">
        <v>54</v>
      </c>
      <c r="L422" t="s">
        <v>55</v>
      </c>
      <c r="O422" t="s">
        <v>56</v>
      </c>
      <c r="P422" t="s">
        <v>57</v>
      </c>
      <c r="Q422" t="s">
        <v>4430</v>
      </c>
      <c r="R422" t="s">
        <v>4431</v>
      </c>
      <c r="S422" t="s">
        <v>2895</v>
      </c>
      <c r="T422" t="s">
        <v>2896</v>
      </c>
      <c r="U422" t="s">
        <v>2897</v>
      </c>
    </row>
    <row r="423" spans="1:21" hidden="1">
      <c r="A423" t="s">
        <v>951</v>
      </c>
      <c r="B423" t="s">
        <v>4427</v>
      </c>
      <c r="C423" t="s">
        <v>4432</v>
      </c>
      <c r="D423" t="s">
        <v>17</v>
      </c>
      <c r="E423" t="s">
        <v>2</v>
      </c>
      <c r="F423" t="s">
        <v>50</v>
      </c>
      <c r="G423" t="s">
        <v>51</v>
      </c>
      <c r="H423" t="s">
        <v>4433</v>
      </c>
      <c r="I423" t="s">
        <v>52</v>
      </c>
      <c r="J423" t="s">
        <v>81</v>
      </c>
      <c r="K423" t="s">
        <v>54</v>
      </c>
      <c r="L423" t="s">
        <v>55</v>
      </c>
      <c r="O423" t="s">
        <v>82</v>
      </c>
      <c r="P423" t="s">
        <v>83</v>
      </c>
      <c r="Q423" t="s">
        <v>4434</v>
      </c>
      <c r="R423" t="s">
        <v>4435</v>
      </c>
      <c r="S423" t="s">
        <v>2895</v>
      </c>
      <c r="T423" t="s">
        <v>2896</v>
      </c>
      <c r="U423" t="s">
        <v>2897</v>
      </c>
    </row>
    <row r="424" spans="1:21" hidden="1">
      <c r="A424" t="s">
        <v>953</v>
      </c>
      <c r="B424" t="s">
        <v>4427</v>
      </c>
      <c r="C424" t="s">
        <v>4436</v>
      </c>
      <c r="D424" t="s">
        <v>17</v>
      </c>
      <c r="E424" t="s">
        <v>2</v>
      </c>
      <c r="F424" t="s">
        <v>50</v>
      </c>
      <c r="G424" t="s">
        <v>51</v>
      </c>
      <c r="H424" t="s">
        <v>4437</v>
      </c>
      <c r="I424" t="s">
        <v>52</v>
      </c>
      <c r="J424" t="s">
        <v>81</v>
      </c>
      <c r="K424" t="s">
        <v>54</v>
      </c>
      <c r="L424" t="s">
        <v>55</v>
      </c>
      <c r="O424" t="s">
        <v>82</v>
      </c>
      <c r="P424" t="s">
        <v>83</v>
      </c>
      <c r="Q424" t="s">
        <v>4438</v>
      </c>
      <c r="R424" t="s">
        <v>4439</v>
      </c>
      <c r="S424" t="s">
        <v>2895</v>
      </c>
      <c r="T424" t="s">
        <v>2896</v>
      </c>
      <c r="U424" t="s">
        <v>2897</v>
      </c>
    </row>
    <row r="425" spans="1:21" hidden="1">
      <c r="A425" t="s">
        <v>955</v>
      </c>
      <c r="B425" t="s">
        <v>4427</v>
      </c>
      <c r="C425" t="s">
        <v>2995</v>
      </c>
      <c r="D425" t="s">
        <v>17</v>
      </c>
      <c r="E425" t="s">
        <v>2</v>
      </c>
      <c r="F425" t="s">
        <v>50</v>
      </c>
      <c r="G425" t="s">
        <v>51</v>
      </c>
      <c r="H425" t="s">
        <v>4440</v>
      </c>
      <c r="I425" t="s">
        <v>52</v>
      </c>
      <c r="J425" t="s">
        <v>196</v>
      </c>
      <c r="K425" t="s">
        <v>54</v>
      </c>
      <c r="L425" t="s">
        <v>55</v>
      </c>
      <c r="O425" t="s">
        <v>197</v>
      </c>
      <c r="P425" t="s">
        <v>198</v>
      </c>
      <c r="Q425" t="s">
        <v>4441</v>
      </c>
      <c r="R425" t="s">
        <v>4442</v>
      </c>
      <c r="S425" t="s">
        <v>2895</v>
      </c>
      <c r="T425" t="s">
        <v>2896</v>
      </c>
      <c r="U425" t="s">
        <v>2897</v>
      </c>
    </row>
    <row r="426" spans="1:21" hidden="1">
      <c r="A426" t="s">
        <v>957</v>
      </c>
      <c r="B426" t="s">
        <v>4427</v>
      </c>
      <c r="C426" t="s">
        <v>4443</v>
      </c>
      <c r="D426" t="s">
        <v>17</v>
      </c>
      <c r="E426" t="s">
        <v>2</v>
      </c>
      <c r="F426" t="s">
        <v>50</v>
      </c>
      <c r="G426" t="s">
        <v>51</v>
      </c>
      <c r="H426" t="s">
        <v>4444</v>
      </c>
      <c r="I426" t="s">
        <v>52</v>
      </c>
      <c r="J426" t="s">
        <v>126</v>
      </c>
      <c r="K426" t="s">
        <v>54</v>
      </c>
      <c r="L426" t="s">
        <v>55</v>
      </c>
      <c r="O426" t="s">
        <v>56</v>
      </c>
      <c r="P426" t="s">
        <v>57</v>
      </c>
      <c r="Q426" t="s">
        <v>4445</v>
      </c>
      <c r="R426" t="s">
        <v>4446</v>
      </c>
      <c r="S426" t="s">
        <v>2895</v>
      </c>
      <c r="T426" t="s">
        <v>2896</v>
      </c>
      <c r="U426" t="s">
        <v>2897</v>
      </c>
    </row>
    <row r="427" spans="1:21" hidden="1">
      <c r="A427" t="s">
        <v>959</v>
      </c>
      <c r="B427" t="s">
        <v>4427</v>
      </c>
      <c r="C427" t="s">
        <v>4447</v>
      </c>
      <c r="D427" t="s">
        <v>17</v>
      </c>
      <c r="E427" t="s">
        <v>2</v>
      </c>
      <c r="F427" t="s">
        <v>50</v>
      </c>
      <c r="G427" t="s">
        <v>100</v>
      </c>
      <c r="H427" t="s">
        <v>3666</v>
      </c>
      <c r="I427" t="s">
        <v>52</v>
      </c>
      <c r="J427" t="s">
        <v>114</v>
      </c>
      <c r="K427" t="s">
        <v>54</v>
      </c>
      <c r="L427" t="s">
        <v>102</v>
      </c>
      <c r="O427" t="s">
        <v>103</v>
      </c>
      <c r="P427" t="s">
        <v>104</v>
      </c>
      <c r="Q427" t="s">
        <v>4448</v>
      </c>
      <c r="R427" t="s">
        <v>3668</v>
      </c>
      <c r="S427" t="s">
        <v>2895</v>
      </c>
      <c r="T427" t="s">
        <v>2896</v>
      </c>
      <c r="U427" t="s">
        <v>2897</v>
      </c>
    </row>
    <row r="428" spans="1:21" hidden="1">
      <c r="A428" t="s">
        <v>961</v>
      </c>
      <c r="B428" t="s">
        <v>4427</v>
      </c>
      <c r="C428" t="s">
        <v>4449</v>
      </c>
      <c r="D428" t="s">
        <v>17</v>
      </c>
      <c r="E428" t="s">
        <v>2</v>
      </c>
      <c r="F428" t="s">
        <v>149</v>
      </c>
      <c r="G428" t="s">
        <v>321</v>
      </c>
      <c r="H428" t="s">
        <v>4450</v>
      </c>
      <c r="I428" t="s">
        <v>52</v>
      </c>
      <c r="J428" t="s">
        <v>9</v>
      </c>
      <c r="K428" t="s">
        <v>54</v>
      </c>
      <c r="L428" t="s">
        <v>102</v>
      </c>
      <c r="O428" t="s">
        <v>322</v>
      </c>
      <c r="P428" t="s">
        <v>323</v>
      </c>
      <c r="Q428" t="s">
        <v>4451</v>
      </c>
      <c r="R428" t="s">
        <v>4450</v>
      </c>
      <c r="S428" t="s">
        <v>2895</v>
      </c>
      <c r="T428" t="s">
        <v>2896</v>
      </c>
      <c r="U428" t="s">
        <v>2897</v>
      </c>
    </row>
    <row r="429" spans="1:21" hidden="1">
      <c r="A429" t="s">
        <v>963</v>
      </c>
      <c r="B429" t="s">
        <v>4427</v>
      </c>
      <c r="C429" t="s">
        <v>4452</v>
      </c>
      <c r="D429" t="s">
        <v>17</v>
      </c>
      <c r="E429" t="s">
        <v>2</v>
      </c>
      <c r="F429" t="s">
        <v>50</v>
      </c>
      <c r="G429" t="s">
        <v>51</v>
      </c>
      <c r="H429" t="s">
        <v>4453</v>
      </c>
      <c r="I429" t="s">
        <v>52</v>
      </c>
      <c r="J429" t="s">
        <v>53</v>
      </c>
      <c r="K429" t="s">
        <v>54</v>
      </c>
      <c r="L429" t="s">
        <v>55</v>
      </c>
      <c r="O429" t="s">
        <v>56</v>
      </c>
      <c r="P429" t="s">
        <v>57</v>
      </c>
      <c r="Q429" t="s">
        <v>4454</v>
      </c>
      <c r="R429" t="s">
        <v>4455</v>
      </c>
      <c r="S429" t="s">
        <v>2895</v>
      </c>
      <c r="T429" t="s">
        <v>2896</v>
      </c>
      <c r="U429" t="s">
        <v>2897</v>
      </c>
    </row>
    <row r="430" spans="1:21" hidden="1">
      <c r="A430" t="s">
        <v>965</v>
      </c>
      <c r="B430" t="s">
        <v>4456</v>
      </c>
      <c r="C430" t="s">
        <v>3726</v>
      </c>
      <c r="D430" t="s">
        <v>17</v>
      </c>
      <c r="E430" t="s">
        <v>2</v>
      </c>
      <c r="F430" t="s">
        <v>50</v>
      </c>
      <c r="G430" t="s">
        <v>51</v>
      </c>
      <c r="H430" t="s">
        <v>4457</v>
      </c>
      <c r="I430" t="s">
        <v>52</v>
      </c>
      <c r="J430" t="s">
        <v>196</v>
      </c>
      <c r="K430" t="s">
        <v>54</v>
      </c>
      <c r="L430" t="s">
        <v>55</v>
      </c>
      <c r="O430" t="s">
        <v>197</v>
      </c>
      <c r="P430" t="s">
        <v>198</v>
      </c>
      <c r="Q430" t="s">
        <v>4458</v>
      </c>
      <c r="R430" t="s">
        <v>4459</v>
      </c>
      <c r="S430" t="s">
        <v>2895</v>
      </c>
      <c r="T430" t="s">
        <v>2896</v>
      </c>
      <c r="U430" t="s">
        <v>2897</v>
      </c>
    </row>
    <row r="431" spans="1:21" hidden="1">
      <c r="A431" t="s">
        <v>967</v>
      </c>
      <c r="B431" t="s">
        <v>4456</v>
      </c>
      <c r="C431" t="s">
        <v>4460</v>
      </c>
      <c r="D431" t="s">
        <v>17</v>
      </c>
      <c r="E431" t="s">
        <v>2</v>
      </c>
      <c r="F431" t="s">
        <v>50</v>
      </c>
      <c r="G431" t="s">
        <v>51</v>
      </c>
      <c r="H431" t="s">
        <v>4461</v>
      </c>
      <c r="I431" t="s">
        <v>52</v>
      </c>
      <c r="J431" t="s">
        <v>65</v>
      </c>
      <c r="K431" t="s">
        <v>54</v>
      </c>
      <c r="L431" t="s">
        <v>55</v>
      </c>
      <c r="O431" t="s">
        <v>66</v>
      </c>
      <c r="P431" t="s">
        <v>67</v>
      </c>
      <c r="Q431" t="s">
        <v>4462</v>
      </c>
      <c r="R431" t="s">
        <v>4463</v>
      </c>
      <c r="S431" t="s">
        <v>2895</v>
      </c>
      <c r="T431" t="s">
        <v>2896</v>
      </c>
      <c r="U431" t="s">
        <v>2897</v>
      </c>
    </row>
    <row r="432" spans="1:21" hidden="1">
      <c r="A432" t="s">
        <v>969</v>
      </c>
      <c r="B432" t="s">
        <v>4456</v>
      </c>
      <c r="C432" t="s">
        <v>4464</v>
      </c>
      <c r="D432" t="s">
        <v>17</v>
      </c>
      <c r="E432" t="s">
        <v>2</v>
      </c>
      <c r="F432" t="s">
        <v>50</v>
      </c>
      <c r="G432" t="s">
        <v>51</v>
      </c>
      <c r="H432" t="s">
        <v>4465</v>
      </c>
      <c r="I432" t="s">
        <v>52</v>
      </c>
      <c r="J432" t="s">
        <v>60</v>
      </c>
      <c r="K432" t="s">
        <v>54</v>
      </c>
      <c r="L432" t="s">
        <v>55</v>
      </c>
      <c r="O432" t="s">
        <v>61</v>
      </c>
      <c r="P432" t="s">
        <v>62</v>
      </c>
      <c r="Q432" t="s">
        <v>4466</v>
      </c>
      <c r="R432" t="s">
        <v>4467</v>
      </c>
      <c r="S432" t="s">
        <v>2895</v>
      </c>
      <c r="T432" t="s">
        <v>2896</v>
      </c>
      <c r="U432" t="s">
        <v>2897</v>
      </c>
    </row>
    <row r="433" spans="1:21" hidden="1">
      <c r="A433" t="s">
        <v>971</v>
      </c>
      <c r="B433" t="s">
        <v>4456</v>
      </c>
      <c r="C433" t="s">
        <v>3954</v>
      </c>
      <c r="D433" t="s">
        <v>17</v>
      </c>
      <c r="E433" t="s">
        <v>2</v>
      </c>
      <c r="F433" t="s">
        <v>50</v>
      </c>
      <c r="G433" t="s">
        <v>51</v>
      </c>
      <c r="H433" t="s">
        <v>4468</v>
      </c>
      <c r="I433" t="s">
        <v>52</v>
      </c>
      <c r="J433" t="s">
        <v>196</v>
      </c>
      <c r="K433" t="s">
        <v>54</v>
      </c>
      <c r="L433" t="s">
        <v>55</v>
      </c>
      <c r="O433" t="s">
        <v>197</v>
      </c>
      <c r="P433" t="s">
        <v>198</v>
      </c>
      <c r="Q433" t="s">
        <v>4469</v>
      </c>
      <c r="R433" t="s">
        <v>4470</v>
      </c>
      <c r="S433" t="s">
        <v>2895</v>
      </c>
      <c r="T433" t="s">
        <v>2896</v>
      </c>
      <c r="U433" t="s">
        <v>2897</v>
      </c>
    </row>
    <row r="434" spans="1:21" hidden="1">
      <c r="A434" t="s">
        <v>973</v>
      </c>
      <c r="B434" t="s">
        <v>4456</v>
      </c>
      <c r="C434" t="s">
        <v>4031</v>
      </c>
      <c r="D434" t="s">
        <v>17</v>
      </c>
      <c r="E434" t="s">
        <v>2</v>
      </c>
      <c r="F434" t="s">
        <v>50</v>
      </c>
      <c r="G434" t="s">
        <v>51</v>
      </c>
      <c r="H434" t="s">
        <v>4471</v>
      </c>
      <c r="I434" t="s">
        <v>52</v>
      </c>
      <c r="J434" t="s">
        <v>65</v>
      </c>
      <c r="K434" t="s">
        <v>54</v>
      </c>
      <c r="L434" t="s">
        <v>55</v>
      </c>
      <c r="O434" t="s">
        <v>66</v>
      </c>
      <c r="P434" t="s">
        <v>67</v>
      </c>
      <c r="Q434" t="s">
        <v>4472</v>
      </c>
      <c r="R434" t="s">
        <v>4473</v>
      </c>
      <c r="S434" t="s">
        <v>2895</v>
      </c>
      <c r="T434" t="s">
        <v>2896</v>
      </c>
      <c r="U434" t="s">
        <v>2897</v>
      </c>
    </row>
    <row r="435" spans="1:21" hidden="1">
      <c r="A435" t="s">
        <v>975</v>
      </c>
      <c r="B435" t="s">
        <v>4456</v>
      </c>
      <c r="C435" t="s">
        <v>4474</v>
      </c>
      <c r="D435" t="s">
        <v>17</v>
      </c>
      <c r="E435" t="s">
        <v>2</v>
      </c>
      <c r="F435" t="s">
        <v>50</v>
      </c>
      <c r="G435" t="s">
        <v>72</v>
      </c>
      <c r="H435" t="s">
        <v>4475</v>
      </c>
      <c r="I435" t="s">
        <v>52</v>
      </c>
      <c r="J435" t="s">
        <v>316</v>
      </c>
      <c r="K435" t="s">
        <v>54</v>
      </c>
      <c r="L435" t="s">
        <v>74</v>
      </c>
      <c r="O435" t="s">
        <v>75</v>
      </c>
      <c r="P435" t="s">
        <v>76</v>
      </c>
      <c r="Q435" t="s">
        <v>4476</v>
      </c>
      <c r="R435" t="s">
        <v>4477</v>
      </c>
      <c r="S435" t="s">
        <v>2895</v>
      </c>
      <c r="T435" t="s">
        <v>2896</v>
      </c>
      <c r="U435" t="s">
        <v>2897</v>
      </c>
    </row>
    <row r="436" spans="1:21" hidden="1">
      <c r="A436" t="s">
        <v>977</v>
      </c>
      <c r="B436" t="s">
        <v>4456</v>
      </c>
      <c r="C436" t="s">
        <v>3624</v>
      </c>
      <c r="D436" t="s">
        <v>17</v>
      </c>
      <c r="E436" t="s">
        <v>2</v>
      </c>
      <c r="F436" t="s">
        <v>50</v>
      </c>
      <c r="G436" t="s">
        <v>51</v>
      </c>
      <c r="H436" t="s">
        <v>4478</v>
      </c>
      <c r="I436" t="s">
        <v>52</v>
      </c>
      <c r="J436" t="s">
        <v>126</v>
      </c>
      <c r="K436" t="s">
        <v>54</v>
      </c>
      <c r="L436" t="s">
        <v>55</v>
      </c>
      <c r="O436" t="s">
        <v>56</v>
      </c>
      <c r="P436" t="s">
        <v>57</v>
      </c>
      <c r="Q436" t="s">
        <v>4479</v>
      </c>
      <c r="R436" t="s">
        <v>4480</v>
      </c>
      <c r="S436" t="s">
        <v>2895</v>
      </c>
      <c r="T436" t="s">
        <v>2896</v>
      </c>
      <c r="U436" t="s">
        <v>2897</v>
      </c>
    </row>
    <row r="437" spans="1:21" hidden="1">
      <c r="A437" t="s">
        <v>979</v>
      </c>
      <c r="B437" t="s">
        <v>4481</v>
      </c>
      <c r="C437" t="s">
        <v>4482</v>
      </c>
      <c r="D437" t="s">
        <v>17</v>
      </c>
      <c r="E437" t="s">
        <v>2</v>
      </c>
      <c r="F437" t="s">
        <v>50</v>
      </c>
      <c r="G437" t="s">
        <v>72</v>
      </c>
      <c r="H437" t="s">
        <v>4483</v>
      </c>
      <c r="I437" t="s">
        <v>52</v>
      </c>
      <c r="J437" t="s">
        <v>638</v>
      </c>
      <c r="K437" t="s">
        <v>54</v>
      </c>
      <c r="L437" t="s">
        <v>74</v>
      </c>
      <c r="O437" t="s">
        <v>75</v>
      </c>
      <c r="P437" t="s">
        <v>76</v>
      </c>
      <c r="Q437" t="s">
        <v>4484</v>
      </c>
      <c r="R437" t="s">
        <v>4485</v>
      </c>
      <c r="S437" t="s">
        <v>2895</v>
      </c>
      <c r="T437" t="s">
        <v>2896</v>
      </c>
      <c r="U437" t="s">
        <v>2897</v>
      </c>
    </row>
    <row r="438" spans="1:21" hidden="1">
      <c r="A438" t="s">
        <v>981</v>
      </c>
      <c r="B438" t="s">
        <v>4481</v>
      </c>
      <c r="C438" t="s">
        <v>3044</v>
      </c>
      <c r="D438" t="s">
        <v>17</v>
      </c>
      <c r="E438" t="s">
        <v>2</v>
      </c>
      <c r="F438" t="s">
        <v>50</v>
      </c>
      <c r="G438" t="s">
        <v>51</v>
      </c>
      <c r="H438" t="s">
        <v>4486</v>
      </c>
      <c r="I438" t="s">
        <v>52</v>
      </c>
      <c r="J438" t="s">
        <v>65</v>
      </c>
      <c r="K438" t="s">
        <v>54</v>
      </c>
      <c r="L438" t="s">
        <v>55</v>
      </c>
      <c r="O438" t="s">
        <v>66</v>
      </c>
      <c r="P438" t="s">
        <v>67</v>
      </c>
      <c r="Q438" t="s">
        <v>4487</v>
      </c>
      <c r="R438" t="s">
        <v>4488</v>
      </c>
      <c r="S438" t="s">
        <v>2895</v>
      </c>
      <c r="T438" t="s">
        <v>2896</v>
      </c>
      <c r="U438" t="s">
        <v>2897</v>
      </c>
    </row>
    <row r="439" spans="1:21" hidden="1">
      <c r="A439" t="s">
        <v>983</v>
      </c>
      <c r="B439" t="s">
        <v>4481</v>
      </c>
      <c r="C439" t="s">
        <v>4489</v>
      </c>
      <c r="D439" t="s">
        <v>17</v>
      </c>
      <c r="E439" t="s">
        <v>2</v>
      </c>
      <c r="F439" t="s">
        <v>50</v>
      </c>
      <c r="G439" t="s">
        <v>51</v>
      </c>
      <c r="H439" t="s">
        <v>4490</v>
      </c>
      <c r="I439" t="s">
        <v>52</v>
      </c>
      <c r="J439" t="s">
        <v>126</v>
      </c>
      <c r="K439" t="s">
        <v>54</v>
      </c>
      <c r="L439" t="s">
        <v>55</v>
      </c>
      <c r="O439" t="s">
        <v>56</v>
      </c>
      <c r="P439" t="s">
        <v>57</v>
      </c>
      <c r="Q439" t="s">
        <v>4491</v>
      </c>
      <c r="R439" t="s">
        <v>4492</v>
      </c>
      <c r="S439" t="s">
        <v>2895</v>
      </c>
      <c r="T439" t="s">
        <v>2896</v>
      </c>
      <c r="U439" t="s">
        <v>2897</v>
      </c>
    </row>
    <row r="440" spans="1:21" hidden="1">
      <c r="A440" t="s">
        <v>985</v>
      </c>
      <c r="B440" t="s">
        <v>4481</v>
      </c>
      <c r="C440" t="s">
        <v>4493</v>
      </c>
      <c r="D440" t="s">
        <v>17</v>
      </c>
      <c r="E440" t="s">
        <v>2</v>
      </c>
      <c r="F440" t="s">
        <v>50</v>
      </c>
      <c r="G440" t="s">
        <v>100</v>
      </c>
      <c r="H440" t="s">
        <v>4494</v>
      </c>
      <c r="I440" t="s">
        <v>52</v>
      </c>
      <c r="J440" t="s">
        <v>114</v>
      </c>
      <c r="K440" t="s">
        <v>54</v>
      </c>
      <c r="L440" t="s">
        <v>102</v>
      </c>
      <c r="O440" t="s">
        <v>103</v>
      </c>
      <c r="P440" t="s">
        <v>104</v>
      </c>
      <c r="Q440" t="s">
        <v>4495</v>
      </c>
      <c r="R440" t="s">
        <v>4496</v>
      </c>
      <c r="S440" t="s">
        <v>2895</v>
      </c>
      <c r="T440" t="s">
        <v>2896</v>
      </c>
      <c r="U440" t="s">
        <v>2897</v>
      </c>
    </row>
    <row r="441" spans="1:21" hidden="1">
      <c r="A441" t="s">
        <v>987</v>
      </c>
      <c r="B441" t="s">
        <v>4481</v>
      </c>
      <c r="C441" t="s">
        <v>4447</v>
      </c>
      <c r="D441" t="s">
        <v>17</v>
      </c>
      <c r="E441" t="s">
        <v>2</v>
      </c>
      <c r="F441" t="s">
        <v>50</v>
      </c>
      <c r="G441" t="s">
        <v>51</v>
      </c>
      <c r="H441" t="s">
        <v>4497</v>
      </c>
      <c r="I441" t="s">
        <v>52</v>
      </c>
      <c r="J441" t="s">
        <v>196</v>
      </c>
      <c r="K441" t="s">
        <v>54</v>
      </c>
      <c r="L441" t="s">
        <v>55</v>
      </c>
      <c r="O441" t="s">
        <v>197</v>
      </c>
      <c r="P441" t="s">
        <v>198</v>
      </c>
      <c r="Q441" t="s">
        <v>4498</v>
      </c>
      <c r="R441" t="s">
        <v>4499</v>
      </c>
      <c r="S441" t="s">
        <v>2895</v>
      </c>
      <c r="T441" t="s">
        <v>2896</v>
      </c>
      <c r="U441" t="s">
        <v>2897</v>
      </c>
    </row>
    <row r="442" spans="1:21" hidden="1">
      <c r="A442" t="s">
        <v>989</v>
      </c>
      <c r="B442" t="s">
        <v>4481</v>
      </c>
      <c r="C442" t="s">
        <v>4500</v>
      </c>
      <c r="D442" t="s">
        <v>17</v>
      </c>
      <c r="E442" t="s">
        <v>2</v>
      </c>
      <c r="F442" t="s">
        <v>50</v>
      </c>
      <c r="G442" t="s">
        <v>51</v>
      </c>
      <c r="H442" t="s">
        <v>3499</v>
      </c>
      <c r="I442" t="s">
        <v>52</v>
      </c>
      <c r="J442" t="s">
        <v>126</v>
      </c>
      <c r="K442" t="s">
        <v>54</v>
      </c>
      <c r="L442" t="s">
        <v>55</v>
      </c>
      <c r="O442" t="s">
        <v>56</v>
      </c>
      <c r="P442" t="s">
        <v>57</v>
      </c>
      <c r="Q442" t="s">
        <v>4501</v>
      </c>
      <c r="R442" t="s">
        <v>3501</v>
      </c>
      <c r="S442" t="s">
        <v>2895</v>
      </c>
      <c r="T442" t="s">
        <v>2896</v>
      </c>
      <c r="U442" t="s">
        <v>2897</v>
      </c>
    </row>
    <row r="443" spans="1:21" hidden="1">
      <c r="A443" t="s">
        <v>991</v>
      </c>
      <c r="B443" t="s">
        <v>4481</v>
      </c>
      <c r="C443" t="s">
        <v>4502</v>
      </c>
      <c r="D443" t="s">
        <v>17</v>
      </c>
      <c r="E443" t="s">
        <v>2</v>
      </c>
      <c r="F443" t="s">
        <v>50</v>
      </c>
      <c r="G443" t="s">
        <v>51</v>
      </c>
      <c r="H443" t="s">
        <v>4503</v>
      </c>
      <c r="I443" t="s">
        <v>52</v>
      </c>
      <c r="J443" t="s">
        <v>60</v>
      </c>
      <c r="K443" t="s">
        <v>54</v>
      </c>
      <c r="L443" t="s">
        <v>55</v>
      </c>
      <c r="O443" t="s">
        <v>61</v>
      </c>
      <c r="P443" t="s">
        <v>62</v>
      </c>
      <c r="Q443" t="s">
        <v>4504</v>
      </c>
      <c r="R443" t="s">
        <v>4505</v>
      </c>
      <c r="S443" t="s">
        <v>2895</v>
      </c>
      <c r="T443" t="s">
        <v>2896</v>
      </c>
      <c r="U443" t="s">
        <v>2897</v>
      </c>
    </row>
    <row r="444" spans="1:21" hidden="1">
      <c r="A444" t="s">
        <v>993</v>
      </c>
      <c r="B444" t="s">
        <v>4481</v>
      </c>
      <c r="C444" t="s">
        <v>4506</v>
      </c>
      <c r="D444" t="s">
        <v>17</v>
      </c>
      <c r="E444" t="s">
        <v>2</v>
      </c>
      <c r="F444" t="s">
        <v>50</v>
      </c>
      <c r="G444" t="s">
        <v>51</v>
      </c>
      <c r="H444" t="s">
        <v>4507</v>
      </c>
      <c r="I444" t="s">
        <v>52</v>
      </c>
      <c r="J444" t="s">
        <v>53</v>
      </c>
      <c r="K444" t="s">
        <v>54</v>
      </c>
      <c r="L444" t="s">
        <v>55</v>
      </c>
      <c r="O444" t="s">
        <v>56</v>
      </c>
      <c r="P444" t="s">
        <v>57</v>
      </c>
      <c r="Q444" t="s">
        <v>4508</v>
      </c>
      <c r="R444" t="s">
        <v>4509</v>
      </c>
      <c r="S444" t="s">
        <v>2895</v>
      </c>
      <c r="T444" t="s">
        <v>2896</v>
      </c>
      <c r="U444" t="s">
        <v>2897</v>
      </c>
    </row>
    <row r="445" spans="1:21" hidden="1">
      <c r="A445" t="s">
        <v>995</v>
      </c>
      <c r="B445" t="s">
        <v>4510</v>
      </c>
      <c r="C445" t="s">
        <v>4482</v>
      </c>
      <c r="D445" t="s">
        <v>17</v>
      </c>
      <c r="E445" t="s">
        <v>2</v>
      </c>
      <c r="F445" t="s">
        <v>50</v>
      </c>
      <c r="G445" t="s">
        <v>51</v>
      </c>
      <c r="H445" t="s">
        <v>4511</v>
      </c>
      <c r="I445" t="s">
        <v>52</v>
      </c>
      <c r="J445" t="s">
        <v>81</v>
      </c>
      <c r="K445" t="s">
        <v>54</v>
      </c>
      <c r="L445" t="s">
        <v>55</v>
      </c>
      <c r="O445" t="s">
        <v>82</v>
      </c>
      <c r="P445" t="s">
        <v>83</v>
      </c>
      <c r="Q445" t="s">
        <v>4512</v>
      </c>
      <c r="R445" t="s">
        <v>4513</v>
      </c>
      <c r="S445" t="s">
        <v>2895</v>
      </c>
      <c r="T445" t="s">
        <v>2896</v>
      </c>
      <c r="U445" t="s">
        <v>2897</v>
      </c>
    </row>
    <row r="446" spans="1:21" hidden="1">
      <c r="A446" t="s">
        <v>997</v>
      </c>
      <c r="B446" t="s">
        <v>4510</v>
      </c>
      <c r="C446" t="s">
        <v>4514</v>
      </c>
      <c r="D446" t="s">
        <v>17</v>
      </c>
      <c r="E446" t="s">
        <v>2</v>
      </c>
      <c r="F446" t="s">
        <v>50</v>
      </c>
      <c r="G446" t="s">
        <v>51</v>
      </c>
      <c r="H446" t="s">
        <v>4515</v>
      </c>
      <c r="I446" t="s">
        <v>52</v>
      </c>
      <c r="J446" t="s">
        <v>81</v>
      </c>
      <c r="K446" t="s">
        <v>54</v>
      </c>
      <c r="L446" t="s">
        <v>55</v>
      </c>
      <c r="O446" t="s">
        <v>82</v>
      </c>
      <c r="P446" t="s">
        <v>83</v>
      </c>
      <c r="Q446" t="s">
        <v>4516</v>
      </c>
      <c r="R446" t="s">
        <v>4517</v>
      </c>
      <c r="S446" t="s">
        <v>2895</v>
      </c>
      <c r="T446" t="s">
        <v>2896</v>
      </c>
      <c r="U446" t="s">
        <v>2897</v>
      </c>
    </row>
    <row r="447" spans="1:21" hidden="1">
      <c r="A447" t="s">
        <v>999</v>
      </c>
      <c r="B447" t="s">
        <v>4510</v>
      </c>
      <c r="C447" t="s">
        <v>4518</v>
      </c>
      <c r="D447" t="s">
        <v>17</v>
      </c>
      <c r="E447" t="s">
        <v>2</v>
      </c>
      <c r="F447" t="s">
        <v>50</v>
      </c>
      <c r="G447" t="s">
        <v>51</v>
      </c>
      <c r="H447" t="s">
        <v>4519</v>
      </c>
      <c r="I447" t="s">
        <v>52</v>
      </c>
      <c r="J447" t="s">
        <v>196</v>
      </c>
      <c r="K447" t="s">
        <v>54</v>
      </c>
      <c r="L447" t="s">
        <v>55</v>
      </c>
      <c r="O447" t="s">
        <v>197</v>
      </c>
      <c r="P447" t="s">
        <v>198</v>
      </c>
      <c r="Q447" t="s">
        <v>4520</v>
      </c>
      <c r="R447" t="s">
        <v>4521</v>
      </c>
      <c r="S447" t="s">
        <v>2895</v>
      </c>
      <c r="T447" t="s">
        <v>2896</v>
      </c>
      <c r="U447" t="s">
        <v>2897</v>
      </c>
    </row>
    <row r="448" spans="1:21" hidden="1">
      <c r="A448" t="s">
        <v>1001</v>
      </c>
      <c r="B448" t="s">
        <v>4510</v>
      </c>
      <c r="C448" t="s">
        <v>3946</v>
      </c>
      <c r="D448" t="s">
        <v>17</v>
      </c>
      <c r="E448" t="s">
        <v>2</v>
      </c>
      <c r="F448" t="s">
        <v>50</v>
      </c>
      <c r="G448" t="s">
        <v>100</v>
      </c>
      <c r="H448" t="s">
        <v>4522</v>
      </c>
      <c r="I448" t="s">
        <v>52</v>
      </c>
      <c r="J448" t="s">
        <v>114</v>
      </c>
      <c r="K448" t="s">
        <v>54</v>
      </c>
      <c r="L448" t="s">
        <v>102</v>
      </c>
      <c r="O448" t="s">
        <v>103</v>
      </c>
      <c r="P448" t="s">
        <v>104</v>
      </c>
      <c r="Q448" t="s">
        <v>4523</v>
      </c>
      <c r="R448" t="s">
        <v>4524</v>
      </c>
      <c r="S448" t="s">
        <v>2895</v>
      </c>
      <c r="T448" t="s">
        <v>2896</v>
      </c>
      <c r="U448" t="s">
        <v>2897</v>
      </c>
    </row>
    <row r="449" spans="1:21" hidden="1">
      <c r="A449" t="s">
        <v>1003</v>
      </c>
      <c r="B449" t="s">
        <v>4510</v>
      </c>
      <c r="C449" t="s">
        <v>4525</v>
      </c>
      <c r="D449" t="s">
        <v>17</v>
      </c>
      <c r="E449" t="s">
        <v>2</v>
      </c>
      <c r="F449" t="s">
        <v>50</v>
      </c>
      <c r="G449" t="s">
        <v>51</v>
      </c>
      <c r="H449" t="s">
        <v>4526</v>
      </c>
      <c r="I449" t="s">
        <v>52</v>
      </c>
      <c r="J449" t="s">
        <v>53</v>
      </c>
      <c r="K449" t="s">
        <v>54</v>
      </c>
      <c r="L449" t="s">
        <v>55</v>
      </c>
      <c r="O449" t="s">
        <v>56</v>
      </c>
      <c r="P449" t="s">
        <v>57</v>
      </c>
      <c r="Q449" t="s">
        <v>4527</v>
      </c>
      <c r="R449" t="s">
        <v>4528</v>
      </c>
      <c r="S449" t="s">
        <v>2895</v>
      </c>
      <c r="T449" t="s">
        <v>2896</v>
      </c>
      <c r="U449" t="s">
        <v>2897</v>
      </c>
    </row>
    <row r="450" spans="1:21" hidden="1">
      <c r="A450" t="s">
        <v>1005</v>
      </c>
      <c r="B450" t="s">
        <v>4510</v>
      </c>
      <c r="C450" t="s">
        <v>4529</v>
      </c>
      <c r="D450" t="s">
        <v>17</v>
      </c>
      <c r="E450" t="s">
        <v>2</v>
      </c>
      <c r="F450" t="s">
        <v>50</v>
      </c>
      <c r="G450" t="s">
        <v>100</v>
      </c>
      <c r="H450" t="s">
        <v>2969</v>
      </c>
      <c r="I450" t="s">
        <v>52</v>
      </c>
      <c r="J450" t="s">
        <v>101</v>
      </c>
      <c r="K450" t="s">
        <v>54</v>
      </c>
      <c r="L450" t="s">
        <v>102</v>
      </c>
      <c r="O450" t="s">
        <v>103</v>
      </c>
      <c r="P450" t="s">
        <v>104</v>
      </c>
      <c r="Q450" t="s">
        <v>4530</v>
      </c>
      <c r="R450" t="s">
        <v>2971</v>
      </c>
      <c r="S450" t="s">
        <v>2895</v>
      </c>
      <c r="T450" t="s">
        <v>2896</v>
      </c>
      <c r="U450" t="s">
        <v>2897</v>
      </c>
    </row>
    <row r="451" spans="1:21" hidden="1">
      <c r="A451" t="s">
        <v>1007</v>
      </c>
      <c r="B451" t="s">
        <v>4510</v>
      </c>
      <c r="C451" t="s">
        <v>3282</v>
      </c>
      <c r="D451" t="s">
        <v>17</v>
      </c>
      <c r="E451" t="s">
        <v>2</v>
      </c>
      <c r="F451" t="s">
        <v>50</v>
      </c>
      <c r="G451" t="s">
        <v>100</v>
      </c>
      <c r="H451" t="s">
        <v>2969</v>
      </c>
      <c r="I451" t="s">
        <v>52</v>
      </c>
      <c r="J451" t="s">
        <v>101</v>
      </c>
      <c r="K451" t="s">
        <v>54</v>
      </c>
      <c r="L451" t="s">
        <v>102</v>
      </c>
      <c r="O451" t="s">
        <v>103</v>
      </c>
      <c r="P451" t="s">
        <v>104</v>
      </c>
      <c r="Q451" t="s">
        <v>4531</v>
      </c>
      <c r="R451" t="s">
        <v>2971</v>
      </c>
      <c r="S451" t="s">
        <v>2895</v>
      </c>
      <c r="T451" t="s">
        <v>2896</v>
      </c>
      <c r="U451" t="s">
        <v>2897</v>
      </c>
    </row>
    <row r="452" spans="1:21" hidden="1">
      <c r="A452" t="s">
        <v>1009</v>
      </c>
      <c r="B452" t="s">
        <v>4532</v>
      </c>
      <c r="C452" t="s">
        <v>4533</v>
      </c>
      <c r="D452" t="s">
        <v>17</v>
      </c>
      <c r="E452" t="s">
        <v>2</v>
      </c>
      <c r="F452" t="s">
        <v>50</v>
      </c>
      <c r="G452" t="s">
        <v>72</v>
      </c>
      <c r="H452" t="s">
        <v>4534</v>
      </c>
      <c r="I452" t="s">
        <v>52</v>
      </c>
      <c r="J452" t="s">
        <v>638</v>
      </c>
      <c r="K452" t="s">
        <v>54</v>
      </c>
      <c r="L452" t="s">
        <v>74</v>
      </c>
      <c r="O452" t="s">
        <v>75</v>
      </c>
      <c r="P452" t="s">
        <v>76</v>
      </c>
      <c r="Q452" t="s">
        <v>4535</v>
      </c>
      <c r="R452" t="s">
        <v>4536</v>
      </c>
      <c r="S452" t="s">
        <v>2895</v>
      </c>
      <c r="T452" t="s">
        <v>2896</v>
      </c>
      <c r="U452" t="s">
        <v>2897</v>
      </c>
    </row>
    <row r="453" spans="1:21" hidden="1">
      <c r="A453" t="s">
        <v>1011</v>
      </c>
      <c r="B453" t="s">
        <v>4532</v>
      </c>
      <c r="C453" t="s">
        <v>4537</v>
      </c>
      <c r="D453" t="s">
        <v>17</v>
      </c>
      <c r="E453" t="s">
        <v>2</v>
      </c>
      <c r="F453" t="s">
        <v>50</v>
      </c>
      <c r="G453" t="s">
        <v>100</v>
      </c>
      <c r="H453" t="s">
        <v>2969</v>
      </c>
      <c r="I453" t="s">
        <v>52</v>
      </c>
      <c r="J453" t="s">
        <v>101</v>
      </c>
      <c r="K453" t="s">
        <v>54</v>
      </c>
      <c r="L453" t="s">
        <v>102</v>
      </c>
      <c r="O453" t="s">
        <v>103</v>
      </c>
      <c r="P453" t="s">
        <v>104</v>
      </c>
      <c r="Q453" t="s">
        <v>4538</v>
      </c>
      <c r="R453" t="s">
        <v>2971</v>
      </c>
      <c r="S453" t="s">
        <v>2895</v>
      </c>
      <c r="T453" t="s">
        <v>2896</v>
      </c>
      <c r="U453" t="s">
        <v>2897</v>
      </c>
    </row>
    <row r="454" spans="1:21" hidden="1">
      <c r="A454" t="s">
        <v>1013</v>
      </c>
      <c r="B454" t="s">
        <v>4532</v>
      </c>
      <c r="C454" t="s">
        <v>3669</v>
      </c>
      <c r="D454" t="s">
        <v>17</v>
      </c>
      <c r="E454" t="s">
        <v>2</v>
      </c>
      <c r="F454" t="s">
        <v>50</v>
      </c>
      <c r="G454" t="s">
        <v>100</v>
      </c>
      <c r="H454" t="s">
        <v>4539</v>
      </c>
      <c r="I454" t="s">
        <v>52</v>
      </c>
      <c r="J454" t="s">
        <v>114</v>
      </c>
      <c r="K454" t="s">
        <v>54</v>
      </c>
      <c r="L454" t="s">
        <v>102</v>
      </c>
      <c r="O454" t="s">
        <v>103</v>
      </c>
      <c r="P454" t="s">
        <v>104</v>
      </c>
      <c r="Q454" t="s">
        <v>4540</v>
      </c>
      <c r="R454" t="s">
        <v>4541</v>
      </c>
      <c r="S454" t="s">
        <v>2895</v>
      </c>
      <c r="T454" t="s">
        <v>2896</v>
      </c>
      <c r="U454" t="s">
        <v>2897</v>
      </c>
    </row>
    <row r="455" spans="1:21" hidden="1">
      <c r="A455" t="s">
        <v>1015</v>
      </c>
      <c r="B455" t="s">
        <v>4532</v>
      </c>
      <c r="C455" t="s">
        <v>4161</v>
      </c>
      <c r="D455" t="s">
        <v>17</v>
      </c>
      <c r="E455" t="s">
        <v>2</v>
      </c>
      <c r="F455" t="s">
        <v>50</v>
      </c>
      <c r="G455" t="s">
        <v>100</v>
      </c>
      <c r="H455" t="s">
        <v>4542</v>
      </c>
      <c r="I455" t="s">
        <v>52</v>
      </c>
      <c r="J455" t="s">
        <v>114</v>
      </c>
      <c r="K455" t="s">
        <v>54</v>
      </c>
      <c r="L455" t="s">
        <v>102</v>
      </c>
      <c r="O455" t="s">
        <v>103</v>
      </c>
      <c r="P455" t="s">
        <v>104</v>
      </c>
      <c r="Q455" t="s">
        <v>4543</v>
      </c>
      <c r="R455" t="s">
        <v>4544</v>
      </c>
      <c r="S455" t="s">
        <v>2895</v>
      </c>
      <c r="T455" t="s">
        <v>2896</v>
      </c>
      <c r="U455" t="s">
        <v>2897</v>
      </c>
    </row>
    <row r="456" spans="1:21" hidden="1">
      <c r="A456" t="s">
        <v>1017</v>
      </c>
      <c r="B456" t="s">
        <v>4532</v>
      </c>
      <c r="C456" t="s">
        <v>4545</v>
      </c>
      <c r="D456" t="s">
        <v>17</v>
      </c>
      <c r="E456" t="s">
        <v>2</v>
      </c>
      <c r="F456" t="s">
        <v>50</v>
      </c>
      <c r="G456" t="s">
        <v>100</v>
      </c>
      <c r="H456" t="s">
        <v>2973</v>
      </c>
      <c r="I456" t="s">
        <v>52</v>
      </c>
      <c r="J456" t="s">
        <v>107</v>
      </c>
      <c r="K456" t="s">
        <v>54</v>
      </c>
      <c r="L456" t="s">
        <v>102</v>
      </c>
      <c r="O456" t="s">
        <v>108</v>
      </c>
      <c r="P456" t="s">
        <v>109</v>
      </c>
      <c r="Q456" t="s">
        <v>4546</v>
      </c>
      <c r="R456" t="s">
        <v>2975</v>
      </c>
      <c r="S456" t="s">
        <v>2895</v>
      </c>
      <c r="T456" t="s">
        <v>2896</v>
      </c>
      <c r="U456" t="s">
        <v>2897</v>
      </c>
    </row>
    <row r="457" spans="1:21" hidden="1">
      <c r="A457" t="s">
        <v>1019</v>
      </c>
      <c r="B457" t="s">
        <v>4532</v>
      </c>
      <c r="C457" t="s">
        <v>3472</v>
      </c>
      <c r="D457" t="s">
        <v>17</v>
      </c>
      <c r="E457" t="s">
        <v>2</v>
      </c>
      <c r="F457" t="s">
        <v>50</v>
      </c>
      <c r="G457" t="s">
        <v>51</v>
      </c>
      <c r="H457" t="s">
        <v>4547</v>
      </c>
      <c r="I457" t="s">
        <v>52</v>
      </c>
      <c r="J457" t="s">
        <v>60</v>
      </c>
      <c r="K457" t="s">
        <v>54</v>
      </c>
      <c r="L457" t="s">
        <v>55</v>
      </c>
      <c r="O457" t="s">
        <v>61</v>
      </c>
      <c r="P457" t="s">
        <v>62</v>
      </c>
      <c r="Q457" t="s">
        <v>4548</v>
      </c>
      <c r="R457" t="s">
        <v>4549</v>
      </c>
      <c r="S457" t="s">
        <v>2895</v>
      </c>
      <c r="T457" t="s">
        <v>2896</v>
      </c>
      <c r="U457" t="s">
        <v>2897</v>
      </c>
    </row>
    <row r="458" spans="1:21" hidden="1">
      <c r="A458" t="s">
        <v>1021</v>
      </c>
      <c r="B458" t="s">
        <v>4532</v>
      </c>
      <c r="C458" t="s">
        <v>4375</v>
      </c>
      <c r="D458" t="s">
        <v>17</v>
      </c>
      <c r="E458" t="s">
        <v>2</v>
      </c>
      <c r="F458" t="s">
        <v>50</v>
      </c>
      <c r="G458" t="s">
        <v>100</v>
      </c>
      <c r="H458" t="s">
        <v>2969</v>
      </c>
      <c r="I458" t="s">
        <v>52</v>
      </c>
      <c r="J458" t="s">
        <v>101</v>
      </c>
      <c r="K458" t="s">
        <v>54</v>
      </c>
      <c r="L458" t="s">
        <v>102</v>
      </c>
      <c r="O458" t="s">
        <v>103</v>
      </c>
      <c r="P458" t="s">
        <v>104</v>
      </c>
      <c r="Q458" t="s">
        <v>4550</v>
      </c>
      <c r="R458" t="s">
        <v>2971</v>
      </c>
      <c r="S458" t="s">
        <v>2895</v>
      </c>
      <c r="T458" t="s">
        <v>2896</v>
      </c>
      <c r="U458" t="s">
        <v>2897</v>
      </c>
    </row>
    <row r="459" spans="1:21" hidden="1">
      <c r="A459" t="s">
        <v>1023</v>
      </c>
      <c r="B459" t="s">
        <v>4551</v>
      </c>
      <c r="C459" t="s">
        <v>4552</v>
      </c>
      <c r="D459" t="s">
        <v>17</v>
      </c>
      <c r="E459" t="s">
        <v>2</v>
      </c>
      <c r="F459" t="s">
        <v>50</v>
      </c>
      <c r="G459" t="s">
        <v>51</v>
      </c>
      <c r="H459" t="s">
        <v>4553</v>
      </c>
      <c r="I459" t="s">
        <v>52</v>
      </c>
      <c r="J459" t="s">
        <v>65</v>
      </c>
      <c r="K459" t="s">
        <v>54</v>
      </c>
      <c r="L459" t="s">
        <v>55</v>
      </c>
      <c r="O459" t="s">
        <v>66</v>
      </c>
      <c r="P459" t="s">
        <v>67</v>
      </c>
      <c r="Q459" t="s">
        <v>4554</v>
      </c>
      <c r="R459" t="s">
        <v>4555</v>
      </c>
      <c r="S459" t="s">
        <v>2895</v>
      </c>
      <c r="T459" t="s">
        <v>2896</v>
      </c>
      <c r="U459" t="s">
        <v>2897</v>
      </c>
    </row>
    <row r="460" spans="1:21" hidden="1">
      <c r="A460" t="s">
        <v>1025</v>
      </c>
      <c r="B460" t="s">
        <v>4551</v>
      </c>
      <c r="C460" t="s">
        <v>3099</v>
      </c>
      <c r="D460" t="s">
        <v>17</v>
      </c>
      <c r="E460" t="s">
        <v>2</v>
      </c>
      <c r="F460" t="s">
        <v>50</v>
      </c>
      <c r="G460" t="s">
        <v>100</v>
      </c>
      <c r="H460" t="s">
        <v>4556</v>
      </c>
      <c r="I460" t="s">
        <v>52</v>
      </c>
      <c r="J460" t="s">
        <v>114</v>
      </c>
      <c r="K460" t="s">
        <v>54</v>
      </c>
      <c r="L460" t="s">
        <v>102</v>
      </c>
      <c r="O460" t="s">
        <v>103</v>
      </c>
      <c r="P460" t="s">
        <v>104</v>
      </c>
      <c r="Q460" t="s">
        <v>4557</v>
      </c>
      <c r="R460" t="s">
        <v>4558</v>
      </c>
      <c r="S460" t="s">
        <v>2895</v>
      </c>
      <c r="T460" t="s">
        <v>2896</v>
      </c>
      <c r="U460" t="s">
        <v>2897</v>
      </c>
    </row>
    <row r="461" spans="1:21" hidden="1">
      <c r="A461" t="s">
        <v>1027</v>
      </c>
      <c r="B461" t="s">
        <v>4551</v>
      </c>
      <c r="C461" t="s">
        <v>3329</v>
      </c>
      <c r="D461" t="s">
        <v>17</v>
      </c>
      <c r="E461" t="s">
        <v>2</v>
      </c>
      <c r="F461" t="s">
        <v>50</v>
      </c>
      <c r="G461" t="s">
        <v>51</v>
      </c>
      <c r="H461" t="s">
        <v>4559</v>
      </c>
      <c r="I461" t="s">
        <v>52</v>
      </c>
      <c r="J461" t="s">
        <v>121</v>
      </c>
      <c r="K461" t="s">
        <v>54</v>
      </c>
      <c r="L461" t="s">
        <v>55</v>
      </c>
      <c r="O461" t="s">
        <v>122</v>
      </c>
      <c r="P461" t="s">
        <v>123</v>
      </c>
      <c r="Q461" t="s">
        <v>4560</v>
      </c>
      <c r="R461" t="s">
        <v>4561</v>
      </c>
      <c r="S461" t="s">
        <v>2895</v>
      </c>
      <c r="T461" t="s">
        <v>2896</v>
      </c>
      <c r="U461" t="s">
        <v>2897</v>
      </c>
    </row>
    <row r="462" spans="1:21" hidden="1">
      <c r="A462" t="s">
        <v>1029</v>
      </c>
      <c r="B462" t="s">
        <v>4551</v>
      </c>
      <c r="C462" t="s">
        <v>4283</v>
      </c>
      <c r="D462" t="s">
        <v>17</v>
      </c>
      <c r="E462" t="s">
        <v>2</v>
      </c>
      <c r="F462" t="s">
        <v>50</v>
      </c>
      <c r="G462" t="s">
        <v>51</v>
      </c>
      <c r="H462" t="s">
        <v>4562</v>
      </c>
      <c r="I462" t="s">
        <v>52</v>
      </c>
      <c r="J462" t="s">
        <v>65</v>
      </c>
      <c r="K462" t="s">
        <v>54</v>
      </c>
      <c r="L462" t="s">
        <v>55</v>
      </c>
      <c r="O462" t="s">
        <v>66</v>
      </c>
      <c r="P462" t="s">
        <v>67</v>
      </c>
      <c r="Q462" t="s">
        <v>4563</v>
      </c>
      <c r="R462" t="s">
        <v>4564</v>
      </c>
      <c r="S462" t="s">
        <v>2895</v>
      </c>
      <c r="T462" t="s">
        <v>2896</v>
      </c>
      <c r="U462" t="s">
        <v>2897</v>
      </c>
    </row>
    <row r="463" spans="1:21" hidden="1">
      <c r="A463" t="s">
        <v>1030</v>
      </c>
      <c r="B463" t="s">
        <v>4551</v>
      </c>
      <c r="C463" t="s">
        <v>4565</v>
      </c>
      <c r="D463" t="s">
        <v>17</v>
      </c>
      <c r="E463" t="s">
        <v>2</v>
      </c>
      <c r="F463" t="s">
        <v>50</v>
      </c>
      <c r="G463" t="s">
        <v>51</v>
      </c>
      <c r="H463" t="s">
        <v>4566</v>
      </c>
      <c r="I463" t="s">
        <v>52</v>
      </c>
      <c r="J463" t="s">
        <v>60</v>
      </c>
      <c r="K463" t="s">
        <v>54</v>
      </c>
      <c r="L463" t="s">
        <v>55</v>
      </c>
      <c r="O463" t="s">
        <v>61</v>
      </c>
      <c r="P463" t="s">
        <v>62</v>
      </c>
      <c r="Q463" t="s">
        <v>4567</v>
      </c>
      <c r="R463" t="s">
        <v>4568</v>
      </c>
      <c r="S463" t="s">
        <v>2895</v>
      </c>
      <c r="T463" t="s">
        <v>2896</v>
      </c>
      <c r="U463" t="s">
        <v>2897</v>
      </c>
    </row>
    <row r="464" spans="1:21" hidden="1">
      <c r="A464" t="s">
        <v>1032</v>
      </c>
      <c r="B464" t="s">
        <v>4551</v>
      </c>
      <c r="C464" t="s">
        <v>4569</v>
      </c>
      <c r="D464" t="s">
        <v>17</v>
      </c>
      <c r="E464" t="s">
        <v>2</v>
      </c>
      <c r="F464" t="s">
        <v>50</v>
      </c>
      <c r="G464" t="s">
        <v>51</v>
      </c>
      <c r="H464" t="s">
        <v>4570</v>
      </c>
      <c r="I464" t="s">
        <v>52</v>
      </c>
      <c r="J464" t="s">
        <v>121</v>
      </c>
      <c r="K464" t="s">
        <v>54</v>
      </c>
      <c r="L464" t="s">
        <v>55</v>
      </c>
      <c r="O464" t="s">
        <v>122</v>
      </c>
      <c r="P464" t="s">
        <v>123</v>
      </c>
      <c r="Q464" t="s">
        <v>4571</v>
      </c>
      <c r="R464" t="s">
        <v>4572</v>
      </c>
      <c r="S464" t="s">
        <v>2895</v>
      </c>
      <c r="T464" t="s">
        <v>2896</v>
      </c>
      <c r="U464" t="s">
        <v>2897</v>
      </c>
    </row>
    <row r="465" spans="1:21" hidden="1">
      <c r="A465" t="s">
        <v>1034</v>
      </c>
      <c r="B465" t="s">
        <v>4551</v>
      </c>
      <c r="C465" t="s">
        <v>3983</v>
      </c>
      <c r="D465" t="s">
        <v>17</v>
      </c>
      <c r="E465" t="s">
        <v>2</v>
      </c>
      <c r="F465" t="s">
        <v>50</v>
      </c>
      <c r="G465" t="s">
        <v>51</v>
      </c>
      <c r="H465" t="s">
        <v>4573</v>
      </c>
      <c r="I465" t="s">
        <v>52</v>
      </c>
      <c r="J465" t="s">
        <v>81</v>
      </c>
      <c r="K465" t="s">
        <v>54</v>
      </c>
      <c r="L465" t="s">
        <v>55</v>
      </c>
      <c r="O465" t="s">
        <v>82</v>
      </c>
      <c r="P465" t="s">
        <v>83</v>
      </c>
      <c r="Q465" t="s">
        <v>4574</v>
      </c>
      <c r="R465" t="s">
        <v>4575</v>
      </c>
      <c r="S465" t="s">
        <v>2895</v>
      </c>
      <c r="T465" t="s">
        <v>2896</v>
      </c>
      <c r="U465" t="s">
        <v>2897</v>
      </c>
    </row>
    <row r="466" spans="1:21" hidden="1">
      <c r="A466" t="s">
        <v>1036</v>
      </c>
      <c r="B466" t="s">
        <v>4576</v>
      </c>
      <c r="C466" t="s">
        <v>4577</v>
      </c>
      <c r="D466" t="s">
        <v>17</v>
      </c>
      <c r="E466" t="s">
        <v>2</v>
      </c>
      <c r="F466" t="s">
        <v>50</v>
      </c>
      <c r="G466" t="s">
        <v>51</v>
      </c>
      <c r="H466" t="s">
        <v>4578</v>
      </c>
      <c r="I466" t="s">
        <v>52</v>
      </c>
      <c r="J466" t="s">
        <v>65</v>
      </c>
      <c r="K466" t="s">
        <v>54</v>
      </c>
      <c r="L466" t="s">
        <v>55</v>
      </c>
      <c r="O466" t="s">
        <v>66</v>
      </c>
      <c r="P466" t="s">
        <v>67</v>
      </c>
      <c r="Q466" t="s">
        <v>4579</v>
      </c>
      <c r="R466" t="s">
        <v>4580</v>
      </c>
      <c r="S466" t="s">
        <v>2895</v>
      </c>
      <c r="T466" t="s">
        <v>2896</v>
      </c>
      <c r="U466" t="s">
        <v>2897</v>
      </c>
    </row>
    <row r="467" spans="1:21" hidden="1">
      <c r="A467" t="s">
        <v>1038</v>
      </c>
      <c r="B467" t="s">
        <v>4576</v>
      </c>
      <c r="C467" t="s">
        <v>3179</v>
      </c>
      <c r="D467" t="s">
        <v>17</v>
      </c>
      <c r="E467" t="s">
        <v>2</v>
      </c>
      <c r="F467" t="s">
        <v>50</v>
      </c>
      <c r="G467" t="s">
        <v>51</v>
      </c>
      <c r="H467" t="s">
        <v>4581</v>
      </c>
      <c r="I467" t="s">
        <v>52</v>
      </c>
      <c r="J467" t="s">
        <v>196</v>
      </c>
      <c r="K467" t="s">
        <v>54</v>
      </c>
      <c r="L467" t="s">
        <v>55</v>
      </c>
      <c r="O467" t="s">
        <v>197</v>
      </c>
      <c r="P467" t="s">
        <v>198</v>
      </c>
      <c r="Q467" t="s">
        <v>4582</v>
      </c>
      <c r="R467" t="s">
        <v>4583</v>
      </c>
      <c r="S467" t="s">
        <v>2895</v>
      </c>
      <c r="T467" t="s">
        <v>2896</v>
      </c>
      <c r="U467" t="s">
        <v>2897</v>
      </c>
    </row>
    <row r="468" spans="1:21" hidden="1">
      <c r="A468" t="s">
        <v>1040</v>
      </c>
      <c r="B468" t="s">
        <v>4576</v>
      </c>
      <c r="C468" t="s">
        <v>4584</v>
      </c>
      <c r="D468" t="s">
        <v>17</v>
      </c>
      <c r="E468" t="s">
        <v>2</v>
      </c>
      <c r="F468" t="s">
        <v>149</v>
      </c>
      <c r="G468" t="s">
        <v>72</v>
      </c>
      <c r="H468" t="s">
        <v>4585</v>
      </c>
      <c r="I468" t="s">
        <v>52</v>
      </c>
      <c r="J468" t="s">
        <v>606</v>
      </c>
      <c r="K468" t="s">
        <v>54</v>
      </c>
      <c r="L468" t="s">
        <v>74</v>
      </c>
      <c r="O468" t="s">
        <v>75</v>
      </c>
      <c r="P468" t="s">
        <v>76</v>
      </c>
      <c r="Q468" t="s">
        <v>4586</v>
      </c>
      <c r="R468" t="s">
        <v>4585</v>
      </c>
      <c r="S468" t="s">
        <v>2895</v>
      </c>
      <c r="T468" t="s">
        <v>2896</v>
      </c>
      <c r="U468" t="s">
        <v>2897</v>
      </c>
    </row>
    <row r="469" spans="1:21" hidden="1">
      <c r="A469" t="s">
        <v>1042</v>
      </c>
      <c r="B469" t="s">
        <v>4576</v>
      </c>
      <c r="C469" t="s">
        <v>4447</v>
      </c>
      <c r="D469" t="s">
        <v>17</v>
      </c>
      <c r="E469" t="s">
        <v>2</v>
      </c>
      <c r="F469" t="s">
        <v>50</v>
      </c>
      <c r="G469" t="s">
        <v>100</v>
      </c>
      <c r="H469" t="s">
        <v>4587</v>
      </c>
      <c r="I469" t="s">
        <v>52</v>
      </c>
      <c r="J469" t="s">
        <v>114</v>
      </c>
      <c r="K469" t="s">
        <v>54</v>
      </c>
      <c r="L469" t="s">
        <v>102</v>
      </c>
      <c r="O469" t="s">
        <v>103</v>
      </c>
      <c r="P469" t="s">
        <v>104</v>
      </c>
      <c r="Q469" t="s">
        <v>4588</v>
      </c>
      <c r="R469" t="s">
        <v>4589</v>
      </c>
      <c r="S469" t="s">
        <v>2895</v>
      </c>
      <c r="T469" t="s">
        <v>2896</v>
      </c>
      <c r="U469" t="s">
        <v>2897</v>
      </c>
    </row>
    <row r="470" spans="1:21" hidden="1">
      <c r="A470" t="s">
        <v>1044</v>
      </c>
      <c r="B470" t="s">
        <v>4576</v>
      </c>
      <c r="C470" t="s">
        <v>3234</v>
      </c>
      <c r="D470" t="s">
        <v>17</v>
      </c>
      <c r="E470" t="s">
        <v>2</v>
      </c>
      <c r="F470" t="s">
        <v>50</v>
      </c>
      <c r="G470" t="s">
        <v>51</v>
      </c>
      <c r="H470" t="s">
        <v>4590</v>
      </c>
      <c r="I470" t="s">
        <v>52</v>
      </c>
      <c r="J470" t="s">
        <v>60</v>
      </c>
      <c r="K470" t="s">
        <v>54</v>
      </c>
      <c r="L470" t="s">
        <v>55</v>
      </c>
      <c r="O470" t="s">
        <v>61</v>
      </c>
      <c r="P470" t="s">
        <v>62</v>
      </c>
      <c r="Q470" t="s">
        <v>4591</v>
      </c>
      <c r="R470" t="s">
        <v>4592</v>
      </c>
      <c r="S470" t="s">
        <v>2895</v>
      </c>
      <c r="T470" t="s">
        <v>2896</v>
      </c>
      <c r="U470" t="s">
        <v>2897</v>
      </c>
    </row>
    <row r="471" spans="1:21" hidden="1">
      <c r="A471" t="s">
        <v>1046</v>
      </c>
      <c r="B471" t="s">
        <v>4576</v>
      </c>
      <c r="C471" t="s">
        <v>4593</v>
      </c>
      <c r="D471" t="s">
        <v>17</v>
      </c>
      <c r="E471" t="s">
        <v>2</v>
      </c>
      <c r="F471" t="s">
        <v>50</v>
      </c>
      <c r="G471" t="s">
        <v>51</v>
      </c>
      <c r="H471" t="s">
        <v>3955</v>
      </c>
      <c r="I471" t="s">
        <v>52</v>
      </c>
      <c r="J471" t="s">
        <v>65</v>
      </c>
      <c r="K471" t="s">
        <v>54</v>
      </c>
      <c r="L471" t="s">
        <v>55</v>
      </c>
      <c r="O471" t="s">
        <v>66</v>
      </c>
      <c r="P471" t="s">
        <v>67</v>
      </c>
      <c r="Q471" t="s">
        <v>4594</v>
      </c>
      <c r="R471" t="s">
        <v>4595</v>
      </c>
      <c r="S471" t="s">
        <v>2895</v>
      </c>
      <c r="T471" t="s">
        <v>2896</v>
      </c>
      <c r="U471" t="s">
        <v>2897</v>
      </c>
    </row>
    <row r="472" spans="1:21" hidden="1">
      <c r="A472" t="s">
        <v>1048</v>
      </c>
      <c r="B472" t="s">
        <v>4596</v>
      </c>
      <c r="C472" t="s">
        <v>3655</v>
      </c>
      <c r="D472" t="s">
        <v>17</v>
      </c>
      <c r="E472" t="s">
        <v>2</v>
      </c>
      <c r="F472" t="s">
        <v>50</v>
      </c>
      <c r="G472" t="s">
        <v>100</v>
      </c>
      <c r="H472" t="s">
        <v>4597</v>
      </c>
      <c r="I472" t="s">
        <v>52</v>
      </c>
      <c r="J472" t="s">
        <v>114</v>
      </c>
      <c r="K472" t="s">
        <v>54</v>
      </c>
      <c r="L472" t="s">
        <v>102</v>
      </c>
      <c r="O472" t="s">
        <v>103</v>
      </c>
      <c r="P472" t="s">
        <v>104</v>
      </c>
      <c r="Q472" t="s">
        <v>4598</v>
      </c>
      <c r="R472" t="s">
        <v>4599</v>
      </c>
      <c r="S472" t="s">
        <v>2895</v>
      </c>
      <c r="T472" t="s">
        <v>2896</v>
      </c>
      <c r="U472" t="s">
        <v>2897</v>
      </c>
    </row>
    <row r="473" spans="1:21" hidden="1">
      <c r="A473" t="s">
        <v>1049</v>
      </c>
      <c r="B473" t="s">
        <v>4596</v>
      </c>
      <c r="C473" t="s">
        <v>3048</v>
      </c>
      <c r="D473" t="s">
        <v>17</v>
      </c>
      <c r="E473" t="s">
        <v>2</v>
      </c>
      <c r="F473" t="s">
        <v>50</v>
      </c>
      <c r="G473" t="s">
        <v>51</v>
      </c>
      <c r="H473" t="s">
        <v>4600</v>
      </c>
      <c r="I473" t="s">
        <v>52</v>
      </c>
      <c r="J473" t="s">
        <v>81</v>
      </c>
      <c r="K473" t="s">
        <v>54</v>
      </c>
      <c r="L473" t="s">
        <v>55</v>
      </c>
      <c r="O473" t="s">
        <v>82</v>
      </c>
      <c r="P473" t="s">
        <v>83</v>
      </c>
      <c r="Q473" t="s">
        <v>4601</v>
      </c>
      <c r="R473" t="s">
        <v>4602</v>
      </c>
      <c r="S473" t="s">
        <v>2895</v>
      </c>
      <c r="T473" t="s">
        <v>2896</v>
      </c>
      <c r="U473" t="s">
        <v>2897</v>
      </c>
    </row>
    <row r="474" spans="1:21" hidden="1">
      <c r="A474" t="s">
        <v>1051</v>
      </c>
      <c r="B474" t="s">
        <v>4596</v>
      </c>
      <c r="C474" t="s">
        <v>4603</v>
      </c>
      <c r="D474" t="s">
        <v>17</v>
      </c>
      <c r="E474" t="s">
        <v>2</v>
      </c>
      <c r="F474" t="s">
        <v>50</v>
      </c>
      <c r="G474" t="s">
        <v>72</v>
      </c>
      <c r="H474" t="s">
        <v>4604</v>
      </c>
      <c r="I474" t="s">
        <v>52</v>
      </c>
      <c r="J474" t="s">
        <v>73</v>
      </c>
      <c r="K474" t="s">
        <v>54</v>
      </c>
      <c r="L474" t="s">
        <v>74</v>
      </c>
      <c r="O474" t="s">
        <v>75</v>
      </c>
      <c r="P474" t="s">
        <v>76</v>
      </c>
      <c r="Q474" t="s">
        <v>4605</v>
      </c>
      <c r="R474" t="s">
        <v>4606</v>
      </c>
      <c r="S474" t="s">
        <v>2895</v>
      </c>
      <c r="T474" t="s">
        <v>2896</v>
      </c>
      <c r="U474" t="s">
        <v>2897</v>
      </c>
    </row>
    <row r="475" spans="1:21" hidden="1">
      <c r="A475" t="s">
        <v>1053</v>
      </c>
      <c r="B475" t="s">
        <v>4596</v>
      </c>
      <c r="C475" t="s">
        <v>4607</v>
      </c>
      <c r="D475" t="s">
        <v>17</v>
      </c>
      <c r="E475" t="s">
        <v>2</v>
      </c>
      <c r="F475" t="s">
        <v>50</v>
      </c>
      <c r="G475" t="s">
        <v>51</v>
      </c>
      <c r="H475" t="s">
        <v>4608</v>
      </c>
      <c r="I475" t="s">
        <v>52</v>
      </c>
      <c r="J475" t="s">
        <v>196</v>
      </c>
      <c r="K475" t="s">
        <v>54</v>
      </c>
      <c r="L475" t="s">
        <v>55</v>
      </c>
      <c r="O475" t="s">
        <v>197</v>
      </c>
      <c r="P475" t="s">
        <v>198</v>
      </c>
      <c r="Q475" t="s">
        <v>4609</v>
      </c>
      <c r="R475" t="s">
        <v>4610</v>
      </c>
      <c r="S475" t="s">
        <v>2895</v>
      </c>
      <c r="T475" t="s">
        <v>2896</v>
      </c>
      <c r="U475" t="s">
        <v>2897</v>
      </c>
    </row>
    <row r="476" spans="1:21" hidden="1">
      <c r="A476" t="s">
        <v>1055</v>
      </c>
      <c r="B476" t="s">
        <v>4596</v>
      </c>
      <c r="C476" t="s">
        <v>3979</v>
      </c>
      <c r="D476" t="s">
        <v>17</v>
      </c>
      <c r="E476" t="s">
        <v>2</v>
      </c>
      <c r="F476" t="s">
        <v>50</v>
      </c>
      <c r="G476" t="s">
        <v>51</v>
      </c>
      <c r="H476" t="s">
        <v>4611</v>
      </c>
      <c r="I476" t="s">
        <v>52</v>
      </c>
      <c r="J476" t="s">
        <v>53</v>
      </c>
      <c r="K476" t="s">
        <v>54</v>
      </c>
      <c r="L476" t="s">
        <v>55</v>
      </c>
      <c r="O476" t="s">
        <v>56</v>
      </c>
      <c r="P476" t="s">
        <v>57</v>
      </c>
      <c r="Q476" t="s">
        <v>4612</v>
      </c>
      <c r="R476" t="s">
        <v>4613</v>
      </c>
      <c r="S476" t="s">
        <v>2895</v>
      </c>
      <c r="T476" t="s">
        <v>2896</v>
      </c>
      <c r="U476" t="s">
        <v>2897</v>
      </c>
    </row>
    <row r="477" spans="1:21" hidden="1">
      <c r="A477" t="s">
        <v>1057</v>
      </c>
      <c r="B477" t="s">
        <v>4596</v>
      </c>
      <c r="C477" t="s">
        <v>4474</v>
      </c>
      <c r="D477" t="s">
        <v>17</v>
      </c>
      <c r="E477" t="s">
        <v>2</v>
      </c>
      <c r="F477" t="s">
        <v>50</v>
      </c>
      <c r="G477" t="s">
        <v>51</v>
      </c>
      <c r="H477" t="s">
        <v>4614</v>
      </c>
      <c r="I477" t="s">
        <v>52</v>
      </c>
      <c r="J477" t="s">
        <v>65</v>
      </c>
      <c r="K477" t="s">
        <v>54</v>
      </c>
      <c r="L477" t="s">
        <v>55</v>
      </c>
      <c r="O477" t="s">
        <v>66</v>
      </c>
      <c r="P477" t="s">
        <v>67</v>
      </c>
      <c r="Q477" t="s">
        <v>4615</v>
      </c>
      <c r="R477" t="s">
        <v>4616</v>
      </c>
      <c r="S477" t="s">
        <v>2895</v>
      </c>
      <c r="T477" t="s">
        <v>2896</v>
      </c>
      <c r="U477" t="s">
        <v>2897</v>
      </c>
    </row>
    <row r="478" spans="1:21" hidden="1">
      <c r="A478" t="s">
        <v>1059</v>
      </c>
      <c r="B478" t="s">
        <v>4596</v>
      </c>
      <c r="C478" t="s">
        <v>4617</v>
      </c>
      <c r="D478" t="s">
        <v>17</v>
      </c>
      <c r="E478" t="s">
        <v>2</v>
      </c>
      <c r="F478" t="s">
        <v>50</v>
      </c>
      <c r="G478" t="s">
        <v>51</v>
      </c>
      <c r="H478" t="s">
        <v>4618</v>
      </c>
      <c r="I478" t="s">
        <v>52</v>
      </c>
      <c r="J478" t="s">
        <v>126</v>
      </c>
      <c r="K478" t="s">
        <v>54</v>
      </c>
      <c r="L478" t="s">
        <v>55</v>
      </c>
      <c r="O478" t="s">
        <v>56</v>
      </c>
      <c r="P478" t="s">
        <v>57</v>
      </c>
      <c r="Q478" t="s">
        <v>4619</v>
      </c>
      <c r="R478" t="s">
        <v>4620</v>
      </c>
      <c r="S478" t="s">
        <v>2895</v>
      </c>
      <c r="T478" t="s">
        <v>2896</v>
      </c>
      <c r="U478" t="s">
        <v>2897</v>
      </c>
    </row>
    <row r="479" spans="1:21" hidden="1">
      <c r="A479" t="s">
        <v>1061</v>
      </c>
      <c r="B479" t="s">
        <v>4621</v>
      </c>
      <c r="C479" t="s">
        <v>4622</v>
      </c>
      <c r="D479" t="s">
        <v>17</v>
      </c>
      <c r="E479" t="s">
        <v>2</v>
      </c>
      <c r="F479" t="s">
        <v>50</v>
      </c>
      <c r="G479" t="s">
        <v>51</v>
      </c>
      <c r="H479" t="s">
        <v>4623</v>
      </c>
      <c r="I479" t="s">
        <v>52</v>
      </c>
      <c r="J479" t="s">
        <v>53</v>
      </c>
      <c r="K479" t="s">
        <v>54</v>
      </c>
      <c r="L479" t="s">
        <v>55</v>
      </c>
      <c r="O479" t="s">
        <v>56</v>
      </c>
      <c r="P479" t="s">
        <v>57</v>
      </c>
      <c r="Q479" t="s">
        <v>4624</v>
      </c>
      <c r="R479" t="s">
        <v>4625</v>
      </c>
      <c r="S479" t="s">
        <v>2895</v>
      </c>
      <c r="T479" t="s">
        <v>2896</v>
      </c>
      <c r="U479" t="s">
        <v>2897</v>
      </c>
    </row>
    <row r="480" spans="1:21" hidden="1">
      <c r="A480" t="s">
        <v>1063</v>
      </c>
      <c r="B480" t="s">
        <v>4621</v>
      </c>
      <c r="C480" t="s">
        <v>4626</v>
      </c>
      <c r="D480" t="s">
        <v>17</v>
      </c>
      <c r="E480" t="s">
        <v>2</v>
      </c>
      <c r="F480" t="s">
        <v>50</v>
      </c>
      <c r="G480" t="s">
        <v>51</v>
      </c>
      <c r="H480" t="s">
        <v>4627</v>
      </c>
      <c r="I480" t="s">
        <v>52</v>
      </c>
      <c r="J480" t="s">
        <v>65</v>
      </c>
      <c r="K480" t="s">
        <v>54</v>
      </c>
      <c r="L480" t="s">
        <v>55</v>
      </c>
      <c r="O480" t="s">
        <v>66</v>
      </c>
      <c r="P480" t="s">
        <v>67</v>
      </c>
      <c r="Q480" t="s">
        <v>4628</v>
      </c>
      <c r="R480" t="s">
        <v>4629</v>
      </c>
      <c r="S480" t="s">
        <v>2895</v>
      </c>
      <c r="T480" t="s">
        <v>2896</v>
      </c>
      <c r="U480" t="s">
        <v>2897</v>
      </c>
    </row>
    <row r="481" spans="1:21" hidden="1">
      <c r="A481" t="s">
        <v>1065</v>
      </c>
      <c r="B481" t="s">
        <v>4621</v>
      </c>
      <c r="C481" t="s">
        <v>4630</v>
      </c>
      <c r="D481" t="s">
        <v>17</v>
      </c>
      <c r="E481" t="s">
        <v>2</v>
      </c>
      <c r="F481" t="s">
        <v>50</v>
      </c>
      <c r="G481" t="s">
        <v>51</v>
      </c>
      <c r="H481" t="s">
        <v>4631</v>
      </c>
      <c r="I481" t="s">
        <v>52</v>
      </c>
      <c r="J481" t="s">
        <v>126</v>
      </c>
      <c r="K481" t="s">
        <v>54</v>
      </c>
      <c r="L481" t="s">
        <v>55</v>
      </c>
      <c r="O481" t="s">
        <v>56</v>
      </c>
      <c r="P481" t="s">
        <v>57</v>
      </c>
      <c r="Q481" t="s">
        <v>4632</v>
      </c>
      <c r="R481" t="s">
        <v>4633</v>
      </c>
      <c r="S481" t="s">
        <v>2895</v>
      </c>
      <c r="T481" t="s">
        <v>2896</v>
      </c>
      <c r="U481" t="s">
        <v>2897</v>
      </c>
    </row>
    <row r="482" spans="1:21" hidden="1">
      <c r="A482" t="s">
        <v>1067</v>
      </c>
      <c r="B482" t="s">
        <v>4621</v>
      </c>
      <c r="C482" t="s">
        <v>3981</v>
      </c>
      <c r="D482" t="s">
        <v>17</v>
      </c>
      <c r="E482" t="s">
        <v>2</v>
      </c>
      <c r="F482" t="s">
        <v>50</v>
      </c>
      <c r="G482" t="s">
        <v>51</v>
      </c>
      <c r="H482" t="s">
        <v>4634</v>
      </c>
      <c r="I482" t="s">
        <v>52</v>
      </c>
      <c r="J482" t="s">
        <v>60</v>
      </c>
      <c r="K482" t="s">
        <v>54</v>
      </c>
      <c r="L482" t="s">
        <v>55</v>
      </c>
      <c r="O482" t="s">
        <v>61</v>
      </c>
      <c r="P482" t="s">
        <v>62</v>
      </c>
      <c r="Q482" t="s">
        <v>4635</v>
      </c>
      <c r="R482" t="s">
        <v>4636</v>
      </c>
      <c r="S482" t="s">
        <v>2895</v>
      </c>
      <c r="T482" t="s">
        <v>2896</v>
      </c>
      <c r="U482" t="s">
        <v>2897</v>
      </c>
    </row>
    <row r="483" spans="1:21" hidden="1">
      <c r="A483" t="s">
        <v>1069</v>
      </c>
      <c r="B483" t="s">
        <v>4621</v>
      </c>
      <c r="C483" t="s">
        <v>3282</v>
      </c>
      <c r="D483" t="s">
        <v>17</v>
      </c>
      <c r="E483" t="s">
        <v>2</v>
      </c>
      <c r="F483" t="s">
        <v>50</v>
      </c>
      <c r="G483" t="s">
        <v>51</v>
      </c>
      <c r="H483" t="s">
        <v>4637</v>
      </c>
      <c r="I483" t="s">
        <v>52</v>
      </c>
      <c r="J483" t="s">
        <v>196</v>
      </c>
      <c r="K483" t="s">
        <v>54</v>
      </c>
      <c r="L483" t="s">
        <v>55</v>
      </c>
      <c r="O483" t="s">
        <v>197</v>
      </c>
      <c r="P483" t="s">
        <v>198</v>
      </c>
      <c r="Q483" t="s">
        <v>4638</v>
      </c>
      <c r="R483" t="s">
        <v>4639</v>
      </c>
      <c r="S483" t="s">
        <v>2895</v>
      </c>
      <c r="T483" t="s">
        <v>2896</v>
      </c>
      <c r="U483" t="s">
        <v>2897</v>
      </c>
    </row>
    <row r="484" spans="1:21" hidden="1">
      <c r="A484" t="s">
        <v>1071</v>
      </c>
      <c r="B484" t="s">
        <v>4621</v>
      </c>
      <c r="C484" t="s">
        <v>4617</v>
      </c>
      <c r="D484" t="s">
        <v>17</v>
      </c>
      <c r="E484" t="s">
        <v>2</v>
      </c>
      <c r="F484" t="s">
        <v>50</v>
      </c>
      <c r="G484" t="s">
        <v>51</v>
      </c>
      <c r="H484" t="s">
        <v>4640</v>
      </c>
      <c r="I484" t="s">
        <v>52</v>
      </c>
      <c r="J484" t="s">
        <v>65</v>
      </c>
      <c r="K484" t="s">
        <v>54</v>
      </c>
      <c r="L484" t="s">
        <v>55</v>
      </c>
      <c r="O484" t="s">
        <v>66</v>
      </c>
      <c r="P484" t="s">
        <v>67</v>
      </c>
      <c r="Q484" t="s">
        <v>4641</v>
      </c>
      <c r="R484" t="s">
        <v>4642</v>
      </c>
      <c r="S484" t="s">
        <v>2895</v>
      </c>
      <c r="T484" t="s">
        <v>2896</v>
      </c>
      <c r="U484" t="s">
        <v>2897</v>
      </c>
    </row>
    <row r="485" spans="1:21" hidden="1">
      <c r="A485" t="s">
        <v>1073</v>
      </c>
      <c r="B485" t="s">
        <v>4621</v>
      </c>
      <c r="C485" t="s">
        <v>3800</v>
      </c>
      <c r="D485" t="s">
        <v>17</v>
      </c>
      <c r="E485" t="s">
        <v>2</v>
      </c>
      <c r="F485" t="s">
        <v>50</v>
      </c>
      <c r="G485" t="s">
        <v>100</v>
      </c>
      <c r="H485" t="s">
        <v>4643</v>
      </c>
      <c r="I485" t="s">
        <v>52</v>
      </c>
      <c r="J485" t="s">
        <v>177</v>
      </c>
      <c r="K485" t="s">
        <v>54</v>
      </c>
      <c r="L485" t="s">
        <v>102</v>
      </c>
      <c r="O485" t="s">
        <v>178</v>
      </c>
      <c r="P485" t="s">
        <v>179</v>
      </c>
      <c r="Q485" t="s">
        <v>4644</v>
      </c>
      <c r="R485" t="s">
        <v>4645</v>
      </c>
      <c r="S485" t="s">
        <v>2895</v>
      </c>
      <c r="T485" t="s">
        <v>2896</v>
      </c>
      <c r="U485" t="s">
        <v>2897</v>
      </c>
    </row>
    <row r="486" spans="1:21" hidden="1">
      <c r="A486" t="s">
        <v>1075</v>
      </c>
      <c r="B486" t="s">
        <v>4646</v>
      </c>
      <c r="C486" t="s">
        <v>4647</v>
      </c>
      <c r="D486" t="s">
        <v>17</v>
      </c>
      <c r="E486" t="s">
        <v>2</v>
      </c>
      <c r="F486" t="s">
        <v>50</v>
      </c>
      <c r="G486" t="s">
        <v>100</v>
      </c>
      <c r="H486" t="s">
        <v>2969</v>
      </c>
      <c r="I486" t="s">
        <v>52</v>
      </c>
      <c r="J486" t="s">
        <v>101</v>
      </c>
      <c r="K486" t="s">
        <v>54</v>
      </c>
      <c r="L486" t="s">
        <v>102</v>
      </c>
      <c r="O486" t="s">
        <v>103</v>
      </c>
      <c r="P486" t="s">
        <v>104</v>
      </c>
      <c r="Q486" t="s">
        <v>4648</v>
      </c>
      <c r="R486" t="s">
        <v>2971</v>
      </c>
      <c r="S486" t="s">
        <v>2895</v>
      </c>
      <c r="T486" t="s">
        <v>2896</v>
      </c>
      <c r="U486" t="s">
        <v>2897</v>
      </c>
    </row>
    <row r="487" spans="1:21" hidden="1">
      <c r="A487" t="s">
        <v>1077</v>
      </c>
      <c r="B487" t="s">
        <v>4646</v>
      </c>
      <c r="C487" t="s">
        <v>4649</v>
      </c>
      <c r="D487" t="s">
        <v>17</v>
      </c>
      <c r="E487" t="s">
        <v>2</v>
      </c>
      <c r="F487" t="s">
        <v>50</v>
      </c>
      <c r="G487" t="s">
        <v>51</v>
      </c>
      <c r="H487" t="s">
        <v>4650</v>
      </c>
      <c r="I487" t="s">
        <v>52</v>
      </c>
      <c r="J487" t="s">
        <v>65</v>
      </c>
      <c r="K487" t="s">
        <v>54</v>
      </c>
      <c r="L487" t="s">
        <v>55</v>
      </c>
      <c r="O487" t="s">
        <v>66</v>
      </c>
      <c r="P487" t="s">
        <v>67</v>
      </c>
      <c r="Q487" t="s">
        <v>4651</v>
      </c>
      <c r="R487" t="s">
        <v>4652</v>
      </c>
      <c r="S487" t="s">
        <v>2895</v>
      </c>
      <c r="T487" t="s">
        <v>2896</v>
      </c>
      <c r="U487" t="s">
        <v>2897</v>
      </c>
    </row>
    <row r="488" spans="1:21" hidden="1">
      <c r="A488" t="s">
        <v>1079</v>
      </c>
      <c r="B488" t="s">
        <v>4646</v>
      </c>
      <c r="C488" t="s">
        <v>4046</v>
      </c>
      <c r="D488" t="s">
        <v>17</v>
      </c>
      <c r="E488" t="s">
        <v>2</v>
      </c>
      <c r="F488" t="s">
        <v>50</v>
      </c>
      <c r="G488" t="s">
        <v>100</v>
      </c>
      <c r="H488" t="s">
        <v>4653</v>
      </c>
      <c r="I488" t="s">
        <v>52</v>
      </c>
      <c r="J488" t="s">
        <v>114</v>
      </c>
      <c r="K488" t="s">
        <v>54</v>
      </c>
      <c r="L488" t="s">
        <v>102</v>
      </c>
      <c r="O488" t="s">
        <v>103</v>
      </c>
      <c r="P488" t="s">
        <v>104</v>
      </c>
      <c r="Q488" t="s">
        <v>4654</v>
      </c>
      <c r="R488" t="s">
        <v>4655</v>
      </c>
      <c r="S488" t="s">
        <v>2895</v>
      </c>
      <c r="T488" t="s">
        <v>2896</v>
      </c>
      <c r="U488" t="s">
        <v>2897</v>
      </c>
    </row>
    <row r="489" spans="1:21" hidden="1">
      <c r="A489" t="s">
        <v>1081</v>
      </c>
      <c r="B489" t="s">
        <v>4646</v>
      </c>
      <c r="C489" t="s">
        <v>4656</v>
      </c>
      <c r="D489" t="s">
        <v>17</v>
      </c>
      <c r="E489" t="s">
        <v>2</v>
      </c>
      <c r="F489" t="s">
        <v>50</v>
      </c>
      <c r="G489" t="s">
        <v>51</v>
      </c>
      <c r="H489" t="s">
        <v>4657</v>
      </c>
      <c r="I489" t="s">
        <v>52</v>
      </c>
      <c r="J489" t="s">
        <v>196</v>
      </c>
      <c r="K489" t="s">
        <v>54</v>
      </c>
      <c r="L489" t="s">
        <v>55</v>
      </c>
      <c r="O489" t="s">
        <v>197</v>
      </c>
      <c r="P489" t="s">
        <v>198</v>
      </c>
      <c r="Q489" t="s">
        <v>4658</v>
      </c>
      <c r="R489" t="s">
        <v>4659</v>
      </c>
      <c r="S489" t="s">
        <v>2895</v>
      </c>
      <c r="T489" t="s">
        <v>2896</v>
      </c>
      <c r="U489" t="s">
        <v>2897</v>
      </c>
    </row>
    <row r="490" spans="1:21" hidden="1">
      <c r="A490" t="s">
        <v>1083</v>
      </c>
      <c r="B490" t="s">
        <v>4646</v>
      </c>
      <c r="C490" t="s">
        <v>4660</v>
      </c>
      <c r="D490" t="s">
        <v>17</v>
      </c>
      <c r="E490" t="s">
        <v>2</v>
      </c>
      <c r="F490" t="s">
        <v>50</v>
      </c>
      <c r="G490" t="s">
        <v>100</v>
      </c>
      <c r="H490" t="s">
        <v>2969</v>
      </c>
      <c r="I490" t="s">
        <v>52</v>
      </c>
      <c r="J490" t="s">
        <v>101</v>
      </c>
      <c r="K490" t="s">
        <v>54</v>
      </c>
      <c r="L490" t="s">
        <v>102</v>
      </c>
      <c r="O490" t="s">
        <v>103</v>
      </c>
      <c r="P490" t="s">
        <v>104</v>
      </c>
      <c r="Q490" t="s">
        <v>4661</v>
      </c>
      <c r="R490" t="s">
        <v>2971</v>
      </c>
      <c r="S490" t="s">
        <v>2895</v>
      </c>
      <c r="T490" t="s">
        <v>2896</v>
      </c>
      <c r="U490" t="s">
        <v>2897</v>
      </c>
    </row>
    <row r="491" spans="1:21" hidden="1">
      <c r="A491" t="s">
        <v>1085</v>
      </c>
      <c r="B491" t="s">
        <v>4646</v>
      </c>
      <c r="C491" t="s">
        <v>3679</v>
      </c>
      <c r="D491" t="s">
        <v>17</v>
      </c>
      <c r="E491" t="s">
        <v>2</v>
      </c>
      <c r="F491" t="s">
        <v>50</v>
      </c>
      <c r="G491" t="s">
        <v>100</v>
      </c>
      <c r="H491" t="s">
        <v>4662</v>
      </c>
      <c r="I491" t="s">
        <v>52</v>
      </c>
      <c r="J491" t="s">
        <v>114</v>
      </c>
      <c r="K491" t="s">
        <v>54</v>
      </c>
      <c r="L491" t="s">
        <v>102</v>
      </c>
      <c r="O491" t="s">
        <v>103</v>
      </c>
      <c r="P491" t="s">
        <v>104</v>
      </c>
      <c r="Q491" t="s">
        <v>4663</v>
      </c>
      <c r="R491" t="s">
        <v>4664</v>
      </c>
      <c r="S491" t="s">
        <v>2895</v>
      </c>
      <c r="T491" t="s">
        <v>2896</v>
      </c>
      <c r="U491" t="s">
        <v>2897</v>
      </c>
    </row>
    <row r="492" spans="1:21" hidden="1">
      <c r="A492" t="s">
        <v>1087</v>
      </c>
      <c r="B492" t="s">
        <v>4665</v>
      </c>
      <c r="C492" t="s">
        <v>4482</v>
      </c>
      <c r="D492" t="s">
        <v>17</v>
      </c>
      <c r="E492" t="s">
        <v>2</v>
      </c>
      <c r="F492" t="s">
        <v>50</v>
      </c>
      <c r="G492" t="s">
        <v>51</v>
      </c>
      <c r="H492" t="s">
        <v>4666</v>
      </c>
      <c r="I492" t="s">
        <v>52</v>
      </c>
      <c r="J492" t="s">
        <v>196</v>
      </c>
      <c r="K492" t="s">
        <v>54</v>
      </c>
      <c r="L492" t="s">
        <v>55</v>
      </c>
      <c r="O492" t="s">
        <v>197</v>
      </c>
      <c r="P492" t="s">
        <v>198</v>
      </c>
      <c r="Q492" t="s">
        <v>4667</v>
      </c>
      <c r="R492" t="s">
        <v>4668</v>
      </c>
      <c r="S492" t="s">
        <v>2895</v>
      </c>
      <c r="T492" t="s">
        <v>2896</v>
      </c>
      <c r="U492" t="s">
        <v>2897</v>
      </c>
    </row>
    <row r="493" spans="1:21" hidden="1">
      <c r="A493" t="s">
        <v>1089</v>
      </c>
      <c r="B493" t="s">
        <v>4665</v>
      </c>
      <c r="C493" t="s">
        <v>4669</v>
      </c>
      <c r="D493" t="s">
        <v>17</v>
      </c>
      <c r="E493" t="s">
        <v>2</v>
      </c>
      <c r="F493" t="s">
        <v>50</v>
      </c>
      <c r="G493" t="s">
        <v>100</v>
      </c>
      <c r="H493" t="s">
        <v>4670</v>
      </c>
      <c r="I493" t="s">
        <v>52</v>
      </c>
      <c r="J493" t="s">
        <v>114</v>
      </c>
      <c r="K493" t="s">
        <v>54</v>
      </c>
      <c r="L493" t="s">
        <v>102</v>
      </c>
      <c r="O493" t="s">
        <v>103</v>
      </c>
      <c r="P493" t="s">
        <v>104</v>
      </c>
      <c r="Q493" t="s">
        <v>4671</v>
      </c>
      <c r="R493" t="s">
        <v>4672</v>
      </c>
      <c r="S493" t="s">
        <v>2895</v>
      </c>
      <c r="T493" t="s">
        <v>2896</v>
      </c>
      <c r="U493" t="s">
        <v>2897</v>
      </c>
    </row>
    <row r="494" spans="1:21" hidden="1">
      <c r="A494" t="s">
        <v>1091</v>
      </c>
      <c r="B494" t="s">
        <v>4665</v>
      </c>
      <c r="C494" t="s">
        <v>4673</v>
      </c>
      <c r="D494" t="s">
        <v>17</v>
      </c>
      <c r="E494" t="s">
        <v>2</v>
      </c>
      <c r="F494" t="s">
        <v>50</v>
      </c>
      <c r="G494" t="s">
        <v>88</v>
      </c>
      <c r="H494" t="s">
        <v>4674</v>
      </c>
      <c r="I494" t="s">
        <v>52</v>
      </c>
      <c r="J494" t="s">
        <v>89</v>
      </c>
      <c r="K494" t="s">
        <v>54</v>
      </c>
      <c r="L494" t="s">
        <v>90</v>
      </c>
      <c r="M494" t="s">
        <v>91</v>
      </c>
      <c r="N494" t="s">
        <v>12</v>
      </c>
      <c r="O494" t="s">
        <v>92</v>
      </c>
      <c r="P494" t="s">
        <v>93</v>
      </c>
      <c r="Q494" t="s">
        <v>4675</v>
      </c>
      <c r="R494" t="s">
        <v>4676</v>
      </c>
      <c r="S494" t="s">
        <v>2895</v>
      </c>
      <c r="T494" t="s">
        <v>2896</v>
      </c>
      <c r="U494" t="s">
        <v>2897</v>
      </c>
    </row>
    <row r="495" spans="1:21" hidden="1">
      <c r="A495" t="s">
        <v>1093</v>
      </c>
      <c r="B495" t="s">
        <v>4665</v>
      </c>
      <c r="C495" t="s">
        <v>4076</v>
      </c>
      <c r="D495" t="s">
        <v>17</v>
      </c>
      <c r="E495" t="s">
        <v>2</v>
      </c>
      <c r="F495" t="s">
        <v>50</v>
      </c>
      <c r="G495" t="s">
        <v>51</v>
      </c>
      <c r="H495" t="s">
        <v>4677</v>
      </c>
      <c r="I495" t="s">
        <v>52</v>
      </c>
      <c r="J495" t="s">
        <v>121</v>
      </c>
      <c r="K495" t="s">
        <v>54</v>
      </c>
      <c r="L495" t="s">
        <v>55</v>
      </c>
      <c r="O495" t="s">
        <v>122</v>
      </c>
      <c r="P495" t="s">
        <v>123</v>
      </c>
      <c r="Q495" t="s">
        <v>4678</v>
      </c>
      <c r="R495" t="s">
        <v>4679</v>
      </c>
      <c r="S495" t="s">
        <v>2895</v>
      </c>
      <c r="T495" t="s">
        <v>2896</v>
      </c>
      <c r="U495" t="s">
        <v>2897</v>
      </c>
    </row>
    <row r="496" spans="1:21" hidden="1">
      <c r="A496" t="s">
        <v>1095</v>
      </c>
      <c r="B496" t="s">
        <v>4665</v>
      </c>
      <c r="C496" t="s">
        <v>4680</v>
      </c>
      <c r="D496" t="s">
        <v>17</v>
      </c>
      <c r="E496" t="s">
        <v>2</v>
      </c>
      <c r="F496" t="s">
        <v>50</v>
      </c>
      <c r="G496" t="s">
        <v>51</v>
      </c>
      <c r="H496" t="s">
        <v>4681</v>
      </c>
      <c r="I496" t="s">
        <v>52</v>
      </c>
      <c r="J496" t="s">
        <v>121</v>
      </c>
      <c r="K496" t="s">
        <v>54</v>
      </c>
      <c r="L496" t="s">
        <v>55</v>
      </c>
      <c r="O496" t="s">
        <v>122</v>
      </c>
      <c r="P496" t="s">
        <v>123</v>
      </c>
      <c r="Q496" t="s">
        <v>4682</v>
      </c>
      <c r="R496" t="s">
        <v>4683</v>
      </c>
      <c r="S496" t="s">
        <v>2895</v>
      </c>
      <c r="T496" t="s">
        <v>2896</v>
      </c>
      <c r="U496" t="s">
        <v>2897</v>
      </c>
    </row>
    <row r="497" spans="1:21" hidden="1">
      <c r="A497" t="s">
        <v>1097</v>
      </c>
      <c r="B497" t="s">
        <v>4665</v>
      </c>
      <c r="C497" t="s">
        <v>2968</v>
      </c>
      <c r="D497" t="s">
        <v>17</v>
      </c>
      <c r="E497" t="s">
        <v>2</v>
      </c>
      <c r="F497" t="s">
        <v>50</v>
      </c>
      <c r="G497" t="s">
        <v>100</v>
      </c>
      <c r="H497" t="s">
        <v>2969</v>
      </c>
      <c r="I497" t="s">
        <v>52</v>
      </c>
      <c r="J497" t="s">
        <v>101</v>
      </c>
      <c r="K497" t="s">
        <v>54</v>
      </c>
      <c r="L497" t="s">
        <v>102</v>
      </c>
      <c r="O497" t="s">
        <v>103</v>
      </c>
      <c r="P497" t="s">
        <v>104</v>
      </c>
      <c r="Q497" t="s">
        <v>4684</v>
      </c>
      <c r="R497" t="s">
        <v>2971</v>
      </c>
      <c r="S497" t="s">
        <v>2895</v>
      </c>
      <c r="T497" t="s">
        <v>2896</v>
      </c>
      <c r="U497" t="s">
        <v>2897</v>
      </c>
    </row>
    <row r="498" spans="1:21" hidden="1">
      <c r="A498" t="s">
        <v>1099</v>
      </c>
      <c r="B498" t="s">
        <v>4665</v>
      </c>
      <c r="C498" t="s">
        <v>3675</v>
      </c>
      <c r="D498" t="s">
        <v>17</v>
      </c>
      <c r="E498" t="s">
        <v>2</v>
      </c>
      <c r="F498" t="s">
        <v>50</v>
      </c>
      <c r="G498" t="s">
        <v>51</v>
      </c>
      <c r="H498" t="s">
        <v>4685</v>
      </c>
      <c r="I498" t="s">
        <v>52</v>
      </c>
      <c r="J498" t="s">
        <v>196</v>
      </c>
      <c r="K498" t="s">
        <v>54</v>
      </c>
      <c r="L498" t="s">
        <v>55</v>
      </c>
      <c r="O498" t="s">
        <v>197</v>
      </c>
      <c r="P498" t="s">
        <v>198</v>
      </c>
      <c r="Q498" t="s">
        <v>4686</v>
      </c>
      <c r="R498" t="s">
        <v>4687</v>
      </c>
      <c r="S498" t="s">
        <v>2895</v>
      </c>
      <c r="T498" t="s">
        <v>2896</v>
      </c>
      <c r="U498" t="s">
        <v>2897</v>
      </c>
    </row>
    <row r="499" spans="1:21" hidden="1">
      <c r="A499" t="s">
        <v>1101</v>
      </c>
      <c r="B499" t="s">
        <v>4665</v>
      </c>
      <c r="C499" t="s">
        <v>4688</v>
      </c>
      <c r="D499" t="s">
        <v>17</v>
      </c>
      <c r="E499" t="s">
        <v>2</v>
      </c>
      <c r="F499" t="s">
        <v>50</v>
      </c>
      <c r="G499" t="s">
        <v>51</v>
      </c>
      <c r="H499" t="s">
        <v>4689</v>
      </c>
      <c r="I499" t="s">
        <v>52</v>
      </c>
      <c r="J499" t="s">
        <v>81</v>
      </c>
      <c r="K499" t="s">
        <v>54</v>
      </c>
      <c r="L499" t="s">
        <v>55</v>
      </c>
      <c r="O499" t="s">
        <v>82</v>
      </c>
      <c r="P499" t="s">
        <v>83</v>
      </c>
      <c r="Q499" t="s">
        <v>4690</v>
      </c>
      <c r="R499" t="s">
        <v>4691</v>
      </c>
      <c r="S499" t="s">
        <v>2895</v>
      </c>
      <c r="T499" t="s">
        <v>2896</v>
      </c>
      <c r="U499" t="s">
        <v>2897</v>
      </c>
    </row>
    <row r="500" spans="1:21" hidden="1">
      <c r="A500" t="s">
        <v>1103</v>
      </c>
      <c r="B500" t="s">
        <v>4692</v>
      </c>
      <c r="C500" t="s">
        <v>4693</v>
      </c>
      <c r="D500" t="s">
        <v>17</v>
      </c>
      <c r="E500" t="s">
        <v>2</v>
      </c>
      <c r="F500" t="s">
        <v>50</v>
      </c>
      <c r="G500" t="s">
        <v>51</v>
      </c>
      <c r="H500" t="s">
        <v>4694</v>
      </c>
      <c r="I500" t="s">
        <v>52</v>
      </c>
      <c r="J500" t="s">
        <v>121</v>
      </c>
      <c r="K500" t="s">
        <v>54</v>
      </c>
      <c r="L500" t="s">
        <v>55</v>
      </c>
      <c r="O500" t="s">
        <v>122</v>
      </c>
      <c r="P500" t="s">
        <v>123</v>
      </c>
      <c r="Q500" t="s">
        <v>4695</v>
      </c>
      <c r="R500" t="s">
        <v>4696</v>
      </c>
      <c r="S500" t="s">
        <v>2895</v>
      </c>
      <c r="T500" t="s">
        <v>2896</v>
      </c>
      <c r="U500" t="s">
        <v>2897</v>
      </c>
    </row>
    <row r="501" spans="1:21" hidden="1">
      <c r="A501" t="s">
        <v>1105</v>
      </c>
      <c r="B501" t="s">
        <v>4692</v>
      </c>
      <c r="C501" t="s">
        <v>4697</v>
      </c>
      <c r="D501" t="s">
        <v>17</v>
      </c>
      <c r="E501" t="s">
        <v>2</v>
      </c>
      <c r="F501" t="s">
        <v>50</v>
      </c>
      <c r="G501" t="s">
        <v>51</v>
      </c>
      <c r="H501" t="s">
        <v>4698</v>
      </c>
      <c r="I501" t="s">
        <v>52</v>
      </c>
      <c r="J501" t="s">
        <v>126</v>
      </c>
      <c r="K501" t="s">
        <v>54</v>
      </c>
      <c r="L501" t="s">
        <v>55</v>
      </c>
      <c r="O501" t="s">
        <v>56</v>
      </c>
      <c r="P501" t="s">
        <v>57</v>
      </c>
      <c r="Q501" t="s">
        <v>4699</v>
      </c>
      <c r="R501" t="s">
        <v>4700</v>
      </c>
      <c r="S501" t="s">
        <v>2895</v>
      </c>
      <c r="T501" t="s">
        <v>2896</v>
      </c>
      <c r="U501" t="s">
        <v>2897</v>
      </c>
    </row>
    <row r="502" spans="1:21" hidden="1">
      <c r="A502" t="s">
        <v>1107</v>
      </c>
      <c r="B502" t="s">
        <v>4692</v>
      </c>
      <c r="C502" t="s">
        <v>3248</v>
      </c>
      <c r="D502" t="s">
        <v>17</v>
      </c>
      <c r="E502" t="s">
        <v>2</v>
      </c>
      <c r="F502" t="s">
        <v>50</v>
      </c>
      <c r="G502" t="s">
        <v>51</v>
      </c>
      <c r="H502" t="s">
        <v>4701</v>
      </c>
      <c r="I502" t="s">
        <v>52</v>
      </c>
      <c r="J502" t="s">
        <v>60</v>
      </c>
      <c r="K502" t="s">
        <v>54</v>
      </c>
      <c r="L502" t="s">
        <v>55</v>
      </c>
      <c r="O502" t="s">
        <v>61</v>
      </c>
      <c r="P502" t="s">
        <v>62</v>
      </c>
      <c r="Q502" t="s">
        <v>4702</v>
      </c>
      <c r="R502" t="s">
        <v>4703</v>
      </c>
      <c r="S502" t="s">
        <v>2895</v>
      </c>
      <c r="T502" t="s">
        <v>2896</v>
      </c>
      <c r="U502" t="s">
        <v>2897</v>
      </c>
    </row>
    <row r="503" spans="1:21" hidden="1">
      <c r="A503" t="s">
        <v>1109</v>
      </c>
      <c r="B503" t="s">
        <v>4692</v>
      </c>
      <c r="C503" t="s">
        <v>4704</v>
      </c>
      <c r="D503" t="s">
        <v>17</v>
      </c>
      <c r="E503" t="s">
        <v>2</v>
      </c>
      <c r="F503" t="s">
        <v>149</v>
      </c>
      <c r="G503" t="s">
        <v>72</v>
      </c>
      <c r="H503" t="s">
        <v>4705</v>
      </c>
      <c r="I503" t="s">
        <v>52</v>
      </c>
      <c r="J503" t="s">
        <v>233</v>
      </c>
      <c r="K503" t="s">
        <v>54</v>
      </c>
      <c r="L503" t="s">
        <v>74</v>
      </c>
      <c r="O503" t="s">
        <v>75</v>
      </c>
      <c r="P503" t="s">
        <v>76</v>
      </c>
      <c r="Q503" t="s">
        <v>4706</v>
      </c>
      <c r="R503" t="s">
        <v>4705</v>
      </c>
      <c r="S503" t="s">
        <v>2895</v>
      </c>
      <c r="T503" t="s">
        <v>2896</v>
      </c>
      <c r="U503" t="s">
        <v>2897</v>
      </c>
    </row>
    <row r="504" spans="1:21" hidden="1">
      <c r="A504" t="s">
        <v>1111</v>
      </c>
      <c r="B504" t="s">
        <v>4692</v>
      </c>
      <c r="C504" t="s">
        <v>3740</v>
      </c>
      <c r="D504" t="s">
        <v>17</v>
      </c>
      <c r="E504" t="s">
        <v>2</v>
      </c>
      <c r="F504" t="s">
        <v>50</v>
      </c>
      <c r="G504" t="s">
        <v>100</v>
      </c>
      <c r="H504" t="s">
        <v>4707</v>
      </c>
      <c r="I504" t="s">
        <v>52</v>
      </c>
      <c r="J504" t="s">
        <v>114</v>
      </c>
      <c r="K504" t="s">
        <v>54</v>
      </c>
      <c r="L504" t="s">
        <v>102</v>
      </c>
      <c r="O504" t="s">
        <v>103</v>
      </c>
      <c r="P504" t="s">
        <v>104</v>
      </c>
      <c r="Q504" t="s">
        <v>4708</v>
      </c>
      <c r="R504" t="s">
        <v>4709</v>
      </c>
      <c r="S504" t="s">
        <v>2895</v>
      </c>
      <c r="T504" t="s">
        <v>2896</v>
      </c>
      <c r="U504" t="s">
        <v>2897</v>
      </c>
    </row>
    <row r="505" spans="1:21" hidden="1">
      <c r="A505" t="s">
        <v>1113</v>
      </c>
      <c r="B505" t="s">
        <v>4692</v>
      </c>
      <c r="C505" t="s">
        <v>2972</v>
      </c>
      <c r="D505" t="s">
        <v>17</v>
      </c>
      <c r="E505" t="s">
        <v>2</v>
      </c>
      <c r="F505" t="s">
        <v>50</v>
      </c>
      <c r="G505" t="s">
        <v>100</v>
      </c>
      <c r="H505" t="s">
        <v>4710</v>
      </c>
      <c r="I505" t="s">
        <v>52</v>
      </c>
      <c r="J505" t="s">
        <v>114</v>
      </c>
      <c r="K505" t="s">
        <v>54</v>
      </c>
      <c r="L505" t="s">
        <v>102</v>
      </c>
      <c r="O505" t="s">
        <v>103</v>
      </c>
      <c r="P505" t="s">
        <v>104</v>
      </c>
      <c r="Q505" t="s">
        <v>4711</v>
      </c>
      <c r="R505" t="s">
        <v>4712</v>
      </c>
      <c r="S505" t="s">
        <v>2895</v>
      </c>
      <c r="T505" t="s">
        <v>2896</v>
      </c>
      <c r="U505" t="s">
        <v>2897</v>
      </c>
    </row>
    <row r="506" spans="1:21" hidden="1">
      <c r="A506" t="s">
        <v>1115</v>
      </c>
      <c r="B506" t="s">
        <v>4692</v>
      </c>
      <c r="C506" t="s">
        <v>3286</v>
      </c>
      <c r="D506" t="s">
        <v>17</v>
      </c>
      <c r="E506" t="s">
        <v>2</v>
      </c>
      <c r="F506" t="s">
        <v>50</v>
      </c>
      <c r="G506" t="s">
        <v>51</v>
      </c>
      <c r="H506" t="s">
        <v>4713</v>
      </c>
      <c r="I506" t="s">
        <v>52</v>
      </c>
      <c r="J506" t="s">
        <v>65</v>
      </c>
      <c r="K506" t="s">
        <v>54</v>
      </c>
      <c r="L506" t="s">
        <v>55</v>
      </c>
      <c r="O506" t="s">
        <v>66</v>
      </c>
      <c r="P506" t="s">
        <v>67</v>
      </c>
      <c r="Q506" t="s">
        <v>4714</v>
      </c>
      <c r="R506" t="s">
        <v>4715</v>
      </c>
      <c r="S506" t="s">
        <v>2895</v>
      </c>
      <c r="T506" t="s">
        <v>2896</v>
      </c>
      <c r="U506" t="s">
        <v>2897</v>
      </c>
    </row>
    <row r="507" spans="1:21" hidden="1">
      <c r="A507" t="s">
        <v>1117</v>
      </c>
      <c r="B507" t="s">
        <v>4692</v>
      </c>
      <c r="C507" t="s">
        <v>4716</v>
      </c>
      <c r="D507" t="s">
        <v>17</v>
      </c>
      <c r="E507" t="s">
        <v>2</v>
      </c>
      <c r="F507" t="s">
        <v>50</v>
      </c>
      <c r="G507" t="s">
        <v>51</v>
      </c>
      <c r="H507" t="s">
        <v>4717</v>
      </c>
      <c r="I507" t="s">
        <v>52</v>
      </c>
      <c r="J507" t="s">
        <v>65</v>
      </c>
      <c r="K507" t="s">
        <v>54</v>
      </c>
      <c r="L507" t="s">
        <v>55</v>
      </c>
      <c r="O507" t="s">
        <v>66</v>
      </c>
      <c r="P507" t="s">
        <v>67</v>
      </c>
      <c r="Q507" t="s">
        <v>4718</v>
      </c>
      <c r="R507" t="s">
        <v>4719</v>
      </c>
      <c r="S507" t="s">
        <v>2895</v>
      </c>
      <c r="T507" t="s">
        <v>2896</v>
      </c>
      <c r="U507" t="s">
        <v>2897</v>
      </c>
    </row>
    <row r="508" spans="1:21" hidden="1">
      <c r="A508" t="s">
        <v>1119</v>
      </c>
      <c r="B508" t="s">
        <v>4692</v>
      </c>
      <c r="C508" t="s">
        <v>3348</v>
      </c>
      <c r="D508" t="s">
        <v>17</v>
      </c>
      <c r="E508" t="s">
        <v>2</v>
      </c>
      <c r="F508" t="s">
        <v>50</v>
      </c>
      <c r="G508" t="s">
        <v>51</v>
      </c>
      <c r="H508" t="s">
        <v>4720</v>
      </c>
      <c r="I508" t="s">
        <v>52</v>
      </c>
      <c r="J508" t="s">
        <v>126</v>
      </c>
      <c r="K508" t="s">
        <v>54</v>
      </c>
      <c r="L508" t="s">
        <v>55</v>
      </c>
      <c r="O508" t="s">
        <v>56</v>
      </c>
      <c r="P508" t="s">
        <v>57</v>
      </c>
      <c r="Q508" t="s">
        <v>4721</v>
      </c>
      <c r="R508" t="s">
        <v>4722</v>
      </c>
      <c r="S508" t="s">
        <v>2895</v>
      </c>
      <c r="T508" t="s">
        <v>2896</v>
      </c>
      <c r="U508" t="s">
        <v>2897</v>
      </c>
    </row>
    <row r="509" spans="1:21" hidden="1">
      <c r="A509" t="s">
        <v>1121</v>
      </c>
      <c r="B509" t="s">
        <v>4723</v>
      </c>
      <c r="C509" t="s">
        <v>4724</v>
      </c>
      <c r="D509" t="s">
        <v>17</v>
      </c>
      <c r="E509" t="s">
        <v>2</v>
      </c>
      <c r="F509" t="s">
        <v>50</v>
      </c>
      <c r="G509" t="s">
        <v>100</v>
      </c>
      <c r="H509" t="s">
        <v>2969</v>
      </c>
      <c r="I509" t="s">
        <v>52</v>
      </c>
      <c r="J509" t="s">
        <v>101</v>
      </c>
      <c r="K509" t="s">
        <v>54</v>
      </c>
      <c r="L509" t="s">
        <v>102</v>
      </c>
      <c r="O509" t="s">
        <v>103</v>
      </c>
      <c r="P509" t="s">
        <v>104</v>
      </c>
      <c r="Q509" t="s">
        <v>4725</v>
      </c>
      <c r="R509" t="s">
        <v>2971</v>
      </c>
      <c r="S509" t="s">
        <v>2895</v>
      </c>
      <c r="T509" t="s">
        <v>2896</v>
      </c>
      <c r="U509" t="s">
        <v>2897</v>
      </c>
    </row>
    <row r="510" spans="1:21" hidden="1">
      <c r="A510" t="s">
        <v>1123</v>
      </c>
      <c r="B510" t="s">
        <v>4723</v>
      </c>
      <c r="C510" t="s">
        <v>4726</v>
      </c>
      <c r="D510" t="s">
        <v>17</v>
      </c>
      <c r="E510" t="s">
        <v>2</v>
      </c>
      <c r="F510" t="s">
        <v>50</v>
      </c>
      <c r="G510" t="s">
        <v>51</v>
      </c>
      <c r="H510" t="s">
        <v>4727</v>
      </c>
      <c r="I510" t="s">
        <v>52</v>
      </c>
      <c r="J510" t="s">
        <v>81</v>
      </c>
      <c r="K510" t="s">
        <v>54</v>
      </c>
      <c r="L510" t="s">
        <v>55</v>
      </c>
      <c r="O510" t="s">
        <v>82</v>
      </c>
      <c r="P510" t="s">
        <v>83</v>
      </c>
      <c r="Q510" t="s">
        <v>4728</v>
      </c>
      <c r="R510" t="s">
        <v>4729</v>
      </c>
      <c r="S510" t="s">
        <v>2895</v>
      </c>
      <c r="T510" t="s">
        <v>2896</v>
      </c>
      <c r="U510" t="s">
        <v>2897</v>
      </c>
    </row>
    <row r="511" spans="1:21" hidden="1">
      <c r="A511" t="s">
        <v>1125</v>
      </c>
      <c r="B511" t="s">
        <v>4723</v>
      </c>
      <c r="C511" t="s">
        <v>3673</v>
      </c>
      <c r="D511" t="s">
        <v>17</v>
      </c>
      <c r="E511" t="s">
        <v>2</v>
      </c>
      <c r="F511" t="s">
        <v>50</v>
      </c>
      <c r="G511" t="s">
        <v>51</v>
      </c>
      <c r="H511" t="s">
        <v>4730</v>
      </c>
      <c r="I511" t="s">
        <v>52</v>
      </c>
      <c r="J511" t="s">
        <v>65</v>
      </c>
      <c r="K511" t="s">
        <v>54</v>
      </c>
      <c r="L511" t="s">
        <v>55</v>
      </c>
      <c r="O511" t="s">
        <v>66</v>
      </c>
      <c r="P511" t="s">
        <v>67</v>
      </c>
      <c r="Q511" t="s">
        <v>4731</v>
      </c>
      <c r="R511" t="s">
        <v>4732</v>
      </c>
      <c r="S511" t="s">
        <v>2895</v>
      </c>
      <c r="T511" t="s">
        <v>2896</v>
      </c>
      <c r="U511" t="s">
        <v>2897</v>
      </c>
    </row>
    <row r="512" spans="1:21" hidden="1">
      <c r="A512" t="s">
        <v>1127</v>
      </c>
      <c r="B512" t="s">
        <v>4723</v>
      </c>
      <c r="C512" t="s">
        <v>4733</v>
      </c>
      <c r="D512" t="s">
        <v>17</v>
      </c>
      <c r="E512" t="s">
        <v>2</v>
      </c>
      <c r="F512" t="s">
        <v>50</v>
      </c>
      <c r="G512" t="s">
        <v>51</v>
      </c>
      <c r="H512" t="s">
        <v>4734</v>
      </c>
      <c r="I512" t="s">
        <v>52</v>
      </c>
      <c r="J512" t="s">
        <v>60</v>
      </c>
      <c r="K512" t="s">
        <v>54</v>
      </c>
      <c r="L512" t="s">
        <v>55</v>
      </c>
      <c r="O512" t="s">
        <v>61</v>
      </c>
      <c r="P512" t="s">
        <v>62</v>
      </c>
      <c r="Q512" t="s">
        <v>4735</v>
      </c>
      <c r="R512" t="s">
        <v>4736</v>
      </c>
      <c r="S512" t="s">
        <v>2895</v>
      </c>
      <c r="T512" t="s">
        <v>2896</v>
      </c>
      <c r="U512" t="s">
        <v>2897</v>
      </c>
    </row>
    <row r="513" spans="1:21" hidden="1">
      <c r="A513" t="s">
        <v>1129</v>
      </c>
      <c r="B513" t="s">
        <v>4723</v>
      </c>
      <c r="C513" t="s">
        <v>4737</v>
      </c>
      <c r="D513" t="s">
        <v>17</v>
      </c>
      <c r="E513" t="s">
        <v>2</v>
      </c>
      <c r="F513" t="s">
        <v>50</v>
      </c>
      <c r="G513" t="s">
        <v>51</v>
      </c>
      <c r="H513" t="s">
        <v>4738</v>
      </c>
      <c r="I513" t="s">
        <v>52</v>
      </c>
      <c r="J513" t="s">
        <v>65</v>
      </c>
      <c r="K513" t="s">
        <v>54</v>
      </c>
      <c r="L513" t="s">
        <v>55</v>
      </c>
      <c r="O513" t="s">
        <v>66</v>
      </c>
      <c r="P513" t="s">
        <v>67</v>
      </c>
      <c r="Q513" t="s">
        <v>4739</v>
      </c>
      <c r="R513" t="s">
        <v>4740</v>
      </c>
      <c r="S513" t="s">
        <v>2895</v>
      </c>
      <c r="T513" t="s">
        <v>2896</v>
      </c>
      <c r="U513" t="s">
        <v>2897</v>
      </c>
    </row>
    <row r="514" spans="1:21" hidden="1">
      <c r="A514" t="s">
        <v>1131</v>
      </c>
      <c r="B514" t="s">
        <v>4741</v>
      </c>
      <c r="C514" t="s">
        <v>4742</v>
      </c>
      <c r="D514" t="s">
        <v>17</v>
      </c>
      <c r="E514" t="s">
        <v>2</v>
      </c>
      <c r="F514" t="s">
        <v>50</v>
      </c>
      <c r="G514" t="s">
        <v>100</v>
      </c>
      <c r="H514" t="s">
        <v>4743</v>
      </c>
      <c r="I514" t="s">
        <v>52</v>
      </c>
      <c r="J514" t="s">
        <v>114</v>
      </c>
      <c r="K514" t="s">
        <v>54</v>
      </c>
      <c r="L514" t="s">
        <v>102</v>
      </c>
      <c r="O514" t="s">
        <v>103</v>
      </c>
      <c r="P514" t="s">
        <v>104</v>
      </c>
      <c r="Q514" t="s">
        <v>4744</v>
      </c>
      <c r="R514" t="s">
        <v>4745</v>
      </c>
      <c r="S514" t="s">
        <v>2895</v>
      </c>
      <c r="T514" t="s">
        <v>2896</v>
      </c>
      <c r="U514" t="s">
        <v>2897</v>
      </c>
    </row>
    <row r="515" spans="1:21" hidden="1">
      <c r="A515" t="s">
        <v>1133</v>
      </c>
      <c r="B515" t="s">
        <v>4741</v>
      </c>
      <c r="C515" t="s">
        <v>4746</v>
      </c>
      <c r="D515" t="s">
        <v>17</v>
      </c>
      <c r="E515" t="s">
        <v>2</v>
      </c>
      <c r="F515" t="s">
        <v>50</v>
      </c>
      <c r="G515" t="s">
        <v>51</v>
      </c>
      <c r="H515" t="s">
        <v>4747</v>
      </c>
      <c r="I515" t="s">
        <v>52</v>
      </c>
      <c r="J515" t="s">
        <v>121</v>
      </c>
      <c r="K515" t="s">
        <v>54</v>
      </c>
      <c r="L515" t="s">
        <v>55</v>
      </c>
      <c r="O515" t="s">
        <v>122</v>
      </c>
      <c r="P515" t="s">
        <v>123</v>
      </c>
      <c r="Q515" t="s">
        <v>4748</v>
      </c>
      <c r="R515" t="s">
        <v>4749</v>
      </c>
      <c r="S515" t="s">
        <v>2895</v>
      </c>
      <c r="T515" t="s">
        <v>2896</v>
      </c>
      <c r="U515" t="s">
        <v>2897</v>
      </c>
    </row>
    <row r="516" spans="1:21" hidden="1">
      <c r="A516" t="s">
        <v>1135</v>
      </c>
      <c r="B516" t="s">
        <v>4741</v>
      </c>
      <c r="C516" t="s">
        <v>4750</v>
      </c>
      <c r="D516" t="s">
        <v>17</v>
      </c>
      <c r="E516" t="s">
        <v>2</v>
      </c>
      <c r="F516" t="s">
        <v>50</v>
      </c>
      <c r="G516" t="s">
        <v>100</v>
      </c>
      <c r="H516" t="s">
        <v>4751</v>
      </c>
      <c r="I516" t="s">
        <v>52</v>
      </c>
      <c r="J516" t="s">
        <v>114</v>
      </c>
      <c r="K516" t="s">
        <v>54</v>
      </c>
      <c r="L516" t="s">
        <v>102</v>
      </c>
      <c r="O516" t="s">
        <v>103</v>
      </c>
      <c r="P516" t="s">
        <v>104</v>
      </c>
      <c r="Q516" t="s">
        <v>4752</v>
      </c>
      <c r="R516" t="s">
        <v>4753</v>
      </c>
      <c r="S516" t="s">
        <v>2895</v>
      </c>
      <c r="T516" t="s">
        <v>2896</v>
      </c>
      <c r="U516" t="s">
        <v>2897</v>
      </c>
    </row>
    <row r="517" spans="1:21" hidden="1">
      <c r="A517" t="s">
        <v>1137</v>
      </c>
      <c r="B517" t="s">
        <v>4741</v>
      </c>
      <c r="C517" t="s">
        <v>3816</v>
      </c>
      <c r="D517" t="s">
        <v>17</v>
      </c>
      <c r="E517" t="s">
        <v>2</v>
      </c>
      <c r="F517" t="s">
        <v>50</v>
      </c>
      <c r="G517" t="s">
        <v>51</v>
      </c>
      <c r="H517" t="s">
        <v>4754</v>
      </c>
      <c r="I517" t="s">
        <v>52</v>
      </c>
      <c r="J517" t="s">
        <v>81</v>
      </c>
      <c r="K517" t="s">
        <v>54</v>
      </c>
      <c r="L517" t="s">
        <v>55</v>
      </c>
      <c r="O517" t="s">
        <v>82</v>
      </c>
      <c r="P517" t="s">
        <v>83</v>
      </c>
      <c r="Q517" t="s">
        <v>4755</v>
      </c>
      <c r="R517" t="s">
        <v>4756</v>
      </c>
      <c r="S517" t="s">
        <v>2895</v>
      </c>
      <c r="T517" t="s">
        <v>2896</v>
      </c>
      <c r="U517" t="s">
        <v>2897</v>
      </c>
    </row>
    <row r="518" spans="1:21" hidden="1">
      <c r="A518" t="s">
        <v>1139</v>
      </c>
      <c r="B518" t="s">
        <v>4741</v>
      </c>
      <c r="C518" t="s">
        <v>4757</v>
      </c>
      <c r="D518" t="s">
        <v>17</v>
      </c>
      <c r="E518" t="s">
        <v>2</v>
      </c>
      <c r="F518" t="s">
        <v>50</v>
      </c>
      <c r="G518" t="s">
        <v>51</v>
      </c>
      <c r="H518" t="s">
        <v>4758</v>
      </c>
      <c r="I518" t="s">
        <v>52</v>
      </c>
      <c r="J518" t="s">
        <v>121</v>
      </c>
      <c r="K518" t="s">
        <v>54</v>
      </c>
      <c r="L518" t="s">
        <v>55</v>
      </c>
      <c r="O518" t="s">
        <v>122</v>
      </c>
      <c r="P518" t="s">
        <v>123</v>
      </c>
      <c r="Q518" t="s">
        <v>4759</v>
      </c>
      <c r="R518" t="s">
        <v>4760</v>
      </c>
      <c r="S518" t="s">
        <v>2895</v>
      </c>
      <c r="T518" t="s">
        <v>2896</v>
      </c>
      <c r="U518" t="s">
        <v>2897</v>
      </c>
    </row>
    <row r="519" spans="1:21" hidden="1">
      <c r="A519" t="s">
        <v>1141</v>
      </c>
      <c r="B519" t="s">
        <v>4741</v>
      </c>
      <c r="C519" t="s">
        <v>3825</v>
      </c>
      <c r="D519" t="s">
        <v>17</v>
      </c>
      <c r="E519" t="s">
        <v>2</v>
      </c>
      <c r="F519" t="s">
        <v>50</v>
      </c>
      <c r="G519" t="s">
        <v>51</v>
      </c>
      <c r="H519" t="s">
        <v>4761</v>
      </c>
      <c r="I519" t="s">
        <v>52</v>
      </c>
      <c r="J519" t="s">
        <v>60</v>
      </c>
      <c r="K519" t="s">
        <v>54</v>
      </c>
      <c r="L519" t="s">
        <v>55</v>
      </c>
      <c r="O519" t="s">
        <v>61</v>
      </c>
      <c r="P519" t="s">
        <v>62</v>
      </c>
      <c r="Q519" t="s">
        <v>4762</v>
      </c>
      <c r="R519" t="s">
        <v>4763</v>
      </c>
      <c r="S519" t="s">
        <v>2895</v>
      </c>
      <c r="T519" t="s">
        <v>2896</v>
      </c>
      <c r="U519" t="s">
        <v>2897</v>
      </c>
    </row>
    <row r="520" spans="1:21" hidden="1">
      <c r="A520" t="s">
        <v>1143</v>
      </c>
      <c r="B520" t="s">
        <v>4741</v>
      </c>
      <c r="C520" t="s">
        <v>3282</v>
      </c>
      <c r="D520" t="s">
        <v>17</v>
      </c>
      <c r="E520" t="s">
        <v>2</v>
      </c>
      <c r="F520" t="s">
        <v>50</v>
      </c>
      <c r="G520" t="s">
        <v>51</v>
      </c>
      <c r="H520" t="s">
        <v>4764</v>
      </c>
      <c r="I520" t="s">
        <v>52</v>
      </c>
      <c r="J520" t="s">
        <v>196</v>
      </c>
      <c r="K520" t="s">
        <v>54</v>
      </c>
      <c r="L520" t="s">
        <v>55</v>
      </c>
      <c r="O520" t="s">
        <v>197</v>
      </c>
      <c r="P520" t="s">
        <v>198</v>
      </c>
      <c r="Q520" t="s">
        <v>4765</v>
      </c>
      <c r="R520" t="s">
        <v>4766</v>
      </c>
      <c r="S520" t="s">
        <v>2895</v>
      </c>
      <c r="T520" t="s">
        <v>2896</v>
      </c>
      <c r="U520" t="s">
        <v>2897</v>
      </c>
    </row>
    <row r="521" spans="1:21" hidden="1">
      <c r="A521" t="s">
        <v>1145</v>
      </c>
      <c r="B521" t="s">
        <v>4767</v>
      </c>
      <c r="C521" t="s">
        <v>4768</v>
      </c>
      <c r="D521" t="s">
        <v>17</v>
      </c>
      <c r="E521" t="s">
        <v>2</v>
      </c>
      <c r="F521" t="s">
        <v>50</v>
      </c>
      <c r="G521" t="s">
        <v>51</v>
      </c>
      <c r="H521" t="s">
        <v>4769</v>
      </c>
      <c r="I521" t="s">
        <v>52</v>
      </c>
      <c r="J521" t="s">
        <v>53</v>
      </c>
      <c r="K521" t="s">
        <v>54</v>
      </c>
      <c r="L521" t="s">
        <v>55</v>
      </c>
      <c r="O521" t="s">
        <v>56</v>
      </c>
      <c r="P521" t="s">
        <v>57</v>
      </c>
      <c r="Q521" t="s">
        <v>4770</v>
      </c>
      <c r="R521" t="s">
        <v>4771</v>
      </c>
      <c r="S521" t="s">
        <v>2895</v>
      </c>
      <c r="T521" t="s">
        <v>2896</v>
      </c>
      <c r="U521" t="s">
        <v>2897</v>
      </c>
    </row>
    <row r="522" spans="1:21" hidden="1">
      <c r="A522" t="s">
        <v>1147</v>
      </c>
      <c r="B522" t="s">
        <v>4767</v>
      </c>
      <c r="C522" t="s">
        <v>3794</v>
      </c>
      <c r="D522" t="s">
        <v>17</v>
      </c>
      <c r="E522" t="s">
        <v>2</v>
      </c>
      <c r="F522" t="s">
        <v>50</v>
      </c>
      <c r="G522" t="s">
        <v>51</v>
      </c>
      <c r="H522" t="s">
        <v>4772</v>
      </c>
      <c r="I522" t="s">
        <v>52</v>
      </c>
      <c r="J522" t="s">
        <v>60</v>
      </c>
      <c r="K522" t="s">
        <v>54</v>
      </c>
      <c r="L522" t="s">
        <v>55</v>
      </c>
      <c r="O522" t="s">
        <v>61</v>
      </c>
      <c r="P522" t="s">
        <v>62</v>
      </c>
      <c r="Q522" t="s">
        <v>4773</v>
      </c>
      <c r="R522" t="s">
        <v>4774</v>
      </c>
      <c r="S522" t="s">
        <v>2895</v>
      </c>
      <c r="T522" t="s">
        <v>2896</v>
      </c>
      <c r="U522" t="s">
        <v>2897</v>
      </c>
    </row>
    <row r="523" spans="1:21" hidden="1">
      <c r="A523" t="s">
        <v>1149</v>
      </c>
      <c r="B523" t="s">
        <v>4767</v>
      </c>
      <c r="C523" t="s">
        <v>4775</v>
      </c>
      <c r="D523" t="s">
        <v>17</v>
      </c>
      <c r="E523" t="s">
        <v>2</v>
      </c>
      <c r="F523" t="s">
        <v>50</v>
      </c>
      <c r="G523" t="s">
        <v>51</v>
      </c>
      <c r="H523" t="s">
        <v>4776</v>
      </c>
      <c r="I523" t="s">
        <v>52</v>
      </c>
      <c r="J523" t="s">
        <v>81</v>
      </c>
      <c r="K523" t="s">
        <v>54</v>
      </c>
      <c r="L523" t="s">
        <v>55</v>
      </c>
      <c r="O523" t="s">
        <v>82</v>
      </c>
      <c r="P523" t="s">
        <v>83</v>
      </c>
      <c r="Q523" t="s">
        <v>4777</v>
      </c>
      <c r="R523" t="s">
        <v>4778</v>
      </c>
      <c r="S523" t="s">
        <v>2895</v>
      </c>
      <c r="T523" t="s">
        <v>2896</v>
      </c>
      <c r="U523" t="s">
        <v>2897</v>
      </c>
    </row>
    <row r="524" spans="1:21" hidden="1">
      <c r="A524" t="s">
        <v>1151</v>
      </c>
      <c r="B524" t="s">
        <v>4767</v>
      </c>
      <c r="C524" t="s">
        <v>3554</v>
      </c>
      <c r="D524" t="s">
        <v>17</v>
      </c>
      <c r="E524" t="s">
        <v>2</v>
      </c>
      <c r="F524" t="s">
        <v>50</v>
      </c>
      <c r="G524" t="s">
        <v>51</v>
      </c>
      <c r="H524" t="s">
        <v>4779</v>
      </c>
      <c r="I524" t="s">
        <v>52</v>
      </c>
      <c r="J524" t="s">
        <v>60</v>
      </c>
      <c r="K524" t="s">
        <v>54</v>
      </c>
      <c r="L524" t="s">
        <v>55</v>
      </c>
      <c r="O524" t="s">
        <v>61</v>
      </c>
      <c r="P524" t="s">
        <v>62</v>
      </c>
      <c r="Q524" t="s">
        <v>4780</v>
      </c>
      <c r="R524" t="s">
        <v>4781</v>
      </c>
      <c r="S524" t="s">
        <v>2895</v>
      </c>
      <c r="T524" t="s">
        <v>2896</v>
      </c>
      <c r="U524" t="s">
        <v>2897</v>
      </c>
    </row>
    <row r="525" spans="1:21" hidden="1">
      <c r="A525" t="s">
        <v>1153</v>
      </c>
      <c r="B525" t="s">
        <v>4767</v>
      </c>
      <c r="C525" t="s">
        <v>4782</v>
      </c>
      <c r="D525" t="s">
        <v>17</v>
      </c>
      <c r="E525" t="s">
        <v>2</v>
      </c>
      <c r="F525" t="s">
        <v>50</v>
      </c>
      <c r="G525" t="s">
        <v>51</v>
      </c>
      <c r="H525" t="s">
        <v>4783</v>
      </c>
      <c r="I525" t="s">
        <v>52</v>
      </c>
      <c r="J525" t="s">
        <v>121</v>
      </c>
      <c r="K525" t="s">
        <v>54</v>
      </c>
      <c r="L525" t="s">
        <v>55</v>
      </c>
      <c r="O525" t="s">
        <v>122</v>
      </c>
      <c r="P525" t="s">
        <v>123</v>
      </c>
      <c r="Q525" t="s">
        <v>4784</v>
      </c>
      <c r="R525" t="s">
        <v>4785</v>
      </c>
      <c r="S525" t="s">
        <v>2895</v>
      </c>
      <c r="T525" t="s">
        <v>2896</v>
      </c>
      <c r="U525" t="s">
        <v>2897</v>
      </c>
    </row>
    <row r="526" spans="1:21" hidden="1">
      <c r="A526" t="s">
        <v>1155</v>
      </c>
      <c r="B526" t="s">
        <v>4767</v>
      </c>
      <c r="C526" t="s">
        <v>4786</v>
      </c>
      <c r="D526" t="s">
        <v>17</v>
      </c>
      <c r="E526" t="s">
        <v>2</v>
      </c>
      <c r="F526" t="s">
        <v>50</v>
      </c>
      <c r="G526" t="s">
        <v>51</v>
      </c>
      <c r="H526" t="s">
        <v>4787</v>
      </c>
      <c r="I526" t="s">
        <v>52</v>
      </c>
      <c r="J526" t="s">
        <v>126</v>
      </c>
      <c r="K526" t="s">
        <v>54</v>
      </c>
      <c r="L526" t="s">
        <v>55</v>
      </c>
      <c r="O526" t="s">
        <v>56</v>
      </c>
      <c r="P526" t="s">
        <v>57</v>
      </c>
      <c r="Q526" t="s">
        <v>4788</v>
      </c>
      <c r="R526" t="s">
        <v>4789</v>
      </c>
      <c r="S526" t="s">
        <v>2895</v>
      </c>
      <c r="T526" t="s">
        <v>2896</v>
      </c>
      <c r="U526" t="s">
        <v>2897</v>
      </c>
    </row>
    <row r="527" spans="1:21" hidden="1">
      <c r="A527" t="s">
        <v>1157</v>
      </c>
      <c r="B527" t="s">
        <v>4767</v>
      </c>
      <c r="C527" t="s">
        <v>3640</v>
      </c>
      <c r="D527" t="s">
        <v>17</v>
      </c>
      <c r="E527" t="s">
        <v>2</v>
      </c>
      <c r="F527" t="s">
        <v>149</v>
      </c>
      <c r="G527" t="s">
        <v>72</v>
      </c>
      <c r="H527" t="s">
        <v>4790</v>
      </c>
      <c r="I527" t="s">
        <v>52</v>
      </c>
      <c r="J527" t="s">
        <v>233</v>
      </c>
      <c r="K527" t="s">
        <v>54</v>
      </c>
      <c r="L527" t="s">
        <v>74</v>
      </c>
      <c r="O527" t="s">
        <v>75</v>
      </c>
      <c r="P527" t="s">
        <v>76</v>
      </c>
      <c r="Q527" t="s">
        <v>4791</v>
      </c>
      <c r="R527" t="s">
        <v>4790</v>
      </c>
      <c r="S527" t="s">
        <v>2895</v>
      </c>
      <c r="T527" t="s">
        <v>2896</v>
      </c>
      <c r="U527" t="s">
        <v>2897</v>
      </c>
    </row>
    <row r="528" spans="1:21" hidden="1">
      <c r="A528" t="s">
        <v>1159</v>
      </c>
      <c r="B528" t="s">
        <v>4767</v>
      </c>
      <c r="C528" t="s">
        <v>3868</v>
      </c>
      <c r="D528" t="s">
        <v>17</v>
      </c>
      <c r="E528" t="s">
        <v>2</v>
      </c>
      <c r="F528" t="s">
        <v>50</v>
      </c>
      <c r="G528" t="s">
        <v>100</v>
      </c>
      <c r="H528" t="s">
        <v>2969</v>
      </c>
      <c r="I528" t="s">
        <v>52</v>
      </c>
      <c r="J528" t="s">
        <v>101</v>
      </c>
      <c r="K528" t="s">
        <v>54</v>
      </c>
      <c r="L528" t="s">
        <v>102</v>
      </c>
      <c r="O528" t="s">
        <v>103</v>
      </c>
      <c r="P528" t="s">
        <v>104</v>
      </c>
      <c r="Q528" t="s">
        <v>4792</v>
      </c>
      <c r="R528" t="s">
        <v>2971</v>
      </c>
      <c r="S528" t="s">
        <v>2895</v>
      </c>
      <c r="T528" t="s">
        <v>2896</v>
      </c>
      <c r="U528" t="s">
        <v>2897</v>
      </c>
    </row>
    <row r="529" spans="1:21" hidden="1">
      <c r="A529" t="s">
        <v>1161</v>
      </c>
      <c r="B529" t="s">
        <v>4767</v>
      </c>
      <c r="C529" t="s">
        <v>4793</v>
      </c>
      <c r="D529" t="s">
        <v>17</v>
      </c>
      <c r="E529" t="s">
        <v>2</v>
      </c>
      <c r="F529" t="s">
        <v>50</v>
      </c>
      <c r="G529" t="s">
        <v>88</v>
      </c>
      <c r="H529" t="s">
        <v>4794</v>
      </c>
      <c r="I529" t="s">
        <v>52</v>
      </c>
      <c r="J529" t="s">
        <v>89</v>
      </c>
      <c r="K529" t="s">
        <v>54</v>
      </c>
      <c r="L529" t="s">
        <v>90</v>
      </c>
      <c r="M529" t="s">
        <v>91</v>
      </c>
      <c r="N529" t="s">
        <v>12</v>
      </c>
      <c r="O529" t="s">
        <v>92</v>
      </c>
      <c r="P529" t="s">
        <v>93</v>
      </c>
      <c r="Q529" t="s">
        <v>4795</v>
      </c>
      <c r="R529" t="s">
        <v>4796</v>
      </c>
      <c r="S529" t="s">
        <v>2895</v>
      </c>
      <c r="T529" t="s">
        <v>2896</v>
      </c>
      <c r="U529" t="s">
        <v>2897</v>
      </c>
    </row>
    <row r="530" spans="1:21" hidden="1">
      <c r="A530" t="s">
        <v>1163</v>
      </c>
      <c r="B530" t="s">
        <v>4767</v>
      </c>
      <c r="C530" t="s">
        <v>4797</v>
      </c>
      <c r="D530" t="s">
        <v>17</v>
      </c>
      <c r="E530" t="s">
        <v>2</v>
      </c>
      <c r="F530" t="s">
        <v>50</v>
      </c>
      <c r="G530" t="s">
        <v>100</v>
      </c>
      <c r="H530" t="s">
        <v>2969</v>
      </c>
      <c r="I530" t="s">
        <v>52</v>
      </c>
      <c r="J530" t="s">
        <v>101</v>
      </c>
      <c r="K530" t="s">
        <v>54</v>
      </c>
      <c r="L530" t="s">
        <v>102</v>
      </c>
      <c r="O530" t="s">
        <v>103</v>
      </c>
      <c r="P530" t="s">
        <v>104</v>
      </c>
      <c r="Q530" t="s">
        <v>4798</v>
      </c>
      <c r="R530" t="s">
        <v>2971</v>
      </c>
      <c r="S530" t="s">
        <v>2895</v>
      </c>
      <c r="T530" t="s">
        <v>2896</v>
      </c>
      <c r="U530" t="s">
        <v>2897</v>
      </c>
    </row>
    <row r="531" spans="1:21" hidden="1">
      <c r="A531" t="s">
        <v>1165</v>
      </c>
      <c r="B531" t="s">
        <v>4799</v>
      </c>
      <c r="C531" t="s">
        <v>3407</v>
      </c>
      <c r="D531" t="s">
        <v>17</v>
      </c>
      <c r="E531" t="s">
        <v>2</v>
      </c>
      <c r="F531" t="s">
        <v>50</v>
      </c>
      <c r="G531" t="s">
        <v>100</v>
      </c>
      <c r="H531" t="s">
        <v>2969</v>
      </c>
      <c r="I531" t="s">
        <v>52</v>
      </c>
      <c r="J531" t="s">
        <v>101</v>
      </c>
      <c r="K531" t="s">
        <v>54</v>
      </c>
      <c r="L531" t="s">
        <v>102</v>
      </c>
      <c r="O531" t="s">
        <v>103</v>
      </c>
      <c r="P531" t="s">
        <v>104</v>
      </c>
      <c r="Q531" t="s">
        <v>4800</v>
      </c>
      <c r="R531" t="s">
        <v>2971</v>
      </c>
      <c r="S531" t="s">
        <v>2895</v>
      </c>
      <c r="T531" t="s">
        <v>2896</v>
      </c>
      <c r="U531" t="s">
        <v>2897</v>
      </c>
    </row>
    <row r="532" spans="1:21" hidden="1">
      <c r="A532" t="s">
        <v>1167</v>
      </c>
      <c r="B532" t="s">
        <v>4799</v>
      </c>
      <c r="C532" t="s">
        <v>4385</v>
      </c>
      <c r="D532" t="s">
        <v>17</v>
      </c>
      <c r="E532" t="s">
        <v>2</v>
      </c>
      <c r="F532" t="s">
        <v>50</v>
      </c>
      <c r="G532" t="s">
        <v>51</v>
      </c>
      <c r="H532" t="s">
        <v>4801</v>
      </c>
      <c r="I532" t="s">
        <v>52</v>
      </c>
      <c r="J532" t="s">
        <v>60</v>
      </c>
      <c r="K532" t="s">
        <v>54</v>
      </c>
      <c r="L532" t="s">
        <v>55</v>
      </c>
      <c r="O532" t="s">
        <v>61</v>
      </c>
      <c r="P532" t="s">
        <v>62</v>
      </c>
      <c r="Q532" t="s">
        <v>4802</v>
      </c>
      <c r="R532" t="s">
        <v>4803</v>
      </c>
      <c r="S532" t="s">
        <v>2895</v>
      </c>
      <c r="T532" t="s">
        <v>2896</v>
      </c>
      <c r="U532" t="s">
        <v>2897</v>
      </c>
    </row>
    <row r="533" spans="1:21" hidden="1">
      <c r="A533" t="s">
        <v>1169</v>
      </c>
      <c r="B533" t="s">
        <v>4799</v>
      </c>
      <c r="C533" t="s">
        <v>4804</v>
      </c>
      <c r="D533" t="s">
        <v>17</v>
      </c>
      <c r="E533" t="s">
        <v>2</v>
      </c>
      <c r="F533" t="s">
        <v>50</v>
      </c>
      <c r="G533" t="s">
        <v>100</v>
      </c>
      <c r="H533" t="s">
        <v>4406</v>
      </c>
      <c r="I533" t="s">
        <v>52</v>
      </c>
      <c r="J533" t="s">
        <v>114</v>
      </c>
      <c r="K533" t="s">
        <v>54</v>
      </c>
      <c r="L533" t="s">
        <v>102</v>
      </c>
      <c r="O533" t="s">
        <v>103</v>
      </c>
      <c r="P533" t="s">
        <v>104</v>
      </c>
      <c r="Q533" t="s">
        <v>4805</v>
      </c>
      <c r="R533" t="s">
        <v>4408</v>
      </c>
      <c r="S533" t="s">
        <v>2895</v>
      </c>
      <c r="T533" t="s">
        <v>2896</v>
      </c>
      <c r="U533" t="s">
        <v>2897</v>
      </c>
    </row>
    <row r="534" spans="1:21" hidden="1">
      <c r="A534" t="s">
        <v>1171</v>
      </c>
      <c r="B534" t="s">
        <v>4799</v>
      </c>
      <c r="C534" t="s">
        <v>3458</v>
      </c>
      <c r="D534" t="s">
        <v>17</v>
      </c>
      <c r="E534" t="s">
        <v>2</v>
      </c>
      <c r="F534" t="s">
        <v>50</v>
      </c>
      <c r="G534" t="s">
        <v>51</v>
      </c>
      <c r="H534" t="s">
        <v>4806</v>
      </c>
      <c r="I534" t="s">
        <v>52</v>
      </c>
      <c r="J534" t="s">
        <v>126</v>
      </c>
      <c r="K534" t="s">
        <v>54</v>
      </c>
      <c r="L534" t="s">
        <v>55</v>
      </c>
      <c r="O534" t="s">
        <v>56</v>
      </c>
      <c r="P534" t="s">
        <v>57</v>
      </c>
      <c r="Q534" t="s">
        <v>4807</v>
      </c>
      <c r="R534" t="s">
        <v>4808</v>
      </c>
      <c r="S534" t="s">
        <v>2895</v>
      </c>
      <c r="T534" t="s">
        <v>2896</v>
      </c>
      <c r="U534" t="s">
        <v>2897</v>
      </c>
    </row>
    <row r="535" spans="1:21" hidden="1">
      <c r="A535" t="s">
        <v>1173</v>
      </c>
      <c r="B535" t="s">
        <v>4799</v>
      </c>
      <c r="C535" t="s">
        <v>4809</v>
      </c>
      <c r="D535" t="s">
        <v>17</v>
      </c>
      <c r="E535" t="s">
        <v>2</v>
      </c>
      <c r="F535" t="s">
        <v>50</v>
      </c>
      <c r="G535" t="s">
        <v>51</v>
      </c>
      <c r="H535" t="s">
        <v>4810</v>
      </c>
      <c r="I535" t="s">
        <v>52</v>
      </c>
      <c r="J535" t="s">
        <v>126</v>
      </c>
      <c r="K535" t="s">
        <v>54</v>
      </c>
      <c r="L535" t="s">
        <v>55</v>
      </c>
      <c r="O535" t="s">
        <v>56</v>
      </c>
      <c r="P535" t="s">
        <v>57</v>
      </c>
      <c r="Q535" t="s">
        <v>4811</v>
      </c>
      <c r="R535" t="s">
        <v>4812</v>
      </c>
      <c r="S535" t="s">
        <v>2895</v>
      </c>
      <c r="T535" t="s">
        <v>2896</v>
      </c>
      <c r="U535" t="s">
        <v>2897</v>
      </c>
    </row>
    <row r="536" spans="1:21" hidden="1">
      <c r="A536" t="s">
        <v>1175</v>
      </c>
      <c r="B536" t="s">
        <v>4799</v>
      </c>
      <c r="C536" t="s">
        <v>3149</v>
      </c>
      <c r="D536" t="s">
        <v>17</v>
      </c>
      <c r="E536" t="s">
        <v>2</v>
      </c>
      <c r="F536" t="s">
        <v>50</v>
      </c>
      <c r="G536" t="s">
        <v>51</v>
      </c>
      <c r="H536" t="s">
        <v>3727</v>
      </c>
      <c r="I536" t="s">
        <v>52</v>
      </c>
      <c r="J536" t="s">
        <v>53</v>
      </c>
      <c r="K536" t="s">
        <v>54</v>
      </c>
      <c r="L536" t="s">
        <v>55</v>
      </c>
      <c r="O536" t="s">
        <v>56</v>
      </c>
      <c r="P536" t="s">
        <v>57</v>
      </c>
      <c r="Q536" t="s">
        <v>4813</v>
      </c>
      <c r="R536" t="s">
        <v>3729</v>
      </c>
      <c r="S536" t="s">
        <v>2895</v>
      </c>
      <c r="T536" t="s">
        <v>2896</v>
      </c>
      <c r="U536" t="s">
        <v>2897</v>
      </c>
    </row>
    <row r="537" spans="1:21" hidden="1">
      <c r="A537" t="s">
        <v>1177</v>
      </c>
      <c r="B537" t="s">
        <v>4814</v>
      </c>
      <c r="C537" t="s">
        <v>3520</v>
      </c>
      <c r="D537" t="s">
        <v>17</v>
      </c>
      <c r="E537" t="s">
        <v>2</v>
      </c>
      <c r="F537" t="s">
        <v>50</v>
      </c>
      <c r="G537" t="s">
        <v>100</v>
      </c>
      <c r="H537" t="s">
        <v>4815</v>
      </c>
      <c r="I537" t="s">
        <v>52</v>
      </c>
      <c r="J537" t="s">
        <v>244</v>
      </c>
      <c r="K537" t="s">
        <v>54</v>
      </c>
      <c r="L537" t="s">
        <v>102</v>
      </c>
      <c r="O537" t="s">
        <v>178</v>
      </c>
      <c r="P537" t="s">
        <v>245</v>
      </c>
      <c r="Q537" t="s">
        <v>4816</v>
      </c>
      <c r="R537" t="s">
        <v>4817</v>
      </c>
      <c r="S537" t="s">
        <v>2895</v>
      </c>
      <c r="T537" t="s">
        <v>2896</v>
      </c>
      <c r="U537" t="s">
        <v>2897</v>
      </c>
    </row>
    <row r="538" spans="1:21" hidden="1">
      <c r="A538" t="s">
        <v>1179</v>
      </c>
      <c r="B538" t="s">
        <v>4814</v>
      </c>
      <c r="C538" t="s">
        <v>4818</v>
      </c>
      <c r="D538" t="s">
        <v>17</v>
      </c>
      <c r="E538" t="s">
        <v>2</v>
      </c>
      <c r="F538" t="s">
        <v>50</v>
      </c>
      <c r="G538" t="s">
        <v>51</v>
      </c>
      <c r="H538" t="s">
        <v>4819</v>
      </c>
      <c r="I538" t="s">
        <v>52</v>
      </c>
      <c r="J538" t="s">
        <v>126</v>
      </c>
      <c r="K538" t="s">
        <v>54</v>
      </c>
      <c r="L538" t="s">
        <v>55</v>
      </c>
      <c r="O538" t="s">
        <v>56</v>
      </c>
      <c r="P538" t="s">
        <v>57</v>
      </c>
      <c r="Q538" t="s">
        <v>4820</v>
      </c>
      <c r="R538" t="s">
        <v>4821</v>
      </c>
      <c r="S538" t="s">
        <v>2895</v>
      </c>
      <c r="T538" t="s">
        <v>2896</v>
      </c>
      <c r="U538" t="s">
        <v>2897</v>
      </c>
    </row>
    <row r="539" spans="1:21" hidden="1">
      <c r="A539" t="s">
        <v>1181</v>
      </c>
      <c r="B539" t="s">
        <v>4814</v>
      </c>
      <c r="C539" t="s">
        <v>4822</v>
      </c>
      <c r="D539" t="s">
        <v>17</v>
      </c>
      <c r="E539" t="s">
        <v>2</v>
      </c>
      <c r="F539" t="s">
        <v>50</v>
      </c>
      <c r="G539" t="s">
        <v>100</v>
      </c>
      <c r="H539" t="s">
        <v>2969</v>
      </c>
      <c r="I539" t="s">
        <v>52</v>
      </c>
      <c r="J539" t="s">
        <v>101</v>
      </c>
      <c r="K539" t="s">
        <v>54</v>
      </c>
      <c r="L539" t="s">
        <v>102</v>
      </c>
      <c r="O539" t="s">
        <v>103</v>
      </c>
      <c r="P539" t="s">
        <v>104</v>
      </c>
      <c r="Q539" t="s">
        <v>4823</v>
      </c>
      <c r="R539" t="s">
        <v>2971</v>
      </c>
      <c r="S539" t="s">
        <v>2895</v>
      </c>
      <c r="T539" t="s">
        <v>2896</v>
      </c>
      <c r="U539" t="s">
        <v>2897</v>
      </c>
    </row>
    <row r="540" spans="1:21" hidden="1">
      <c r="A540" t="s">
        <v>1183</v>
      </c>
      <c r="B540" t="s">
        <v>4814</v>
      </c>
      <c r="C540" t="s">
        <v>4824</v>
      </c>
      <c r="D540" t="s">
        <v>17</v>
      </c>
      <c r="E540" t="s">
        <v>2</v>
      </c>
      <c r="F540" t="s">
        <v>50</v>
      </c>
      <c r="G540" t="s">
        <v>51</v>
      </c>
      <c r="H540" t="s">
        <v>4825</v>
      </c>
      <c r="I540" t="s">
        <v>52</v>
      </c>
      <c r="J540" t="s">
        <v>196</v>
      </c>
      <c r="K540" t="s">
        <v>54</v>
      </c>
      <c r="L540" t="s">
        <v>55</v>
      </c>
      <c r="O540" t="s">
        <v>197</v>
      </c>
      <c r="P540" t="s">
        <v>198</v>
      </c>
      <c r="Q540" t="s">
        <v>4826</v>
      </c>
      <c r="R540" t="s">
        <v>4827</v>
      </c>
      <c r="S540" t="s">
        <v>2895</v>
      </c>
      <c r="T540" t="s">
        <v>2896</v>
      </c>
      <c r="U540" t="s">
        <v>2897</v>
      </c>
    </row>
    <row r="541" spans="1:21" hidden="1">
      <c r="A541" t="s">
        <v>1185</v>
      </c>
      <c r="B541" t="s">
        <v>4814</v>
      </c>
      <c r="C541" t="s">
        <v>3816</v>
      </c>
      <c r="D541" t="s">
        <v>17</v>
      </c>
      <c r="E541" t="s">
        <v>2</v>
      </c>
      <c r="F541" t="s">
        <v>50</v>
      </c>
      <c r="G541" t="s">
        <v>51</v>
      </c>
      <c r="H541" t="s">
        <v>4828</v>
      </c>
      <c r="I541" t="s">
        <v>52</v>
      </c>
      <c r="J541" t="s">
        <v>121</v>
      </c>
      <c r="K541" t="s">
        <v>54</v>
      </c>
      <c r="L541" t="s">
        <v>55</v>
      </c>
      <c r="O541" t="s">
        <v>122</v>
      </c>
      <c r="P541" t="s">
        <v>123</v>
      </c>
      <c r="Q541" t="s">
        <v>4829</v>
      </c>
      <c r="R541" t="s">
        <v>4830</v>
      </c>
      <c r="S541" t="s">
        <v>2895</v>
      </c>
      <c r="T541" t="s">
        <v>2896</v>
      </c>
      <c r="U541" t="s">
        <v>2897</v>
      </c>
    </row>
    <row r="542" spans="1:21" hidden="1">
      <c r="A542" t="s">
        <v>1187</v>
      </c>
      <c r="B542" t="s">
        <v>4814</v>
      </c>
      <c r="C542" t="s">
        <v>4831</v>
      </c>
      <c r="D542" t="s">
        <v>17</v>
      </c>
      <c r="E542" t="s">
        <v>2</v>
      </c>
      <c r="F542" t="s">
        <v>50</v>
      </c>
      <c r="G542" t="s">
        <v>51</v>
      </c>
      <c r="H542" t="s">
        <v>4832</v>
      </c>
      <c r="I542" t="s">
        <v>52</v>
      </c>
      <c r="J542" t="s">
        <v>196</v>
      </c>
      <c r="K542" t="s">
        <v>54</v>
      </c>
      <c r="L542" t="s">
        <v>55</v>
      </c>
      <c r="O542" t="s">
        <v>197</v>
      </c>
      <c r="P542" t="s">
        <v>198</v>
      </c>
      <c r="Q542" t="s">
        <v>4833</v>
      </c>
      <c r="R542" t="s">
        <v>4834</v>
      </c>
      <c r="S542" t="s">
        <v>2895</v>
      </c>
      <c r="T542" t="s">
        <v>2896</v>
      </c>
      <c r="U542" t="s">
        <v>2897</v>
      </c>
    </row>
    <row r="543" spans="1:21" hidden="1">
      <c r="A543" t="s">
        <v>1189</v>
      </c>
      <c r="B543" t="s">
        <v>4814</v>
      </c>
      <c r="C543" t="s">
        <v>4835</v>
      </c>
      <c r="D543" t="s">
        <v>17</v>
      </c>
      <c r="E543" t="s">
        <v>2</v>
      </c>
      <c r="F543" t="s">
        <v>50</v>
      </c>
      <c r="G543" t="s">
        <v>51</v>
      </c>
      <c r="H543" t="s">
        <v>4836</v>
      </c>
      <c r="I543" t="s">
        <v>52</v>
      </c>
      <c r="J543" t="s">
        <v>196</v>
      </c>
      <c r="K543" t="s">
        <v>54</v>
      </c>
      <c r="L543" t="s">
        <v>55</v>
      </c>
      <c r="O543" t="s">
        <v>197</v>
      </c>
      <c r="P543" t="s">
        <v>198</v>
      </c>
      <c r="Q543" t="s">
        <v>4837</v>
      </c>
      <c r="R543" t="s">
        <v>4838</v>
      </c>
      <c r="S543" t="s">
        <v>2895</v>
      </c>
      <c r="T543" t="s">
        <v>2896</v>
      </c>
      <c r="U543" t="s">
        <v>2897</v>
      </c>
    </row>
    <row r="544" spans="1:21" hidden="1">
      <c r="A544" t="s">
        <v>1191</v>
      </c>
      <c r="B544" t="s">
        <v>4814</v>
      </c>
      <c r="C544" t="s">
        <v>4839</v>
      </c>
      <c r="D544" t="s">
        <v>17</v>
      </c>
      <c r="E544" t="s">
        <v>2</v>
      </c>
      <c r="F544" t="s">
        <v>149</v>
      </c>
      <c r="G544" t="s">
        <v>72</v>
      </c>
      <c r="H544" t="s">
        <v>4840</v>
      </c>
      <c r="I544" t="s">
        <v>52</v>
      </c>
      <c r="J544" t="s">
        <v>316</v>
      </c>
      <c r="K544" t="s">
        <v>54</v>
      </c>
      <c r="L544" t="s">
        <v>74</v>
      </c>
      <c r="O544" t="s">
        <v>75</v>
      </c>
      <c r="P544" t="s">
        <v>76</v>
      </c>
      <c r="Q544" t="s">
        <v>4841</v>
      </c>
      <c r="R544" t="s">
        <v>4840</v>
      </c>
      <c r="S544" t="s">
        <v>2895</v>
      </c>
      <c r="T544" t="s">
        <v>2896</v>
      </c>
      <c r="U544" t="s">
        <v>2897</v>
      </c>
    </row>
    <row r="545" spans="1:21" hidden="1">
      <c r="A545" t="s">
        <v>1193</v>
      </c>
      <c r="B545" t="s">
        <v>4814</v>
      </c>
      <c r="C545" t="s">
        <v>4842</v>
      </c>
      <c r="D545" t="s">
        <v>17</v>
      </c>
      <c r="E545" t="s">
        <v>2</v>
      </c>
      <c r="F545" t="s">
        <v>50</v>
      </c>
      <c r="G545" t="s">
        <v>51</v>
      </c>
      <c r="H545" t="s">
        <v>4843</v>
      </c>
      <c r="I545" t="s">
        <v>52</v>
      </c>
      <c r="J545" t="s">
        <v>53</v>
      </c>
      <c r="K545" t="s">
        <v>54</v>
      </c>
      <c r="L545" t="s">
        <v>55</v>
      </c>
      <c r="O545" t="s">
        <v>56</v>
      </c>
      <c r="P545" t="s">
        <v>57</v>
      </c>
      <c r="Q545" t="s">
        <v>4844</v>
      </c>
      <c r="R545" t="s">
        <v>4845</v>
      </c>
      <c r="S545" t="s">
        <v>2895</v>
      </c>
      <c r="T545" t="s">
        <v>2896</v>
      </c>
      <c r="U545" t="s">
        <v>2897</v>
      </c>
    </row>
    <row r="546" spans="1:21" hidden="1">
      <c r="A546" t="s">
        <v>1195</v>
      </c>
      <c r="B546" t="s">
        <v>4846</v>
      </c>
      <c r="C546" t="s">
        <v>4577</v>
      </c>
      <c r="D546" t="s">
        <v>17</v>
      </c>
      <c r="E546" t="s">
        <v>2</v>
      </c>
      <c r="F546" t="s">
        <v>50</v>
      </c>
      <c r="G546" t="s">
        <v>100</v>
      </c>
      <c r="H546" t="s">
        <v>4847</v>
      </c>
      <c r="I546" t="s">
        <v>52</v>
      </c>
      <c r="J546" t="s">
        <v>114</v>
      </c>
      <c r="K546" t="s">
        <v>54</v>
      </c>
      <c r="L546" t="s">
        <v>102</v>
      </c>
      <c r="O546" t="s">
        <v>103</v>
      </c>
      <c r="P546" t="s">
        <v>104</v>
      </c>
      <c r="Q546" t="s">
        <v>4848</v>
      </c>
      <c r="R546" t="s">
        <v>4849</v>
      </c>
      <c r="S546" t="s">
        <v>2895</v>
      </c>
      <c r="T546" t="s">
        <v>2896</v>
      </c>
      <c r="U546" t="s">
        <v>2897</v>
      </c>
    </row>
    <row r="547" spans="1:21" hidden="1">
      <c r="A547" t="s">
        <v>1197</v>
      </c>
      <c r="B547" t="s">
        <v>4846</v>
      </c>
      <c r="C547" t="s">
        <v>4850</v>
      </c>
      <c r="D547" t="s">
        <v>17</v>
      </c>
      <c r="E547" t="s">
        <v>2</v>
      </c>
      <c r="F547" t="s">
        <v>50</v>
      </c>
      <c r="G547" t="s">
        <v>51</v>
      </c>
      <c r="H547" t="s">
        <v>4851</v>
      </c>
      <c r="I547" t="s">
        <v>52</v>
      </c>
      <c r="J547" t="s">
        <v>121</v>
      </c>
      <c r="K547" t="s">
        <v>54</v>
      </c>
      <c r="L547" t="s">
        <v>55</v>
      </c>
      <c r="O547" t="s">
        <v>122</v>
      </c>
      <c r="P547" t="s">
        <v>123</v>
      </c>
      <c r="Q547" t="s">
        <v>4852</v>
      </c>
      <c r="R547" t="s">
        <v>4853</v>
      </c>
      <c r="S547" t="s">
        <v>2895</v>
      </c>
      <c r="T547" t="s">
        <v>2896</v>
      </c>
      <c r="U547" t="s">
        <v>2897</v>
      </c>
    </row>
    <row r="548" spans="1:21" hidden="1">
      <c r="A548" t="s">
        <v>1199</v>
      </c>
      <c r="B548" t="s">
        <v>4846</v>
      </c>
      <c r="C548" t="s">
        <v>4649</v>
      </c>
      <c r="D548" t="s">
        <v>17</v>
      </c>
      <c r="E548" t="s">
        <v>2</v>
      </c>
      <c r="F548" t="s">
        <v>149</v>
      </c>
      <c r="G548" t="s">
        <v>321</v>
      </c>
      <c r="H548" t="s">
        <v>4854</v>
      </c>
      <c r="I548" t="s">
        <v>52</v>
      </c>
      <c r="J548" t="s">
        <v>9</v>
      </c>
      <c r="K548" t="s">
        <v>54</v>
      </c>
      <c r="L548" t="s">
        <v>102</v>
      </c>
      <c r="O548" t="s">
        <v>322</v>
      </c>
      <c r="P548" t="s">
        <v>323</v>
      </c>
      <c r="Q548" t="s">
        <v>4855</v>
      </c>
      <c r="R548" t="s">
        <v>4854</v>
      </c>
      <c r="S548" t="s">
        <v>2895</v>
      </c>
      <c r="T548" t="s">
        <v>2896</v>
      </c>
      <c r="U548" t="s">
        <v>2897</v>
      </c>
    </row>
    <row r="549" spans="1:21" hidden="1">
      <c r="A549" t="s">
        <v>1201</v>
      </c>
      <c r="B549" t="s">
        <v>4846</v>
      </c>
      <c r="C549" t="s">
        <v>2968</v>
      </c>
      <c r="D549" t="s">
        <v>17</v>
      </c>
      <c r="E549" t="s">
        <v>2</v>
      </c>
      <c r="F549" t="s">
        <v>50</v>
      </c>
      <c r="G549" t="s">
        <v>51</v>
      </c>
      <c r="H549" t="s">
        <v>4856</v>
      </c>
      <c r="I549" t="s">
        <v>52</v>
      </c>
      <c r="J549" t="s">
        <v>196</v>
      </c>
      <c r="K549" t="s">
        <v>54</v>
      </c>
      <c r="L549" t="s">
        <v>55</v>
      </c>
      <c r="O549" t="s">
        <v>197</v>
      </c>
      <c r="P549" t="s">
        <v>198</v>
      </c>
      <c r="Q549" t="s">
        <v>4857</v>
      </c>
      <c r="R549" t="s">
        <v>4858</v>
      </c>
      <c r="S549" t="s">
        <v>2895</v>
      </c>
      <c r="T549" t="s">
        <v>2896</v>
      </c>
      <c r="U549" t="s">
        <v>2897</v>
      </c>
    </row>
    <row r="550" spans="1:21" hidden="1">
      <c r="A550" t="s">
        <v>1203</v>
      </c>
      <c r="B550" t="s">
        <v>4846</v>
      </c>
      <c r="C550" t="s">
        <v>4565</v>
      </c>
      <c r="D550" t="s">
        <v>17</v>
      </c>
      <c r="E550" t="s">
        <v>2</v>
      </c>
      <c r="F550" t="s">
        <v>50</v>
      </c>
      <c r="G550" t="s">
        <v>51</v>
      </c>
      <c r="H550" t="s">
        <v>4859</v>
      </c>
      <c r="I550" t="s">
        <v>52</v>
      </c>
      <c r="J550" t="s">
        <v>121</v>
      </c>
      <c r="K550" t="s">
        <v>54</v>
      </c>
      <c r="L550" t="s">
        <v>55</v>
      </c>
      <c r="O550" t="s">
        <v>122</v>
      </c>
      <c r="P550" t="s">
        <v>123</v>
      </c>
      <c r="Q550" t="s">
        <v>4860</v>
      </c>
      <c r="R550" t="s">
        <v>4861</v>
      </c>
      <c r="S550" t="s">
        <v>2895</v>
      </c>
      <c r="T550" t="s">
        <v>2896</v>
      </c>
      <c r="U550" t="s">
        <v>2897</v>
      </c>
    </row>
    <row r="551" spans="1:21" hidden="1">
      <c r="A551" t="s">
        <v>1205</v>
      </c>
      <c r="B551" t="s">
        <v>4846</v>
      </c>
      <c r="C551" t="s">
        <v>4862</v>
      </c>
      <c r="D551" t="s">
        <v>17</v>
      </c>
      <c r="E551" t="s">
        <v>2</v>
      </c>
      <c r="F551" t="s">
        <v>50</v>
      </c>
      <c r="G551" t="s">
        <v>51</v>
      </c>
      <c r="H551" t="s">
        <v>4863</v>
      </c>
      <c r="I551" t="s">
        <v>52</v>
      </c>
      <c r="J551" t="s">
        <v>126</v>
      </c>
      <c r="K551" t="s">
        <v>54</v>
      </c>
      <c r="L551" t="s">
        <v>55</v>
      </c>
      <c r="O551" t="s">
        <v>56</v>
      </c>
      <c r="P551" t="s">
        <v>57</v>
      </c>
      <c r="Q551" t="s">
        <v>4864</v>
      </c>
      <c r="R551" t="s">
        <v>4865</v>
      </c>
      <c r="S551" t="s">
        <v>2895</v>
      </c>
      <c r="T551" t="s">
        <v>2896</v>
      </c>
      <c r="U551" t="s">
        <v>2897</v>
      </c>
    </row>
    <row r="552" spans="1:21" hidden="1">
      <c r="A552" t="s">
        <v>1207</v>
      </c>
      <c r="B552" t="s">
        <v>4846</v>
      </c>
      <c r="C552" t="s">
        <v>4866</v>
      </c>
      <c r="D552" t="s">
        <v>17</v>
      </c>
      <c r="E552" t="s">
        <v>2</v>
      </c>
      <c r="F552" t="s">
        <v>50</v>
      </c>
      <c r="G552" t="s">
        <v>51</v>
      </c>
      <c r="H552" t="s">
        <v>4867</v>
      </c>
      <c r="I552" t="s">
        <v>52</v>
      </c>
      <c r="J552" t="s">
        <v>65</v>
      </c>
      <c r="K552" t="s">
        <v>54</v>
      </c>
      <c r="L552" t="s">
        <v>55</v>
      </c>
      <c r="O552" t="s">
        <v>66</v>
      </c>
      <c r="P552" t="s">
        <v>67</v>
      </c>
      <c r="Q552" t="s">
        <v>4868</v>
      </c>
      <c r="R552" t="s">
        <v>4869</v>
      </c>
      <c r="S552" t="s">
        <v>2895</v>
      </c>
      <c r="T552" t="s">
        <v>2896</v>
      </c>
      <c r="U552" t="s">
        <v>2897</v>
      </c>
    </row>
    <row r="553" spans="1:21" hidden="1">
      <c r="A553" t="s">
        <v>1209</v>
      </c>
      <c r="B553" t="s">
        <v>4846</v>
      </c>
      <c r="C553" t="s">
        <v>4870</v>
      </c>
      <c r="D553" t="s">
        <v>17</v>
      </c>
      <c r="E553" t="s">
        <v>2</v>
      </c>
      <c r="F553" t="s">
        <v>50</v>
      </c>
      <c r="G553" t="s">
        <v>100</v>
      </c>
      <c r="H553" t="s">
        <v>2969</v>
      </c>
      <c r="I553" t="s">
        <v>52</v>
      </c>
      <c r="J553" t="s">
        <v>101</v>
      </c>
      <c r="K553" t="s">
        <v>54</v>
      </c>
      <c r="L553" t="s">
        <v>102</v>
      </c>
      <c r="O553" t="s">
        <v>103</v>
      </c>
      <c r="P553" t="s">
        <v>104</v>
      </c>
      <c r="Q553" t="s">
        <v>4871</v>
      </c>
      <c r="R553" t="s">
        <v>2971</v>
      </c>
      <c r="S553" t="s">
        <v>2895</v>
      </c>
      <c r="T553" t="s">
        <v>2896</v>
      </c>
      <c r="U553" t="s">
        <v>2897</v>
      </c>
    </row>
    <row r="554" spans="1:21" hidden="1">
      <c r="A554" t="s">
        <v>1211</v>
      </c>
      <c r="B554" t="s">
        <v>4872</v>
      </c>
      <c r="C554" t="s">
        <v>4873</v>
      </c>
      <c r="D554" t="s">
        <v>17</v>
      </c>
      <c r="E554" t="s">
        <v>2</v>
      </c>
      <c r="F554" t="s">
        <v>50</v>
      </c>
      <c r="G554" t="s">
        <v>100</v>
      </c>
      <c r="H554" t="s">
        <v>4874</v>
      </c>
      <c r="I554" t="s">
        <v>52</v>
      </c>
      <c r="J554" t="s">
        <v>114</v>
      </c>
      <c r="K554" t="s">
        <v>54</v>
      </c>
      <c r="L554" t="s">
        <v>102</v>
      </c>
      <c r="O554" t="s">
        <v>103</v>
      </c>
      <c r="P554" t="s">
        <v>104</v>
      </c>
      <c r="Q554" t="s">
        <v>4875</v>
      </c>
      <c r="R554" t="s">
        <v>4876</v>
      </c>
      <c r="S554" t="s">
        <v>2895</v>
      </c>
      <c r="T554" t="s">
        <v>2896</v>
      </c>
      <c r="U554" t="s">
        <v>2897</v>
      </c>
    </row>
    <row r="555" spans="1:21" hidden="1">
      <c r="A555" t="s">
        <v>1213</v>
      </c>
      <c r="B555" t="s">
        <v>4872</v>
      </c>
      <c r="C555" t="s">
        <v>4877</v>
      </c>
      <c r="D555" t="s">
        <v>17</v>
      </c>
      <c r="E555" t="s">
        <v>2</v>
      </c>
      <c r="F555" t="s">
        <v>50</v>
      </c>
      <c r="G555" t="s">
        <v>51</v>
      </c>
      <c r="H555" t="s">
        <v>3625</v>
      </c>
      <c r="I555" t="s">
        <v>52</v>
      </c>
      <c r="J555" t="s">
        <v>53</v>
      </c>
      <c r="K555" t="s">
        <v>54</v>
      </c>
      <c r="L555" t="s">
        <v>55</v>
      </c>
      <c r="O555" t="s">
        <v>56</v>
      </c>
      <c r="P555" t="s">
        <v>57</v>
      </c>
      <c r="Q555" t="s">
        <v>4878</v>
      </c>
      <c r="R555" t="s">
        <v>3627</v>
      </c>
      <c r="S555" t="s">
        <v>2895</v>
      </c>
      <c r="T555" t="s">
        <v>2896</v>
      </c>
      <c r="U555" t="s">
        <v>2897</v>
      </c>
    </row>
    <row r="556" spans="1:21" hidden="1">
      <c r="A556" t="s">
        <v>1215</v>
      </c>
      <c r="B556" t="s">
        <v>4872</v>
      </c>
      <c r="C556" t="s">
        <v>3314</v>
      </c>
      <c r="D556" t="s">
        <v>17</v>
      </c>
      <c r="E556" t="s">
        <v>2</v>
      </c>
      <c r="F556" t="s">
        <v>50</v>
      </c>
      <c r="G556" t="s">
        <v>51</v>
      </c>
      <c r="H556" t="s">
        <v>4879</v>
      </c>
      <c r="I556" t="s">
        <v>52</v>
      </c>
      <c r="J556" t="s">
        <v>126</v>
      </c>
      <c r="K556" t="s">
        <v>54</v>
      </c>
      <c r="L556" t="s">
        <v>55</v>
      </c>
      <c r="O556" t="s">
        <v>56</v>
      </c>
      <c r="P556" t="s">
        <v>57</v>
      </c>
      <c r="Q556" t="s">
        <v>4880</v>
      </c>
      <c r="R556" t="s">
        <v>4881</v>
      </c>
      <c r="S556" t="s">
        <v>2895</v>
      </c>
      <c r="T556" t="s">
        <v>2896</v>
      </c>
      <c r="U556" t="s">
        <v>2897</v>
      </c>
    </row>
    <row r="557" spans="1:21" hidden="1">
      <c r="A557" t="s">
        <v>1217</v>
      </c>
      <c r="B557" t="s">
        <v>4872</v>
      </c>
      <c r="C557" t="s">
        <v>4291</v>
      </c>
      <c r="D557" t="s">
        <v>17</v>
      </c>
      <c r="E557" t="s">
        <v>2</v>
      </c>
      <c r="F557" t="s">
        <v>149</v>
      </c>
      <c r="G557" t="s">
        <v>72</v>
      </c>
      <c r="H557" t="s">
        <v>4590</v>
      </c>
      <c r="I557" t="s">
        <v>52</v>
      </c>
      <c r="J557" t="s">
        <v>316</v>
      </c>
      <c r="K557" t="s">
        <v>54</v>
      </c>
      <c r="L557" t="s">
        <v>74</v>
      </c>
      <c r="O557" t="s">
        <v>75</v>
      </c>
      <c r="P557" t="s">
        <v>76</v>
      </c>
      <c r="Q557" t="s">
        <v>4882</v>
      </c>
      <c r="R557" t="s">
        <v>4590</v>
      </c>
      <c r="S557" t="s">
        <v>2895</v>
      </c>
      <c r="T557" t="s">
        <v>2896</v>
      </c>
      <c r="U557" t="s">
        <v>2897</v>
      </c>
    </row>
    <row r="558" spans="1:21" hidden="1">
      <c r="A558" t="s">
        <v>1219</v>
      </c>
      <c r="B558" t="s">
        <v>4872</v>
      </c>
      <c r="C558" t="s">
        <v>3487</v>
      </c>
      <c r="D558" t="s">
        <v>17</v>
      </c>
      <c r="E558" t="s">
        <v>2</v>
      </c>
      <c r="F558" t="s">
        <v>50</v>
      </c>
      <c r="G558" t="s">
        <v>51</v>
      </c>
      <c r="H558" t="s">
        <v>4883</v>
      </c>
      <c r="I558" t="s">
        <v>52</v>
      </c>
      <c r="J558" t="s">
        <v>196</v>
      </c>
      <c r="K558" t="s">
        <v>54</v>
      </c>
      <c r="L558" t="s">
        <v>55</v>
      </c>
      <c r="O558" t="s">
        <v>197</v>
      </c>
      <c r="P558" t="s">
        <v>198</v>
      </c>
      <c r="Q558" t="s">
        <v>4884</v>
      </c>
      <c r="R558" t="s">
        <v>4885</v>
      </c>
      <c r="S558" t="s">
        <v>2895</v>
      </c>
      <c r="T558" t="s">
        <v>2896</v>
      </c>
      <c r="U558" t="s">
        <v>2897</v>
      </c>
    </row>
    <row r="559" spans="1:21" hidden="1">
      <c r="A559" t="s">
        <v>1221</v>
      </c>
      <c r="B559" t="s">
        <v>4872</v>
      </c>
      <c r="C559" t="s">
        <v>4423</v>
      </c>
      <c r="D559" t="s">
        <v>17</v>
      </c>
      <c r="E559" t="s">
        <v>2</v>
      </c>
      <c r="F559" t="s">
        <v>50</v>
      </c>
      <c r="G559" t="s">
        <v>100</v>
      </c>
      <c r="H559" t="s">
        <v>2969</v>
      </c>
      <c r="I559" t="s">
        <v>52</v>
      </c>
      <c r="J559" t="s">
        <v>101</v>
      </c>
      <c r="K559" t="s">
        <v>54</v>
      </c>
      <c r="L559" t="s">
        <v>102</v>
      </c>
      <c r="O559" t="s">
        <v>103</v>
      </c>
      <c r="P559" t="s">
        <v>104</v>
      </c>
      <c r="Q559" t="s">
        <v>4886</v>
      </c>
      <c r="R559" t="s">
        <v>2971</v>
      </c>
      <c r="S559" t="s">
        <v>2895</v>
      </c>
      <c r="T559" t="s">
        <v>2896</v>
      </c>
      <c r="U559" t="s">
        <v>2897</v>
      </c>
    </row>
    <row r="560" spans="1:21" hidden="1">
      <c r="A560" t="s">
        <v>1223</v>
      </c>
      <c r="B560" t="s">
        <v>4872</v>
      </c>
      <c r="C560" t="s">
        <v>4887</v>
      </c>
      <c r="D560" t="s">
        <v>17</v>
      </c>
      <c r="E560" t="s">
        <v>2</v>
      </c>
      <c r="F560" t="s">
        <v>50</v>
      </c>
      <c r="G560" t="s">
        <v>100</v>
      </c>
      <c r="H560" t="s">
        <v>2969</v>
      </c>
      <c r="I560" t="s">
        <v>52</v>
      </c>
      <c r="J560" t="s">
        <v>101</v>
      </c>
      <c r="K560" t="s">
        <v>54</v>
      </c>
      <c r="L560" t="s">
        <v>102</v>
      </c>
      <c r="O560" t="s">
        <v>103</v>
      </c>
      <c r="P560" t="s">
        <v>104</v>
      </c>
      <c r="Q560" t="s">
        <v>4888</v>
      </c>
      <c r="R560" t="s">
        <v>2971</v>
      </c>
      <c r="S560" t="s">
        <v>2895</v>
      </c>
      <c r="T560" t="s">
        <v>2896</v>
      </c>
      <c r="U560" t="s">
        <v>2897</v>
      </c>
    </row>
    <row r="561" spans="1:21" hidden="1">
      <c r="A561" t="s">
        <v>1225</v>
      </c>
      <c r="B561" t="s">
        <v>4889</v>
      </c>
      <c r="C561" t="s">
        <v>3498</v>
      </c>
      <c r="D561" t="s">
        <v>17</v>
      </c>
      <c r="E561" t="s">
        <v>2</v>
      </c>
      <c r="F561" t="s">
        <v>50</v>
      </c>
      <c r="G561" t="s">
        <v>51</v>
      </c>
      <c r="H561" t="s">
        <v>4890</v>
      </c>
      <c r="I561" t="s">
        <v>52</v>
      </c>
      <c r="J561" t="s">
        <v>196</v>
      </c>
      <c r="K561" t="s">
        <v>54</v>
      </c>
      <c r="L561" t="s">
        <v>55</v>
      </c>
      <c r="O561" t="s">
        <v>197</v>
      </c>
      <c r="P561" t="s">
        <v>198</v>
      </c>
      <c r="Q561" t="s">
        <v>4891</v>
      </c>
      <c r="R561" t="s">
        <v>4892</v>
      </c>
      <c r="S561" t="s">
        <v>2895</v>
      </c>
      <c r="T561" t="s">
        <v>2896</v>
      </c>
      <c r="U561" t="s">
        <v>2897</v>
      </c>
    </row>
    <row r="562" spans="1:21" hidden="1">
      <c r="A562" t="s">
        <v>1227</v>
      </c>
      <c r="B562" t="s">
        <v>4889</v>
      </c>
      <c r="C562" t="s">
        <v>4893</v>
      </c>
      <c r="D562" t="s">
        <v>17</v>
      </c>
      <c r="E562" t="s">
        <v>2</v>
      </c>
      <c r="F562" t="s">
        <v>50</v>
      </c>
      <c r="G562" t="s">
        <v>51</v>
      </c>
      <c r="H562" t="s">
        <v>4894</v>
      </c>
      <c r="I562" t="s">
        <v>52</v>
      </c>
      <c r="J562" t="s">
        <v>196</v>
      </c>
      <c r="K562" t="s">
        <v>54</v>
      </c>
      <c r="L562" t="s">
        <v>55</v>
      </c>
      <c r="O562" t="s">
        <v>197</v>
      </c>
      <c r="P562" t="s">
        <v>198</v>
      </c>
      <c r="Q562" t="s">
        <v>4895</v>
      </c>
      <c r="R562" t="s">
        <v>4896</v>
      </c>
      <c r="S562" t="s">
        <v>2895</v>
      </c>
      <c r="T562" t="s">
        <v>2896</v>
      </c>
      <c r="U562" t="s">
        <v>2897</v>
      </c>
    </row>
    <row r="563" spans="1:21" hidden="1">
      <c r="A563" t="s">
        <v>1229</v>
      </c>
      <c r="B563" t="s">
        <v>4889</v>
      </c>
      <c r="C563" t="s">
        <v>4897</v>
      </c>
      <c r="D563" t="s">
        <v>17</v>
      </c>
      <c r="E563" t="s">
        <v>2</v>
      </c>
      <c r="F563" t="s">
        <v>50</v>
      </c>
      <c r="G563" t="s">
        <v>51</v>
      </c>
      <c r="H563" t="s">
        <v>4898</v>
      </c>
      <c r="I563" t="s">
        <v>52</v>
      </c>
      <c r="J563" t="s">
        <v>121</v>
      </c>
      <c r="K563" t="s">
        <v>54</v>
      </c>
      <c r="L563" t="s">
        <v>55</v>
      </c>
      <c r="O563" t="s">
        <v>122</v>
      </c>
      <c r="P563" t="s">
        <v>123</v>
      </c>
      <c r="Q563" t="s">
        <v>4899</v>
      </c>
      <c r="R563" t="s">
        <v>4900</v>
      </c>
      <c r="S563" t="s">
        <v>2895</v>
      </c>
      <c r="T563" t="s">
        <v>2896</v>
      </c>
      <c r="U563" t="s">
        <v>2897</v>
      </c>
    </row>
    <row r="564" spans="1:21" hidden="1">
      <c r="A564" t="s">
        <v>1231</v>
      </c>
      <c r="B564" t="s">
        <v>4889</v>
      </c>
      <c r="C564" t="s">
        <v>4337</v>
      </c>
      <c r="D564" t="s">
        <v>17</v>
      </c>
      <c r="E564" t="s">
        <v>2</v>
      </c>
      <c r="F564" t="s">
        <v>50</v>
      </c>
      <c r="G564" t="s">
        <v>100</v>
      </c>
      <c r="H564" t="s">
        <v>4901</v>
      </c>
      <c r="I564" t="s">
        <v>52</v>
      </c>
      <c r="J564" t="s">
        <v>114</v>
      </c>
      <c r="K564" t="s">
        <v>54</v>
      </c>
      <c r="L564" t="s">
        <v>102</v>
      </c>
      <c r="O564" t="s">
        <v>103</v>
      </c>
      <c r="P564" t="s">
        <v>104</v>
      </c>
      <c r="Q564" t="s">
        <v>4902</v>
      </c>
      <c r="R564" t="s">
        <v>4903</v>
      </c>
      <c r="S564" t="s">
        <v>2895</v>
      </c>
      <c r="T564" t="s">
        <v>2896</v>
      </c>
      <c r="U564" t="s">
        <v>2897</v>
      </c>
    </row>
    <row r="565" spans="1:21" hidden="1">
      <c r="A565" t="s">
        <v>1233</v>
      </c>
      <c r="B565" t="s">
        <v>4889</v>
      </c>
      <c r="C565" t="s">
        <v>3576</v>
      </c>
      <c r="D565" t="s">
        <v>17</v>
      </c>
      <c r="E565" t="s">
        <v>2</v>
      </c>
      <c r="F565" t="s">
        <v>149</v>
      </c>
      <c r="G565" t="s">
        <v>72</v>
      </c>
      <c r="H565" t="s">
        <v>4904</v>
      </c>
      <c r="I565" t="s">
        <v>52</v>
      </c>
      <c r="J565" t="s">
        <v>611</v>
      </c>
      <c r="K565" t="s">
        <v>54</v>
      </c>
      <c r="L565" t="s">
        <v>74</v>
      </c>
      <c r="O565" t="s">
        <v>75</v>
      </c>
      <c r="P565" t="s">
        <v>76</v>
      </c>
      <c r="Q565" t="s">
        <v>4905</v>
      </c>
      <c r="R565" t="s">
        <v>4904</v>
      </c>
      <c r="S565" t="s">
        <v>2895</v>
      </c>
      <c r="T565" t="s">
        <v>2896</v>
      </c>
      <c r="U565" t="s">
        <v>2897</v>
      </c>
    </row>
    <row r="566" spans="1:21" hidden="1">
      <c r="A566" t="s">
        <v>1235</v>
      </c>
      <c r="B566" t="s">
        <v>4889</v>
      </c>
      <c r="C566" t="s">
        <v>3373</v>
      </c>
      <c r="D566" t="s">
        <v>17</v>
      </c>
      <c r="E566" t="s">
        <v>2</v>
      </c>
      <c r="F566" t="s">
        <v>50</v>
      </c>
      <c r="G566" t="s">
        <v>51</v>
      </c>
      <c r="H566" t="s">
        <v>4906</v>
      </c>
      <c r="I566" t="s">
        <v>52</v>
      </c>
      <c r="J566" t="s">
        <v>196</v>
      </c>
      <c r="K566" t="s">
        <v>54</v>
      </c>
      <c r="L566" t="s">
        <v>55</v>
      </c>
      <c r="O566" t="s">
        <v>197</v>
      </c>
      <c r="P566" t="s">
        <v>198</v>
      </c>
      <c r="Q566" t="s">
        <v>4907</v>
      </c>
      <c r="R566" t="s">
        <v>4908</v>
      </c>
      <c r="S566" t="s">
        <v>2895</v>
      </c>
      <c r="T566" t="s">
        <v>2896</v>
      </c>
      <c r="U566" t="s">
        <v>2897</v>
      </c>
    </row>
    <row r="567" spans="1:21" hidden="1">
      <c r="A567" t="s">
        <v>1237</v>
      </c>
      <c r="B567" t="s">
        <v>4889</v>
      </c>
      <c r="C567" t="s">
        <v>4909</v>
      </c>
      <c r="D567" t="s">
        <v>17</v>
      </c>
      <c r="E567" t="s">
        <v>2</v>
      </c>
      <c r="F567" t="s">
        <v>50</v>
      </c>
      <c r="G567" t="s">
        <v>51</v>
      </c>
      <c r="H567" t="s">
        <v>4910</v>
      </c>
      <c r="I567" t="s">
        <v>52</v>
      </c>
      <c r="J567" t="s">
        <v>126</v>
      </c>
      <c r="K567" t="s">
        <v>54</v>
      </c>
      <c r="L567" t="s">
        <v>55</v>
      </c>
      <c r="O567" t="s">
        <v>56</v>
      </c>
      <c r="P567" t="s">
        <v>57</v>
      </c>
      <c r="Q567" t="s">
        <v>4911</v>
      </c>
      <c r="R567" t="s">
        <v>4912</v>
      </c>
      <c r="S567" t="s">
        <v>2895</v>
      </c>
      <c r="T567" t="s">
        <v>2896</v>
      </c>
      <c r="U567" t="s">
        <v>2897</v>
      </c>
    </row>
    <row r="568" spans="1:21" hidden="1">
      <c r="A568" t="s">
        <v>1239</v>
      </c>
      <c r="B568" t="s">
        <v>4913</v>
      </c>
      <c r="C568" t="s">
        <v>4914</v>
      </c>
      <c r="D568" t="s">
        <v>17</v>
      </c>
      <c r="E568" t="s">
        <v>2</v>
      </c>
      <c r="F568" t="s">
        <v>50</v>
      </c>
      <c r="G568" t="s">
        <v>51</v>
      </c>
      <c r="H568" t="s">
        <v>4915</v>
      </c>
      <c r="I568" t="s">
        <v>52</v>
      </c>
      <c r="J568" t="s">
        <v>53</v>
      </c>
      <c r="K568" t="s">
        <v>54</v>
      </c>
      <c r="L568" t="s">
        <v>55</v>
      </c>
      <c r="O568" t="s">
        <v>56</v>
      </c>
      <c r="P568" t="s">
        <v>57</v>
      </c>
      <c r="Q568" t="s">
        <v>4916</v>
      </c>
      <c r="R568" t="s">
        <v>4917</v>
      </c>
      <c r="S568" t="s">
        <v>2895</v>
      </c>
      <c r="T568" t="s">
        <v>2896</v>
      </c>
      <c r="U568" t="s">
        <v>2897</v>
      </c>
    </row>
    <row r="569" spans="1:21" hidden="1">
      <c r="A569" t="s">
        <v>1241</v>
      </c>
      <c r="B569" t="s">
        <v>4913</v>
      </c>
      <c r="C569" t="s">
        <v>4918</v>
      </c>
      <c r="D569" t="s">
        <v>17</v>
      </c>
      <c r="E569" t="s">
        <v>2</v>
      </c>
      <c r="F569" t="s">
        <v>50</v>
      </c>
      <c r="G569" t="s">
        <v>51</v>
      </c>
      <c r="H569" t="s">
        <v>4919</v>
      </c>
      <c r="I569" t="s">
        <v>52</v>
      </c>
      <c r="J569" t="s">
        <v>81</v>
      </c>
      <c r="K569" t="s">
        <v>54</v>
      </c>
      <c r="L569" t="s">
        <v>55</v>
      </c>
      <c r="O569" t="s">
        <v>82</v>
      </c>
      <c r="P569" t="s">
        <v>83</v>
      </c>
      <c r="Q569" t="s">
        <v>4920</v>
      </c>
      <c r="R569" t="s">
        <v>4921</v>
      </c>
      <c r="S569" t="s">
        <v>2895</v>
      </c>
      <c r="T569" t="s">
        <v>2896</v>
      </c>
      <c r="U569" t="s">
        <v>2897</v>
      </c>
    </row>
    <row r="570" spans="1:21" hidden="1">
      <c r="A570" t="s">
        <v>1243</v>
      </c>
      <c r="B570" t="s">
        <v>4913</v>
      </c>
      <c r="C570" t="s">
        <v>3959</v>
      </c>
      <c r="D570" t="s">
        <v>17</v>
      </c>
      <c r="E570" t="s">
        <v>2</v>
      </c>
      <c r="F570" t="s">
        <v>50</v>
      </c>
      <c r="G570" t="s">
        <v>51</v>
      </c>
      <c r="H570" t="s">
        <v>4922</v>
      </c>
      <c r="I570" t="s">
        <v>52</v>
      </c>
      <c r="J570" t="s">
        <v>126</v>
      </c>
      <c r="K570" t="s">
        <v>54</v>
      </c>
      <c r="L570" t="s">
        <v>55</v>
      </c>
      <c r="O570" t="s">
        <v>56</v>
      </c>
      <c r="P570" t="s">
        <v>57</v>
      </c>
      <c r="Q570" t="s">
        <v>4923</v>
      </c>
      <c r="R570" t="s">
        <v>4924</v>
      </c>
      <c r="S570" t="s">
        <v>2895</v>
      </c>
      <c r="T570" t="s">
        <v>2896</v>
      </c>
      <c r="U570" t="s">
        <v>2897</v>
      </c>
    </row>
    <row r="571" spans="1:21" hidden="1">
      <c r="A571" t="s">
        <v>1245</v>
      </c>
      <c r="B571" t="s">
        <v>4913</v>
      </c>
      <c r="C571" t="s">
        <v>4925</v>
      </c>
      <c r="D571" t="s">
        <v>17</v>
      </c>
      <c r="E571" t="s">
        <v>2</v>
      </c>
      <c r="F571" t="s">
        <v>50</v>
      </c>
      <c r="G571" t="s">
        <v>51</v>
      </c>
      <c r="H571" t="s">
        <v>4926</v>
      </c>
      <c r="I571" t="s">
        <v>52</v>
      </c>
      <c r="J571" t="s">
        <v>81</v>
      </c>
      <c r="K571" t="s">
        <v>54</v>
      </c>
      <c r="L571" t="s">
        <v>55</v>
      </c>
      <c r="O571" t="s">
        <v>82</v>
      </c>
      <c r="P571" t="s">
        <v>83</v>
      </c>
      <c r="Q571" t="s">
        <v>4927</v>
      </c>
      <c r="R571" t="s">
        <v>4928</v>
      </c>
      <c r="S571" t="s">
        <v>2895</v>
      </c>
      <c r="T571" t="s">
        <v>2896</v>
      </c>
      <c r="U571" t="s">
        <v>2897</v>
      </c>
    </row>
    <row r="572" spans="1:21" hidden="1">
      <c r="A572" t="s">
        <v>1247</v>
      </c>
      <c r="B572" t="s">
        <v>4913</v>
      </c>
      <c r="C572" t="s">
        <v>4688</v>
      </c>
      <c r="D572" t="s">
        <v>17</v>
      </c>
      <c r="E572" t="s">
        <v>2</v>
      </c>
      <c r="F572" t="s">
        <v>50</v>
      </c>
      <c r="G572" t="s">
        <v>100</v>
      </c>
      <c r="H572" t="s">
        <v>3451</v>
      </c>
      <c r="I572" t="s">
        <v>52</v>
      </c>
      <c r="J572" t="s">
        <v>384</v>
      </c>
      <c r="K572" t="s">
        <v>54</v>
      </c>
      <c r="L572" t="s">
        <v>102</v>
      </c>
      <c r="O572" t="s">
        <v>178</v>
      </c>
      <c r="P572" t="s">
        <v>385</v>
      </c>
      <c r="Q572" t="s">
        <v>4929</v>
      </c>
      <c r="R572" t="s">
        <v>3453</v>
      </c>
      <c r="S572" t="s">
        <v>2895</v>
      </c>
      <c r="T572" t="s">
        <v>2896</v>
      </c>
      <c r="U572" t="s">
        <v>2897</v>
      </c>
    </row>
    <row r="573" spans="1:21" hidden="1">
      <c r="A573" t="s">
        <v>1249</v>
      </c>
      <c r="B573" t="s">
        <v>4913</v>
      </c>
      <c r="C573" t="s">
        <v>4930</v>
      </c>
      <c r="D573" t="s">
        <v>17</v>
      </c>
      <c r="E573" t="s">
        <v>2</v>
      </c>
      <c r="F573" t="s">
        <v>50</v>
      </c>
      <c r="G573" t="s">
        <v>51</v>
      </c>
      <c r="H573" t="s">
        <v>4931</v>
      </c>
      <c r="I573" t="s">
        <v>52</v>
      </c>
      <c r="J573" t="s">
        <v>81</v>
      </c>
      <c r="K573" t="s">
        <v>54</v>
      </c>
      <c r="L573" t="s">
        <v>55</v>
      </c>
      <c r="O573" t="s">
        <v>82</v>
      </c>
      <c r="P573" t="s">
        <v>83</v>
      </c>
      <c r="Q573" t="s">
        <v>4932</v>
      </c>
      <c r="R573" t="s">
        <v>4933</v>
      </c>
      <c r="S573" t="s">
        <v>2895</v>
      </c>
      <c r="T573" t="s">
        <v>2896</v>
      </c>
      <c r="U573" t="s">
        <v>2897</v>
      </c>
    </row>
    <row r="574" spans="1:21" hidden="1">
      <c r="A574" t="s">
        <v>1251</v>
      </c>
      <c r="B574" t="s">
        <v>4934</v>
      </c>
      <c r="C574" t="s">
        <v>4187</v>
      </c>
      <c r="D574" t="s">
        <v>17</v>
      </c>
      <c r="E574" t="s">
        <v>2</v>
      </c>
      <c r="F574" t="s">
        <v>50</v>
      </c>
      <c r="G574" t="s">
        <v>51</v>
      </c>
      <c r="H574" t="s">
        <v>4935</v>
      </c>
      <c r="I574" t="s">
        <v>52</v>
      </c>
      <c r="J574" t="s">
        <v>81</v>
      </c>
      <c r="K574" t="s">
        <v>54</v>
      </c>
      <c r="L574" t="s">
        <v>55</v>
      </c>
      <c r="O574" t="s">
        <v>82</v>
      </c>
      <c r="P574" t="s">
        <v>83</v>
      </c>
      <c r="Q574" t="s">
        <v>4936</v>
      </c>
      <c r="R574" t="s">
        <v>4937</v>
      </c>
      <c r="S574" t="s">
        <v>2895</v>
      </c>
      <c r="T574" t="s">
        <v>2896</v>
      </c>
      <c r="U574" t="s">
        <v>2897</v>
      </c>
    </row>
    <row r="575" spans="1:21" hidden="1">
      <c r="A575" t="s">
        <v>1253</v>
      </c>
      <c r="B575" t="s">
        <v>4934</v>
      </c>
      <c r="C575" t="s">
        <v>4938</v>
      </c>
      <c r="D575" t="s">
        <v>17</v>
      </c>
      <c r="E575" t="s">
        <v>2</v>
      </c>
      <c r="F575" t="s">
        <v>50</v>
      </c>
      <c r="G575" t="s">
        <v>51</v>
      </c>
      <c r="H575" t="s">
        <v>4939</v>
      </c>
      <c r="I575" t="s">
        <v>52</v>
      </c>
      <c r="J575" t="s">
        <v>65</v>
      </c>
      <c r="K575" t="s">
        <v>54</v>
      </c>
      <c r="L575" t="s">
        <v>55</v>
      </c>
      <c r="O575" t="s">
        <v>66</v>
      </c>
      <c r="P575" t="s">
        <v>67</v>
      </c>
      <c r="Q575" t="s">
        <v>4940</v>
      </c>
      <c r="R575" t="s">
        <v>4941</v>
      </c>
      <c r="S575" t="s">
        <v>2895</v>
      </c>
      <c r="T575" t="s">
        <v>2896</v>
      </c>
      <c r="U575" t="s">
        <v>2897</v>
      </c>
    </row>
    <row r="576" spans="1:21" hidden="1">
      <c r="A576" t="s">
        <v>1255</v>
      </c>
      <c r="B576" t="s">
        <v>4934</v>
      </c>
      <c r="C576" t="s">
        <v>4942</v>
      </c>
      <c r="D576" t="s">
        <v>17</v>
      </c>
      <c r="E576" t="s">
        <v>2</v>
      </c>
      <c r="F576" t="s">
        <v>50</v>
      </c>
      <c r="G576" t="s">
        <v>51</v>
      </c>
      <c r="H576" t="s">
        <v>4943</v>
      </c>
      <c r="I576" t="s">
        <v>52</v>
      </c>
      <c r="J576" t="s">
        <v>60</v>
      </c>
      <c r="K576" t="s">
        <v>54</v>
      </c>
      <c r="L576" t="s">
        <v>55</v>
      </c>
      <c r="O576" t="s">
        <v>61</v>
      </c>
      <c r="P576" t="s">
        <v>62</v>
      </c>
      <c r="Q576" t="s">
        <v>4944</v>
      </c>
      <c r="R576" t="s">
        <v>4945</v>
      </c>
      <c r="S576" t="s">
        <v>2895</v>
      </c>
      <c r="T576" t="s">
        <v>2896</v>
      </c>
      <c r="U576" t="s">
        <v>2897</v>
      </c>
    </row>
    <row r="577" spans="1:21" hidden="1">
      <c r="A577" t="s">
        <v>1257</v>
      </c>
      <c r="B577" t="s">
        <v>4934</v>
      </c>
      <c r="C577" t="s">
        <v>4946</v>
      </c>
      <c r="D577" t="s">
        <v>17</v>
      </c>
      <c r="E577" t="s">
        <v>2</v>
      </c>
      <c r="F577" t="s">
        <v>50</v>
      </c>
      <c r="G577" t="s">
        <v>100</v>
      </c>
      <c r="H577" t="s">
        <v>4947</v>
      </c>
      <c r="I577" t="s">
        <v>52</v>
      </c>
      <c r="J577" t="s">
        <v>114</v>
      </c>
      <c r="K577" t="s">
        <v>54</v>
      </c>
      <c r="L577" t="s">
        <v>102</v>
      </c>
      <c r="O577" t="s">
        <v>103</v>
      </c>
      <c r="P577" t="s">
        <v>104</v>
      </c>
      <c r="Q577" t="s">
        <v>4948</v>
      </c>
      <c r="R577" t="s">
        <v>4949</v>
      </c>
      <c r="S577" t="s">
        <v>2895</v>
      </c>
      <c r="T577" t="s">
        <v>2896</v>
      </c>
      <c r="U577" t="s">
        <v>2897</v>
      </c>
    </row>
    <row r="578" spans="1:21" hidden="1">
      <c r="A578" t="s">
        <v>1259</v>
      </c>
      <c r="B578" t="s">
        <v>4934</v>
      </c>
      <c r="C578" t="s">
        <v>4950</v>
      </c>
      <c r="D578" t="s">
        <v>17</v>
      </c>
      <c r="E578" t="s">
        <v>2</v>
      </c>
      <c r="F578" t="s">
        <v>50</v>
      </c>
      <c r="G578" t="s">
        <v>100</v>
      </c>
      <c r="H578" t="s">
        <v>2969</v>
      </c>
      <c r="I578" t="s">
        <v>52</v>
      </c>
      <c r="J578" t="s">
        <v>101</v>
      </c>
      <c r="K578" t="s">
        <v>54</v>
      </c>
      <c r="L578" t="s">
        <v>102</v>
      </c>
      <c r="O578" t="s">
        <v>103</v>
      </c>
      <c r="P578" t="s">
        <v>104</v>
      </c>
      <c r="Q578" t="s">
        <v>4951</v>
      </c>
      <c r="R578" t="s">
        <v>2971</v>
      </c>
      <c r="S578" t="s">
        <v>2895</v>
      </c>
      <c r="T578" t="s">
        <v>2896</v>
      </c>
      <c r="U578" t="s">
        <v>2897</v>
      </c>
    </row>
    <row r="579" spans="1:21" hidden="1">
      <c r="A579" t="s">
        <v>1261</v>
      </c>
      <c r="B579" t="s">
        <v>4934</v>
      </c>
      <c r="C579" t="s">
        <v>4952</v>
      </c>
      <c r="D579" t="s">
        <v>17</v>
      </c>
      <c r="E579" t="s">
        <v>2</v>
      </c>
      <c r="F579" t="s">
        <v>50</v>
      </c>
      <c r="G579" t="s">
        <v>100</v>
      </c>
      <c r="H579" t="s">
        <v>4953</v>
      </c>
      <c r="I579" t="s">
        <v>52</v>
      </c>
      <c r="J579" t="s">
        <v>114</v>
      </c>
      <c r="K579" t="s">
        <v>54</v>
      </c>
      <c r="L579" t="s">
        <v>102</v>
      </c>
      <c r="O579" t="s">
        <v>103</v>
      </c>
      <c r="P579" t="s">
        <v>104</v>
      </c>
      <c r="Q579" t="s">
        <v>4954</v>
      </c>
      <c r="R579" t="s">
        <v>4955</v>
      </c>
      <c r="S579" t="s">
        <v>2895</v>
      </c>
      <c r="T579" t="s">
        <v>2896</v>
      </c>
      <c r="U579" t="s">
        <v>2897</v>
      </c>
    </row>
    <row r="580" spans="1:21" hidden="1">
      <c r="A580" t="s">
        <v>1263</v>
      </c>
      <c r="B580" t="s">
        <v>4934</v>
      </c>
      <c r="C580" t="s">
        <v>4956</v>
      </c>
      <c r="D580" t="s">
        <v>17</v>
      </c>
      <c r="E580" t="s">
        <v>2</v>
      </c>
      <c r="F580" t="s">
        <v>50</v>
      </c>
      <c r="G580" t="s">
        <v>72</v>
      </c>
      <c r="H580" t="s">
        <v>4957</v>
      </c>
      <c r="I580" t="s">
        <v>52</v>
      </c>
      <c r="J580" t="s">
        <v>606</v>
      </c>
      <c r="K580" t="s">
        <v>54</v>
      </c>
      <c r="L580" t="s">
        <v>74</v>
      </c>
      <c r="O580" t="s">
        <v>75</v>
      </c>
      <c r="P580" t="s">
        <v>76</v>
      </c>
      <c r="Q580" t="s">
        <v>4958</v>
      </c>
      <c r="R580" t="s">
        <v>4959</v>
      </c>
      <c r="S580" t="s">
        <v>2895</v>
      </c>
      <c r="T580" t="s">
        <v>2896</v>
      </c>
      <c r="U580" t="s">
        <v>2897</v>
      </c>
    </row>
    <row r="581" spans="1:21" hidden="1">
      <c r="A581" t="s">
        <v>1265</v>
      </c>
      <c r="B581" t="s">
        <v>4960</v>
      </c>
      <c r="C581" t="s">
        <v>3325</v>
      </c>
      <c r="D581" t="s">
        <v>17</v>
      </c>
      <c r="E581" t="s">
        <v>2</v>
      </c>
      <c r="F581" t="s">
        <v>50</v>
      </c>
      <c r="G581" t="s">
        <v>51</v>
      </c>
      <c r="H581" t="s">
        <v>4961</v>
      </c>
      <c r="I581" t="s">
        <v>52</v>
      </c>
      <c r="J581" t="s">
        <v>60</v>
      </c>
      <c r="K581" t="s">
        <v>54</v>
      </c>
      <c r="L581" t="s">
        <v>55</v>
      </c>
      <c r="O581" t="s">
        <v>61</v>
      </c>
      <c r="P581" t="s">
        <v>62</v>
      </c>
      <c r="Q581" t="s">
        <v>4962</v>
      </c>
      <c r="R581" t="s">
        <v>4963</v>
      </c>
      <c r="S581" t="s">
        <v>2895</v>
      </c>
      <c r="T581" t="s">
        <v>2896</v>
      </c>
      <c r="U581" t="s">
        <v>2897</v>
      </c>
    </row>
    <row r="582" spans="1:21" hidden="1">
      <c r="A582" t="s">
        <v>1267</v>
      </c>
      <c r="B582" t="s">
        <v>4960</v>
      </c>
      <c r="C582" t="s">
        <v>4105</v>
      </c>
      <c r="D582" t="s">
        <v>17</v>
      </c>
      <c r="E582" t="s">
        <v>2</v>
      </c>
      <c r="F582" t="s">
        <v>50</v>
      </c>
      <c r="G582" t="s">
        <v>51</v>
      </c>
      <c r="H582" t="s">
        <v>4964</v>
      </c>
      <c r="I582" t="s">
        <v>52</v>
      </c>
      <c r="J582" t="s">
        <v>121</v>
      </c>
      <c r="K582" t="s">
        <v>54</v>
      </c>
      <c r="L582" t="s">
        <v>55</v>
      </c>
      <c r="O582" t="s">
        <v>122</v>
      </c>
      <c r="P582" t="s">
        <v>123</v>
      </c>
      <c r="Q582" t="s">
        <v>4965</v>
      </c>
      <c r="R582" t="s">
        <v>4966</v>
      </c>
      <c r="S582" t="s">
        <v>2895</v>
      </c>
      <c r="T582" t="s">
        <v>2896</v>
      </c>
      <c r="U582" t="s">
        <v>2897</v>
      </c>
    </row>
    <row r="583" spans="1:21" hidden="1">
      <c r="A583" t="s">
        <v>1269</v>
      </c>
      <c r="B583" t="s">
        <v>4960</v>
      </c>
      <c r="C583" t="s">
        <v>4967</v>
      </c>
      <c r="D583" t="s">
        <v>17</v>
      </c>
      <c r="E583" t="s">
        <v>2</v>
      </c>
      <c r="F583" t="s">
        <v>50</v>
      </c>
      <c r="G583" t="s">
        <v>51</v>
      </c>
      <c r="H583" t="s">
        <v>4968</v>
      </c>
      <c r="I583" t="s">
        <v>52</v>
      </c>
      <c r="J583" t="s">
        <v>53</v>
      </c>
      <c r="K583" t="s">
        <v>54</v>
      </c>
      <c r="L583" t="s">
        <v>55</v>
      </c>
      <c r="O583" t="s">
        <v>56</v>
      </c>
      <c r="P583" t="s">
        <v>57</v>
      </c>
      <c r="Q583" t="s">
        <v>4969</v>
      </c>
      <c r="R583" t="s">
        <v>4970</v>
      </c>
      <c r="S583" t="s">
        <v>2895</v>
      </c>
      <c r="T583" t="s">
        <v>2896</v>
      </c>
      <c r="U583" t="s">
        <v>2897</v>
      </c>
    </row>
    <row r="584" spans="1:21" hidden="1">
      <c r="A584" t="s">
        <v>1271</v>
      </c>
      <c r="B584" t="s">
        <v>4960</v>
      </c>
      <c r="C584" t="s">
        <v>4971</v>
      </c>
      <c r="D584" t="s">
        <v>17</v>
      </c>
      <c r="E584" t="s">
        <v>2</v>
      </c>
      <c r="F584" t="s">
        <v>50</v>
      </c>
      <c r="G584" t="s">
        <v>51</v>
      </c>
      <c r="H584" t="s">
        <v>4972</v>
      </c>
      <c r="I584" t="s">
        <v>52</v>
      </c>
      <c r="J584" t="s">
        <v>65</v>
      </c>
      <c r="K584" t="s">
        <v>54</v>
      </c>
      <c r="L584" t="s">
        <v>55</v>
      </c>
      <c r="O584" t="s">
        <v>66</v>
      </c>
      <c r="P584" t="s">
        <v>67</v>
      </c>
      <c r="Q584" t="s">
        <v>4973</v>
      </c>
      <c r="R584" t="s">
        <v>4974</v>
      </c>
      <c r="S584" t="s">
        <v>2895</v>
      </c>
      <c r="T584" t="s">
        <v>2896</v>
      </c>
      <c r="U584" t="s">
        <v>2897</v>
      </c>
    </row>
    <row r="585" spans="1:21" hidden="1">
      <c r="A585" t="s">
        <v>1273</v>
      </c>
      <c r="B585" t="s">
        <v>4960</v>
      </c>
      <c r="C585" t="s">
        <v>3028</v>
      </c>
      <c r="D585" t="s">
        <v>17</v>
      </c>
      <c r="E585" t="s">
        <v>2</v>
      </c>
      <c r="F585" t="s">
        <v>149</v>
      </c>
      <c r="G585" t="s">
        <v>72</v>
      </c>
      <c r="H585" t="s">
        <v>4975</v>
      </c>
      <c r="I585" t="s">
        <v>52</v>
      </c>
      <c r="J585" t="s">
        <v>316</v>
      </c>
      <c r="K585" t="s">
        <v>54</v>
      </c>
      <c r="L585" t="s">
        <v>74</v>
      </c>
      <c r="O585" t="s">
        <v>75</v>
      </c>
      <c r="P585" t="s">
        <v>76</v>
      </c>
      <c r="Q585" t="s">
        <v>4976</v>
      </c>
      <c r="R585" t="s">
        <v>4975</v>
      </c>
      <c r="S585" t="s">
        <v>2895</v>
      </c>
      <c r="T585" t="s">
        <v>2896</v>
      </c>
      <c r="U585" t="s">
        <v>2897</v>
      </c>
    </row>
    <row r="586" spans="1:21" hidden="1">
      <c r="A586" t="s">
        <v>1275</v>
      </c>
      <c r="B586" t="s">
        <v>4960</v>
      </c>
      <c r="C586" t="s">
        <v>4977</v>
      </c>
      <c r="D586" t="s">
        <v>17</v>
      </c>
      <c r="E586" t="s">
        <v>2</v>
      </c>
      <c r="F586" t="s">
        <v>50</v>
      </c>
      <c r="G586" t="s">
        <v>51</v>
      </c>
      <c r="H586" t="s">
        <v>4978</v>
      </c>
      <c r="I586" t="s">
        <v>52</v>
      </c>
      <c r="J586" t="s">
        <v>65</v>
      </c>
      <c r="K586" t="s">
        <v>54</v>
      </c>
      <c r="L586" t="s">
        <v>55</v>
      </c>
      <c r="O586" t="s">
        <v>66</v>
      </c>
      <c r="P586" t="s">
        <v>67</v>
      </c>
      <c r="Q586" t="s">
        <v>4979</v>
      </c>
      <c r="R586" t="s">
        <v>4980</v>
      </c>
      <c r="S586" t="s">
        <v>2895</v>
      </c>
      <c r="T586" t="s">
        <v>2896</v>
      </c>
      <c r="U586" t="s">
        <v>2897</v>
      </c>
    </row>
    <row r="587" spans="1:21" hidden="1">
      <c r="A587" t="s">
        <v>1277</v>
      </c>
      <c r="B587" t="s">
        <v>4981</v>
      </c>
      <c r="C587" t="s">
        <v>4982</v>
      </c>
      <c r="D587" t="s">
        <v>17</v>
      </c>
      <c r="E587" t="s">
        <v>2</v>
      </c>
      <c r="F587" t="s">
        <v>50</v>
      </c>
      <c r="G587" t="s">
        <v>51</v>
      </c>
      <c r="H587" t="s">
        <v>4983</v>
      </c>
      <c r="I587" t="s">
        <v>52</v>
      </c>
      <c r="J587" t="s">
        <v>53</v>
      </c>
      <c r="K587" t="s">
        <v>54</v>
      </c>
      <c r="L587" t="s">
        <v>55</v>
      </c>
      <c r="O587" t="s">
        <v>56</v>
      </c>
      <c r="P587" t="s">
        <v>57</v>
      </c>
      <c r="Q587" t="s">
        <v>4984</v>
      </c>
      <c r="R587" t="s">
        <v>4985</v>
      </c>
      <c r="S587" t="s">
        <v>2895</v>
      </c>
      <c r="T587" t="s">
        <v>2896</v>
      </c>
      <c r="U587" t="s">
        <v>2897</v>
      </c>
    </row>
    <row r="588" spans="1:21" hidden="1">
      <c r="A588" t="s">
        <v>1279</v>
      </c>
      <c r="B588" t="s">
        <v>4981</v>
      </c>
      <c r="C588" t="s">
        <v>4986</v>
      </c>
      <c r="D588" t="s">
        <v>17</v>
      </c>
      <c r="E588" t="s">
        <v>2</v>
      </c>
      <c r="F588" t="s">
        <v>50</v>
      </c>
      <c r="G588" t="s">
        <v>100</v>
      </c>
      <c r="H588" t="s">
        <v>4987</v>
      </c>
      <c r="I588" t="s">
        <v>52</v>
      </c>
      <c r="J588" t="s">
        <v>114</v>
      </c>
      <c r="K588" t="s">
        <v>54</v>
      </c>
      <c r="L588" t="s">
        <v>102</v>
      </c>
      <c r="O588" t="s">
        <v>103</v>
      </c>
      <c r="P588" t="s">
        <v>104</v>
      </c>
      <c r="Q588" t="s">
        <v>4988</v>
      </c>
      <c r="R588" t="s">
        <v>4989</v>
      </c>
      <c r="S588" t="s">
        <v>2895</v>
      </c>
      <c r="T588" t="s">
        <v>2896</v>
      </c>
      <c r="U588" t="s">
        <v>2897</v>
      </c>
    </row>
    <row r="589" spans="1:21" hidden="1">
      <c r="A589" t="s">
        <v>1281</v>
      </c>
      <c r="B589" t="s">
        <v>4981</v>
      </c>
      <c r="C589" t="s">
        <v>2999</v>
      </c>
      <c r="D589" t="s">
        <v>17</v>
      </c>
      <c r="E589" t="s">
        <v>2</v>
      </c>
      <c r="F589" t="s">
        <v>50</v>
      </c>
      <c r="G589" t="s">
        <v>51</v>
      </c>
      <c r="H589" t="s">
        <v>4990</v>
      </c>
      <c r="I589" t="s">
        <v>52</v>
      </c>
      <c r="J589" t="s">
        <v>126</v>
      </c>
      <c r="K589" t="s">
        <v>54</v>
      </c>
      <c r="L589" t="s">
        <v>55</v>
      </c>
      <c r="O589" t="s">
        <v>56</v>
      </c>
      <c r="P589" t="s">
        <v>57</v>
      </c>
      <c r="Q589" t="s">
        <v>4991</v>
      </c>
      <c r="R589" t="s">
        <v>4992</v>
      </c>
      <c r="S589" t="s">
        <v>2895</v>
      </c>
      <c r="T589" t="s">
        <v>2896</v>
      </c>
      <c r="U589" t="s">
        <v>2897</v>
      </c>
    </row>
    <row r="590" spans="1:21" hidden="1">
      <c r="A590" t="s">
        <v>1283</v>
      </c>
      <c r="B590" t="s">
        <v>4981</v>
      </c>
      <c r="C590" t="s">
        <v>4967</v>
      </c>
      <c r="D590" t="s">
        <v>17</v>
      </c>
      <c r="E590" t="s">
        <v>2</v>
      </c>
      <c r="F590" t="s">
        <v>50</v>
      </c>
      <c r="G590" t="s">
        <v>51</v>
      </c>
      <c r="H590" t="s">
        <v>4993</v>
      </c>
      <c r="I590" t="s">
        <v>52</v>
      </c>
      <c r="J590" t="s">
        <v>196</v>
      </c>
      <c r="K590" t="s">
        <v>54</v>
      </c>
      <c r="L590" t="s">
        <v>55</v>
      </c>
      <c r="O590" t="s">
        <v>197</v>
      </c>
      <c r="P590" t="s">
        <v>198</v>
      </c>
      <c r="Q590" t="s">
        <v>4994</v>
      </c>
      <c r="R590" t="s">
        <v>4995</v>
      </c>
      <c r="S590" t="s">
        <v>2895</v>
      </c>
      <c r="T590" t="s">
        <v>2896</v>
      </c>
      <c r="U590" t="s">
        <v>2897</v>
      </c>
    </row>
    <row r="591" spans="1:21" hidden="1">
      <c r="A591" t="s">
        <v>1285</v>
      </c>
      <c r="B591" t="s">
        <v>4981</v>
      </c>
      <c r="C591" t="s">
        <v>4996</v>
      </c>
      <c r="D591" t="s">
        <v>17</v>
      </c>
      <c r="E591" t="s">
        <v>2</v>
      </c>
      <c r="F591" t="s">
        <v>50</v>
      </c>
      <c r="G591" t="s">
        <v>51</v>
      </c>
      <c r="H591" t="s">
        <v>4997</v>
      </c>
      <c r="I591" t="s">
        <v>52</v>
      </c>
      <c r="J591" t="s">
        <v>60</v>
      </c>
      <c r="K591" t="s">
        <v>54</v>
      </c>
      <c r="L591" t="s">
        <v>55</v>
      </c>
      <c r="O591" t="s">
        <v>61</v>
      </c>
      <c r="P591" t="s">
        <v>62</v>
      </c>
      <c r="Q591" t="s">
        <v>4998</v>
      </c>
      <c r="R591" t="s">
        <v>4999</v>
      </c>
      <c r="S591" t="s">
        <v>2895</v>
      </c>
      <c r="T591" t="s">
        <v>2896</v>
      </c>
      <c r="U591" t="s">
        <v>2897</v>
      </c>
    </row>
    <row r="592" spans="1:21" hidden="1">
      <c r="A592" t="s">
        <v>1287</v>
      </c>
      <c r="B592" t="s">
        <v>4981</v>
      </c>
      <c r="C592" t="s">
        <v>4300</v>
      </c>
      <c r="D592" t="s">
        <v>17</v>
      </c>
      <c r="E592" t="s">
        <v>2</v>
      </c>
      <c r="F592" t="s">
        <v>50</v>
      </c>
      <c r="G592" t="s">
        <v>51</v>
      </c>
      <c r="H592" t="s">
        <v>5000</v>
      </c>
      <c r="I592" t="s">
        <v>52</v>
      </c>
      <c r="J592" t="s">
        <v>53</v>
      </c>
      <c r="K592" t="s">
        <v>54</v>
      </c>
      <c r="L592" t="s">
        <v>55</v>
      </c>
      <c r="O592" t="s">
        <v>56</v>
      </c>
      <c r="P592" t="s">
        <v>57</v>
      </c>
      <c r="Q592" t="s">
        <v>5001</v>
      </c>
      <c r="R592" t="s">
        <v>5002</v>
      </c>
      <c r="S592" t="s">
        <v>2895</v>
      </c>
      <c r="T592" t="s">
        <v>2896</v>
      </c>
      <c r="U592" t="s">
        <v>2897</v>
      </c>
    </row>
    <row r="593" spans="1:21" hidden="1">
      <c r="A593" t="s">
        <v>1289</v>
      </c>
      <c r="B593" t="s">
        <v>5003</v>
      </c>
      <c r="C593" t="s">
        <v>5004</v>
      </c>
      <c r="D593" t="s">
        <v>17</v>
      </c>
      <c r="E593" t="s">
        <v>2</v>
      </c>
      <c r="F593" t="s">
        <v>50</v>
      </c>
      <c r="G593" t="s">
        <v>100</v>
      </c>
      <c r="H593" t="s">
        <v>2969</v>
      </c>
      <c r="I593" t="s">
        <v>52</v>
      </c>
      <c r="J593" t="s">
        <v>101</v>
      </c>
      <c r="K593" t="s">
        <v>54</v>
      </c>
      <c r="L593" t="s">
        <v>102</v>
      </c>
      <c r="O593" t="s">
        <v>103</v>
      </c>
      <c r="P593" t="s">
        <v>104</v>
      </c>
      <c r="Q593" t="s">
        <v>5005</v>
      </c>
      <c r="R593" t="s">
        <v>2971</v>
      </c>
      <c r="S593" t="s">
        <v>2895</v>
      </c>
      <c r="T593" t="s">
        <v>2896</v>
      </c>
      <c r="U593" t="s">
        <v>2897</v>
      </c>
    </row>
    <row r="594" spans="1:21" hidden="1">
      <c r="A594" t="s">
        <v>1291</v>
      </c>
      <c r="B594" t="s">
        <v>5003</v>
      </c>
      <c r="C594" t="s">
        <v>4331</v>
      </c>
      <c r="D594" t="s">
        <v>17</v>
      </c>
      <c r="E594" t="s">
        <v>2</v>
      </c>
      <c r="F594" t="s">
        <v>50</v>
      </c>
      <c r="G594" t="s">
        <v>51</v>
      </c>
      <c r="H594" t="s">
        <v>5006</v>
      </c>
      <c r="I594" t="s">
        <v>52</v>
      </c>
      <c r="J594" t="s">
        <v>121</v>
      </c>
      <c r="K594" t="s">
        <v>54</v>
      </c>
      <c r="L594" t="s">
        <v>55</v>
      </c>
      <c r="O594" t="s">
        <v>122</v>
      </c>
      <c r="P594" t="s">
        <v>123</v>
      </c>
      <c r="Q594" t="s">
        <v>5007</v>
      </c>
      <c r="R594" t="s">
        <v>5008</v>
      </c>
      <c r="S594" t="s">
        <v>2895</v>
      </c>
      <c r="T594" t="s">
        <v>2896</v>
      </c>
      <c r="U594" t="s">
        <v>2897</v>
      </c>
    </row>
    <row r="595" spans="1:21" hidden="1">
      <c r="A595" t="s">
        <v>1292</v>
      </c>
      <c r="B595" t="s">
        <v>5003</v>
      </c>
      <c r="C595" t="s">
        <v>4191</v>
      </c>
      <c r="D595" t="s">
        <v>17</v>
      </c>
      <c r="E595" t="s">
        <v>2</v>
      </c>
      <c r="F595" t="s">
        <v>50</v>
      </c>
      <c r="G595" t="s">
        <v>51</v>
      </c>
      <c r="H595" t="s">
        <v>5009</v>
      </c>
      <c r="I595" t="s">
        <v>52</v>
      </c>
      <c r="J595" t="s">
        <v>81</v>
      </c>
      <c r="K595" t="s">
        <v>54</v>
      </c>
      <c r="L595" t="s">
        <v>55</v>
      </c>
      <c r="O595" t="s">
        <v>82</v>
      </c>
      <c r="P595" t="s">
        <v>83</v>
      </c>
      <c r="Q595" t="s">
        <v>5010</v>
      </c>
      <c r="R595" t="s">
        <v>5011</v>
      </c>
      <c r="S595" t="s">
        <v>2895</v>
      </c>
      <c r="T595" t="s">
        <v>2896</v>
      </c>
      <c r="U595" t="s">
        <v>2897</v>
      </c>
    </row>
    <row r="596" spans="1:21" hidden="1">
      <c r="A596" t="s">
        <v>1294</v>
      </c>
      <c r="B596" t="s">
        <v>5003</v>
      </c>
      <c r="C596" t="s">
        <v>3911</v>
      </c>
      <c r="D596" t="s">
        <v>17</v>
      </c>
      <c r="E596" t="s">
        <v>2</v>
      </c>
      <c r="F596" t="s">
        <v>50</v>
      </c>
      <c r="G596" t="s">
        <v>51</v>
      </c>
      <c r="H596" t="s">
        <v>5012</v>
      </c>
      <c r="I596" t="s">
        <v>52</v>
      </c>
      <c r="J596" t="s">
        <v>81</v>
      </c>
      <c r="K596" t="s">
        <v>54</v>
      </c>
      <c r="L596" t="s">
        <v>55</v>
      </c>
      <c r="O596" t="s">
        <v>82</v>
      </c>
      <c r="P596" t="s">
        <v>83</v>
      </c>
      <c r="Q596" t="s">
        <v>5013</v>
      </c>
      <c r="R596" t="s">
        <v>5014</v>
      </c>
      <c r="S596" t="s">
        <v>2895</v>
      </c>
      <c r="T596" t="s">
        <v>2896</v>
      </c>
      <c r="U596" t="s">
        <v>2897</v>
      </c>
    </row>
    <row r="597" spans="1:21" hidden="1">
      <c r="A597" t="s">
        <v>1296</v>
      </c>
      <c r="B597" t="s">
        <v>5003</v>
      </c>
      <c r="C597" t="s">
        <v>5015</v>
      </c>
      <c r="D597" t="s">
        <v>17</v>
      </c>
      <c r="E597" t="s">
        <v>2</v>
      </c>
      <c r="F597" t="s">
        <v>50</v>
      </c>
      <c r="G597" t="s">
        <v>51</v>
      </c>
      <c r="H597" t="s">
        <v>5016</v>
      </c>
      <c r="I597" t="s">
        <v>52</v>
      </c>
      <c r="J597" t="s">
        <v>126</v>
      </c>
      <c r="K597" t="s">
        <v>54</v>
      </c>
      <c r="L597" t="s">
        <v>55</v>
      </c>
      <c r="O597" t="s">
        <v>56</v>
      </c>
      <c r="P597" t="s">
        <v>57</v>
      </c>
      <c r="Q597" t="s">
        <v>5017</v>
      </c>
      <c r="R597" t="s">
        <v>5018</v>
      </c>
      <c r="S597" t="s">
        <v>2895</v>
      </c>
      <c r="T597" t="s">
        <v>2896</v>
      </c>
      <c r="U597" t="s">
        <v>2897</v>
      </c>
    </row>
    <row r="598" spans="1:21" hidden="1">
      <c r="A598" t="s">
        <v>1298</v>
      </c>
      <c r="B598" t="s">
        <v>5003</v>
      </c>
      <c r="C598" t="s">
        <v>2999</v>
      </c>
      <c r="D598" t="s">
        <v>17</v>
      </c>
      <c r="E598" t="s">
        <v>2</v>
      </c>
      <c r="F598" t="s">
        <v>50</v>
      </c>
      <c r="G598" t="s">
        <v>51</v>
      </c>
      <c r="H598" t="s">
        <v>5019</v>
      </c>
      <c r="I598" t="s">
        <v>52</v>
      </c>
      <c r="J598" t="s">
        <v>196</v>
      </c>
      <c r="K598" t="s">
        <v>54</v>
      </c>
      <c r="L598" t="s">
        <v>55</v>
      </c>
      <c r="O598" t="s">
        <v>197</v>
      </c>
      <c r="P598" t="s">
        <v>198</v>
      </c>
      <c r="Q598" t="s">
        <v>5020</v>
      </c>
      <c r="R598" t="s">
        <v>5021</v>
      </c>
      <c r="S598" t="s">
        <v>2895</v>
      </c>
      <c r="T598" t="s">
        <v>2896</v>
      </c>
      <c r="U598" t="s">
        <v>2897</v>
      </c>
    </row>
    <row r="599" spans="1:21" hidden="1">
      <c r="A599" t="s">
        <v>1300</v>
      </c>
      <c r="B599" t="s">
        <v>5003</v>
      </c>
      <c r="C599" t="s">
        <v>5022</v>
      </c>
      <c r="D599" t="s">
        <v>17</v>
      </c>
      <c r="E599" t="s">
        <v>2</v>
      </c>
      <c r="F599" t="s">
        <v>50</v>
      </c>
      <c r="G599" t="s">
        <v>51</v>
      </c>
      <c r="H599" t="s">
        <v>5023</v>
      </c>
      <c r="I599" t="s">
        <v>52</v>
      </c>
      <c r="J599" t="s">
        <v>53</v>
      </c>
      <c r="K599" t="s">
        <v>54</v>
      </c>
      <c r="L599" t="s">
        <v>55</v>
      </c>
      <c r="O599" t="s">
        <v>56</v>
      </c>
      <c r="P599" t="s">
        <v>57</v>
      </c>
      <c r="Q599" t="s">
        <v>5024</v>
      </c>
      <c r="R599" t="s">
        <v>5025</v>
      </c>
      <c r="S599" t="s">
        <v>2895</v>
      </c>
      <c r="T599" t="s">
        <v>2896</v>
      </c>
      <c r="U599" t="s">
        <v>2897</v>
      </c>
    </row>
    <row r="600" spans="1:21" hidden="1">
      <c r="A600" t="s">
        <v>1302</v>
      </c>
      <c r="B600" t="s">
        <v>5003</v>
      </c>
      <c r="C600" t="s">
        <v>5026</v>
      </c>
      <c r="D600" t="s">
        <v>17</v>
      </c>
      <c r="E600" t="s">
        <v>2</v>
      </c>
      <c r="F600" t="s">
        <v>50</v>
      </c>
      <c r="G600" t="s">
        <v>51</v>
      </c>
      <c r="H600" t="s">
        <v>5027</v>
      </c>
      <c r="I600" t="s">
        <v>52</v>
      </c>
      <c r="J600" t="s">
        <v>81</v>
      </c>
      <c r="K600" t="s">
        <v>54</v>
      </c>
      <c r="L600" t="s">
        <v>55</v>
      </c>
      <c r="O600" t="s">
        <v>82</v>
      </c>
      <c r="P600" t="s">
        <v>83</v>
      </c>
      <c r="Q600" t="s">
        <v>5028</v>
      </c>
      <c r="R600" t="s">
        <v>5029</v>
      </c>
      <c r="S600" t="s">
        <v>2895</v>
      </c>
      <c r="T600" t="s">
        <v>2896</v>
      </c>
      <c r="U600" t="s">
        <v>2897</v>
      </c>
    </row>
    <row r="601" spans="1:21" hidden="1">
      <c r="A601" t="s">
        <v>1304</v>
      </c>
      <c r="B601" t="s">
        <v>5030</v>
      </c>
      <c r="C601" t="s">
        <v>5031</v>
      </c>
      <c r="D601" t="s">
        <v>17</v>
      </c>
      <c r="E601" t="s">
        <v>2</v>
      </c>
      <c r="F601" t="s">
        <v>50</v>
      </c>
      <c r="G601" t="s">
        <v>51</v>
      </c>
      <c r="H601" t="s">
        <v>5032</v>
      </c>
      <c r="I601" t="s">
        <v>52</v>
      </c>
      <c r="J601" t="s">
        <v>81</v>
      </c>
      <c r="K601" t="s">
        <v>54</v>
      </c>
      <c r="L601" t="s">
        <v>55</v>
      </c>
      <c r="O601" t="s">
        <v>82</v>
      </c>
      <c r="P601" t="s">
        <v>83</v>
      </c>
      <c r="Q601" t="s">
        <v>5033</v>
      </c>
      <c r="R601" t="s">
        <v>5034</v>
      </c>
      <c r="S601" t="s">
        <v>2895</v>
      </c>
      <c r="T601" t="s">
        <v>2896</v>
      </c>
      <c r="U601" t="s">
        <v>2897</v>
      </c>
    </row>
    <row r="602" spans="1:21" hidden="1">
      <c r="A602" t="s">
        <v>1306</v>
      </c>
      <c r="B602" t="s">
        <v>5030</v>
      </c>
      <c r="C602" t="s">
        <v>4313</v>
      </c>
      <c r="D602" t="s">
        <v>17</v>
      </c>
      <c r="E602" t="s">
        <v>2</v>
      </c>
      <c r="F602" t="s">
        <v>50</v>
      </c>
      <c r="G602" t="s">
        <v>51</v>
      </c>
      <c r="H602" t="s">
        <v>5035</v>
      </c>
      <c r="I602" t="s">
        <v>52</v>
      </c>
      <c r="J602" t="s">
        <v>60</v>
      </c>
      <c r="K602" t="s">
        <v>54</v>
      </c>
      <c r="L602" t="s">
        <v>55</v>
      </c>
      <c r="O602" t="s">
        <v>61</v>
      </c>
      <c r="P602" t="s">
        <v>62</v>
      </c>
      <c r="Q602" t="s">
        <v>5036</v>
      </c>
      <c r="R602" t="s">
        <v>5037</v>
      </c>
      <c r="S602" t="s">
        <v>2895</v>
      </c>
      <c r="T602" t="s">
        <v>2896</v>
      </c>
      <c r="U602" t="s">
        <v>2897</v>
      </c>
    </row>
    <row r="603" spans="1:21" hidden="1">
      <c r="A603" t="s">
        <v>1308</v>
      </c>
      <c r="B603" t="s">
        <v>5030</v>
      </c>
      <c r="C603" t="s">
        <v>4757</v>
      </c>
      <c r="D603" t="s">
        <v>17</v>
      </c>
      <c r="E603" t="s">
        <v>2</v>
      </c>
      <c r="F603" t="s">
        <v>50</v>
      </c>
      <c r="G603" t="s">
        <v>51</v>
      </c>
      <c r="H603" t="s">
        <v>5038</v>
      </c>
      <c r="I603" t="s">
        <v>52</v>
      </c>
      <c r="J603" t="s">
        <v>126</v>
      </c>
      <c r="K603" t="s">
        <v>54</v>
      </c>
      <c r="L603" t="s">
        <v>55</v>
      </c>
      <c r="O603" t="s">
        <v>56</v>
      </c>
      <c r="P603" t="s">
        <v>57</v>
      </c>
      <c r="Q603" t="s">
        <v>5039</v>
      </c>
      <c r="R603" t="s">
        <v>5040</v>
      </c>
      <c r="S603" t="s">
        <v>2895</v>
      </c>
      <c r="T603" t="s">
        <v>2896</v>
      </c>
      <c r="U603" t="s">
        <v>2897</v>
      </c>
    </row>
    <row r="604" spans="1:21" hidden="1">
      <c r="A604" t="s">
        <v>1310</v>
      </c>
      <c r="B604" t="s">
        <v>5030</v>
      </c>
      <c r="C604" t="s">
        <v>5041</v>
      </c>
      <c r="D604" t="s">
        <v>17</v>
      </c>
      <c r="E604" t="s">
        <v>2</v>
      </c>
      <c r="F604" t="s">
        <v>50</v>
      </c>
      <c r="G604" t="s">
        <v>51</v>
      </c>
      <c r="H604" t="s">
        <v>5042</v>
      </c>
      <c r="I604" t="s">
        <v>52</v>
      </c>
      <c r="J604" t="s">
        <v>53</v>
      </c>
      <c r="K604" t="s">
        <v>54</v>
      </c>
      <c r="L604" t="s">
        <v>55</v>
      </c>
      <c r="O604" t="s">
        <v>56</v>
      </c>
      <c r="P604" t="s">
        <v>57</v>
      </c>
      <c r="Q604" t="s">
        <v>5043</v>
      </c>
      <c r="R604" t="s">
        <v>5044</v>
      </c>
      <c r="S604" t="s">
        <v>2895</v>
      </c>
      <c r="T604" t="s">
        <v>2896</v>
      </c>
      <c r="U604" t="s">
        <v>2897</v>
      </c>
    </row>
    <row r="605" spans="1:21" hidden="1">
      <c r="A605" t="s">
        <v>1312</v>
      </c>
      <c r="B605" t="s">
        <v>5030</v>
      </c>
      <c r="C605" t="s">
        <v>3122</v>
      </c>
      <c r="D605" t="s">
        <v>17</v>
      </c>
      <c r="E605" t="s">
        <v>2</v>
      </c>
      <c r="F605" t="s">
        <v>50</v>
      </c>
      <c r="G605" t="s">
        <v>51</v>
      </c>
      <c r="H605" t="s">
        <v>5045</v>
      </c>
      <c r="I605" t="s">
        <v>52</v>
      </c>
      <c r="J605" t="s">
        <v>65</v>
      </c>
      <c r="K605" t="s">
        <v>54</v>
      </c>
      <c r="L605" t="s">
        <v>55</v>
      </c>
      <c r="O605" t="s">
        <v>66</v>
      </c>
      <c r="P605" t="s">
        <v>67</v>
      </c>
      <c r="Q605" t="s">
        <v>5046</v>
      </c>
      <c r="R605" t="s">
        <v>5047</v>
      </c>
      <c r="S605" t="s">
        <v>2895</v>
      </c>
      <c r="T605" t="s">
        <v>2896</v>
      </c>
      <c r="U605" t="s">
        <v>2897</v>
      </c>
    </row>
    <row r="606" spans="1:21" hidden="1">
      <c r="A606" t="s">
        <v>1314</v>
      </c>
      <c r="B606" t="s">
        <v>5048</v>
      </c>
      <c r="C606" t="s">
        <v>5049</v>
      </c>
      <c r="D606" t="s">
        <v>17</v>
      </c>
      <c r="E606" t="s">
        <v>2</v>
      </c>
      <c r="F606" t="s">
        <v>50</v>
      </c>
      <c r="G606" t="s">
        <v>51</v>
      </c>
      <c r="H606" t="s">
        <v>5050</v>
      </c>
      <c r="I606" t="s">
        <v>52</v>
      </c>
      <c r="J606" t="s">
        <v>121</v>
      </c>
      <c r="K606" t="s">
        <v>54</v>
      </c>
      <c r="L606" t="s">
        <v>55</v>
      </c>
      <c r="O606" t="s">
        <v>122</v>
      </c>
      <c r="P606" t="s">
        <v>123</v>
      </c>
      <c r="Q606" t="s">
        <v>5051</v>
      </c>
      <c r="R606" t="s">
        <v>5052</v>
      </c>
      <c r="S606" t="s">
        <v>2895</v>
      </c>
      <c r="T606" t="s">
        <v>2896</v>
      </c>
      <c r="U606" t="s">
        <v>2897</v>
      </c>
    </row>
    <row r="607" spans="1:21" hidden="1">
      <c r="A607" t="s">
        <v>1316</v>
      </c>
      <c r="B607" t="s">
        <v>5048</v>
      </c>
      <c r="C607" t="s">
        <v>5053</v>
      </c>
      <c r="D607" t="s">
        <v>17</v>
      </c>
      <c r="E607" t="s">
        <v>2</v>
      </c>
      <c r="F607" t="s">
        <v>50</v>
      </c>
      <c r="G607" t="s">
        <v>51</v>
      </c>
      <c r="H607" t="s">
        <v>5054</v>
      </c>
      <c r="I607" t="s">
        <v>52</v>
      </c>
      <c r="J607" t="s">
        <v>121</v>
      </c>
      <c r="K607" t="s">
        <v>54</v>
      </c>
      <c r="L607" t="s">
        <v>55</v>
      </c>
      <c r="O607" t="s">
        <v>122</v>
      </c>
      <c r="P607" t="s">
        <v>123</v>
      </c>
      <c r="Q607" t="s">
        <v>5055</v>
      </c>
      <c r="R607" t="s">
        <v>5056</v>
      </c>
      <c r="S607" t="s">
        <v>2895</v>
      </c>
      <c r="T607" t="s">
        <v>2896</v>
      </c>
      <c r="U607" t="s">
        <v>2897</v>
      </c>
    </row>
    <row r="608" spans="1:21" hidden="1">
      <c r="A608" t="s">
        <v>1318</v>
      </c>
      <c r="B608" t="s">
        <v>5048</v>
      </c>
      <c r="C608" t="s">
        <v>3794</v>
      </c>
      <c r="D608" t="s">
        <v>17</v>
      </c>
      <c r="E608" t="s">
        <v>2</v>
      </c>
      <c r="F608" t="s">
        <v>50</v>
      </c>
      <c r="G608" t="s">
        <v>51</v>
      </c>
      <c r="H608" t="s">
        <v>5057</v>
      </c>
      <c r="I608" t="s">
        <v>52</v>
      </c>
      <c r="J608" t="s">
        <v>81</v>
      </c>
      <c r="K608" t="s">
        <v>54</v>
      </c>
      <c r="L608" t="s">
        <v>55</v>
      </c>
      <c r="O608" t="s">
        <v>82</v>
      </c>
      <c r="P608" t="s">
        <v>83</v>
      </c>
      <c r="Q608" t="s">
        <v>5058</v>
      </c>
      <c r="R608" t="s">
        <v>5059</v>
      </c>
      <c r="S608" t="s">
        <v>2895</v>
      </c>
      <c r="T608" t="s">
        <v>2896</v>
      </c>
      <c r="U608" t="s">
        <v>2897</v>
      </c>
    </row>
    <row r="609" spans="1:21" hidden="1">
      <c r="A609" t="s">
        <v>1320</v>
      </c>
      <c r="B609" t="s">
        <v>5048</v>
      </c>
      <c r="C609" t="s">
        <v>3692</v>
      </c>
      <c r="D609" t="s">
        <v>17</v>
      </c>
      <c r="E609" t="s">
        <v>2</v>
      </c>
      <c r="F609" t="s">
        <v>50</v>
      </c>
      <c r="G609" t="s">
        <v>100</v>
      </c>
      <c r="H609" t="s">
        <v>2969</v>
      </c>
      <c r="I609" t="s">
        <v>52</v>
      </c>
      <c r="J609" t="s">
        <v>101</v>
      </c>
      <c r="K609" t="s">
        <v>54</v>
      </c>
      <c r="L609" t="s">
        <v>102</v>
      </c>
      <c r="O609" t="s">
        <v>103</v>
      </c>
      <c r="P609" t="s">
        <v>104</v>
      </c>
      <c r="Q609" t="s">
        <v>5060</v>
      </c>
      <c r="R609" t="s">
        <v>2971</v>
      </c>
      <c r="S609" t="s">
        <v>2895</v>
      </c>
      <c r="T609" t="s">
        <v>2896</v>
      </c>
      <c r="U609" t="s">
        <v>2897</v>
      </c>
    </row>
    <row r="610" spans="1:21" hidden="1">
      <c r="A610" t="s">
        <v>1322</v>
      </c>
      <c r="B610" t="s">
        <v>5048</v>
      </c>
      <c r="C610" t="s">
        <v>5061</v>
      </c>
      <c r="D610" t="s">
        <v>17</v>
      </c>
      <c r="E610" t="s">
        <v>2</v>
      </c>
      <c r="F610" t="s">
        <v>50</v>
      </c>
      <c r="G610" t="s">
        <v>100</v>
      </c>
      <c r="H610" t="s">
        <v>2969</v>
      </c>
      <c r="I610" t="s">
        <v>52</v>
      </c>
      <c r="J610" t="s">
        <v>101</v>
      </c>
      <c r="K610" t="s">
        <v>54</v>
      </c>
      <c r="L610" t="s">
        <v>102</v>
      </c>
      <c r="O610" t="s">
        <v>103</v>
      </c>
      <c r="P610" t="s">
        <v>104</v>
      </c>
      <c r="Q610" t="s">
        <v>5062</v>
      </c>
      <c r="R610" t="s">
        <v>2971</v>
      </c>
      <c r="S610" t="s">
        <v>2895</v>
      </c>
      <c r="T610" t="s">
        <v>2896</v>
      </c>
      <c r="U610" t="s">
        <v>2897</v>
      </c>
    </row>
    <row r="611" spans="1:21" hidden="1">
      <c r="A611" t="s">
        <v>1324</v>
      </c>
      <c r="B611" t="s">
        <v>5048</v>
      </c>
      <c r="C611" t="s">
        <v>3901</v>
      </c>
      <c r="D611" t="s">
        <v>17</v>
      </c>
      <c r="E611" t="s">
        <v>2</v>
      </c>
      <c r="F611" t="s">
        <v>50</v>
      </c>
      <c r="G611" t="s">
        <v>51</v>
      </c>
      <c r="H611" t="s">
        <v>5063</v>
      </c>
      <c r="I611" t="s">
        <v>52</v>
      </c>
      <c r="J611" t="s">
        <v>121</v>
      </c>
      <c r="K611" t="s">
        <v>54</v>
      </c>
      <c r="L611" t="s">
        <v>55</v>
      </c>
      <c r="O611" t="s">
        <v>122</v>
      </c>
      <c r="P611" t="s">
        <v>123</v>
      </c>
      <c r="Q611" t="s">
        <v>5064</v>
      </c>
      <c r="R611" t="s">
        <v>5065</v>
      </c>
      <c r="S611" t="s">
        <v>2895</v>
      </c>
      <c r="T611" t="s">
        <v>2896</v>
      </c>
      <c r="U611" t="s">
        <v>2897</v>
      </c>
    </row>
    <row r="612" spans="1:21" hidden="1">
      <c r="A612" t="s">
        <v>1326</v>
      </c>
      <c r="B612" t="s">
        <v>5066</v>
      </c>
      <c r="C612" t="s">
        <v>4146</v>
      </c>
      <c r="D612" t="s">
        <v>17</v>
      </c>
      <c r="E612" t="s">
        <v>2</v>
      </c>
      <c r="F612" t="s">
        <v>50</v>
      </c>
      <c r="G612" t="s">
        <v>51</v>
      </c>
      <c r="H612" t="s">
        <v>5067</v>
      </c>
      <c r="I612" t="s">
        <v>52</v>
      </c>
      <c r="J612" t="s">
        <v>60</v>
      </c>
      <c r="K612" t="s">
        <v>54</v>
      </c>
      <c r="L612" t="s">
        <v>55</v>
      </c>
      <c r="O612" t="s">
        <v>61</v>
      </c>
      <c r="P612" t="s">
        <v>62</v>
      </c>
      <c r="Q612" t="s">
        <v>5068</v>
      </c>
      <c r="R612" t="s">
        <v>5069</v>
      </c>
      <c r="S612" t="s">
        <v>2895</v>
      </c>
      <c r="T612" t="s">
        <v>2896</v>
      </c>
      <c r="U612" t="s">
        <v>2897</v>
      </c>
    </row>
    <row r="613" spans="1:21" hidden="1">
      <c r="A613" t="s">
        <v>1328</v>
      </c>
      <c r="B613" t="s">
        <v>5066</v>
      </c>
      <c r="C613" t="s">
        <v>4219</v>
      </c>
      <c r="D613" t="s">
        <v>17</v>
      </c>
      <c r="E613" t="s">
        <v>2</v>
      </c>
      <c r="F613" t="s">
        <v>50</v>
      </c>
      <c r="G613" t="s">
        <v>51</v>
      </c>
      <c r="H613" t="s">
        <v>4101</v>
      </c>
      <c r="I613" t="s">
        <v>52</v>
      </c>
      <c r="J613" t="s">
        <v>126</v>
      </c>
      <c r="K613" t="s">
        <v>54</v>
      </c>
      <c r="L613" t="s">
        <v>55</v>
      </c>
      <c r="O613" t="s">
        <v>56</v>
      </c>
      <c r="P613" t="s">
        <v>57</v>
      </c>
      <c r="Q613" t="s">
        <v>5070</v>
      </c>
      <c r="R613" t="s">
        <v>4103</v>
      </c>
      <c r="S613" t="s">
        <v>2895</v>
      </c>
      <c r="T613" t="s">
        <v>2896</v>
      </c>
      <c r="U613" t="s">
        <v>2897</v>
      </c>
    </row>
    <row r="614" spans="1:21" hidden="1">
      <c r="A614" t="s">
        <v>1330</v>
      </c>
      <c r="B614" t="s">
        <v>5066</v>
      </c>
      <c r="C614" t="s">
        <v>4129</v>
      </c>
      <c r="D614" t="s">
        <v>17</v>
      </c>
      <c r="E614" t="s">
        <v>2</v>
      </c>
      <c r="F614" t="s">
        <v>50</v>
      </c>
      <c r="G614" t="s">
        <v>51</v>
      </c>
      <c r="H614" t="s">
        <v>5071</v>
      </c>
      <c r="I614" t="s">
        <v>52</v>
      </c>
      <c r="J614" t="s">
        <v>60</v>
      </c>
      <c r="K614" t="s">
        <v>54</v>
      </c>
      <c r="L614" t="s">
        <v>55</v>
      </c>
      <c r="O614" t="s">
        <v>61</v>
      </c>
      <c r="P614" t="s">
        <v>62</v>
      </c>
      <c r="Q614" t="s">
        <v>5072</v>
      </c>
      <c r="R614" t="s">
        <v>5073</v>
      </c>
      <c r="S614" t="s">
        <v>2895</v>
      </c>
      <c r="T614" t="s">
        <v>2896</v>
      </c>
      <c r="U614" t="s">
        <v>2897</v>
      </c>
    </row>
    <row r="615" spans="1:21" hidden="1">
      <c r="A615" t="s">
        <v>1332</v>
      </c>
      <c r="B615" t="s">
        <v>5066</v>
      </c>
      <c r="C615" t="s">
        <v>3536</v>
      </c>
      <c r="D615" t="s">
        <v>17</v>
      </c>
      <c r="E615" t="s">
        <v>2</v>
      </c>
      <c r="F615" t="s">
        <v>50</v>
      </c>
      <c r="G615" t="s">
        <v>51</v>
      </c>
      <c r="H615" t="s">
        <v>5074</v>
      </c>
      <c r="I615" t="s">
        <v>52</v>
      </c>
      <c r="J615" t="s">
        <v>126</v>
      </c>
      <c r="K615" t="s">
        <v>54</v>
      </c>
      <c r="L615" t="s">
        <v>55</v>
      </c>
      <c r="O615" t="s">
        <v>56</v>
      </c>
      <c r="P615" t="s">
        <v>57</v>
      </c>
      <c r="Q615" t="s">
        <v>5075</v>
      </c>
      <c r="R615" t="s">
        <v>5076</v>
      </c>
      <c r="S615" t="s">
        <v>2895</v>
      </c>
      <c r="T615" t="s">
        <v>2896</v>
      </c>
      <c r="U615" t="s">
        <v>2897</v>
      </c>
    </row>
    <row r="616" spans="1:21" hidden="1">
      <c r="A616" t="s">
        <v>1334</v>
      </c>
      <c r="B616" t="s">
        <v>5066</v>
      </c>
      <c r="C616" t="s">
        <v>5077</v>
      </c>
      <c r="D616" t="s">
        <v>17</v>
      </c>
      <c r="E616" t="s">
        <v>2</v>
      </c>
      <c r="F616" t="s">
        <v>50</v>
      </c>
      <c r="G616" t="s">
        <v>51</v>
      </c>
      <c r="H616" t="s">
        <v>5078</v>
      </c>
      <c r="I616" t="s">
        <v>52</v>
      </c>
      <c r="J616" t="s">
        <v>121</v>
      </c>
      <c r="K616" t="s">
        <v>54</v>
      </c>
      <c r="L616" t="s">
        <v>55</v>
      </c>
      <c r="O616" t="s">
        <v>122</v>
      </c>
      <c r="P616" t="s">
        <v>123</v>
      </c>
      <c r="Q616" t="s">
        <v>5079</v>
      </c>
      <c r="R616" t="s">
        <v>5080</v>
      </c>
      <c r="S616" t="s">
        <v>2895</v>
      </c>
      <c r="T616" t="s">
        <v>2896</v>
      </c>
      <c r="U616" t="s">
        <v>2897</v>
      </c>
    </row>
    <row r="617" spans="1:21" hidden="1">
      <c r="A617" t="s">
        <v>1336</v>
      </c>
      <c r="B617" t="s">
        <v>5066</v>
      </c>
      <c r="C617" t="s">
        <v>5081</v>
      </c>
      <c r="D617" t="s">
        <v>17</v>
      </c>
      <c r="E617" t="s">
        <v>2</v>
      </c>
      <c r="F617" t="s">
        <v>50</v>
      </c>
      <c r="G617" t="s">
        <v>51</v>
      </c>
      <c r="H617" t="s">
        <v>5082</v>
      </c>
      <c r="I617" t="s">
        <v>52</v>
      </c>
      <c r="J617" t="s">
        <v>126</v>
      </c>
      <c r="K617" t="s">
        <v>54</v>
      </c>
      <c r="L617" t="s">
        <v>55</v>
      </c>
      <c r="O617" t="s">
        <v>56</v>
      </c>
      <c r="P617" t="s">
        <v>57</v>
      </c>
      <c r="Q617" t="s">
        <v>5083</v>
      </c>
      <c r="R617" t="s">
        <v>5084</v>
      </c>
      <c r="S617" t="s">
        <v>2895</v>
      </c>
      <c r="T617" t="s">
        <v>2896</v>
      </c>
      <c r="U617" t="s">
        <v>2897</v>
      </c>
    </row>
    <row r="618" spans="1:21" hidden="1">
      <c r="A618" t="s">
        <v>1338</v>
      </c>
      <c r="B618" t="s">
        <v>5085</v>
      </c>
      <c r="C618" t="s">
        <v>5086</v>
      </c>
      <c r="D618" t="s">
        <v>17</v>
      </c>
      <c r="E618" t="s">
        <v>2</v>
      </c>
      <c r="F618" t="s">
        <v>50</v>
      </c>
      <c r="G618" t="s">
        <v>51</v>
      </c>
      <c r="H618" t="s">
        <v>5087</v>
      </c>
      <c r="I618" t="s">
        <v>52</v>
      </c>
      <c r="J618" t="s">
        <v>60</v>
      </c>
      <c r="K618" t="s">
        <v>54</v>
      </c>
      <c r="L618" t="s">
        <v>55</v>
      </c>
      <c r="O618" t="s">
        <v>61</v>
      </c>
      <c r="P618" t="s">
        <v>62</v>
      </c>
      <c r="Q618" t="s">
        <v>5088</v>
      </c>
      <c r="R618" t="s">
        <v>5089</v>
      </c>
      <c r="S618" t="s">
        <v>2895</v>
      </c>
      <c r="T618" t="s">
        <v>2896</v>
      </c>
      <c r="U618" t="s">
        <v>2897</v>
      </c>
    </row>
    <row r="619" spans="1:21" hidden="1">
      <c r="A619" t="s">
        <v>1340</v>
      </c>
      <c r="B619" t="s">
        <v>5085</v>
      </c>
      <c r="C619" t="s">
        <v>5090</v>
      </c>
      <c r="D619" t="s">
        <v>17</v>
      </c>
      <c r="E619" t="s">
        <v>2</v>
      </c>
      <c r="F619" t="s">
        <v>50</v>
      </c>
      <c r="G619" t="s">
        <v>51</v>
      </c>
      <c r="H619" t="s">
        <v>5091</v>
      </c>
      <c r="I619" t="s">
        <v>52</v>
      </c>
      <c r="J619" t="s">
        <v>60</v>
      </c>
      <c r="K619" t="s">
        <v>54</v>
      </c>
      <c r="L619" t="s">
        <v>55</v>
      </c>
      <c r="O619" t="s">
        <v>61</v>
      </c>
      <c r="P619" t="s">
        <v>62</v>
      </c>
      <c r="Q619" t="s">
        <v>5092</v>
      </c>
      <c r="R619" t="s">
        <v>5093</v>
      </c>
      <c r="S619" t="s">
        <v>2895</v>
      </c>
      <c r="T619" t="s">
        <v>2896</v>
      </c>
      <c r="U619" t="s">
        <v>2897</v>
      </c>
    </row>
    <row r="620" spans="1:21" hidden="1">
      <c r="A620" t="s">
        <v>1342</v>
      </c>
      <c r="B620" t="s">
        <v>5085</v>
      </c>
      <c r="C620" t="s">
        <v>4603</v>
      </c>
      <c r="D620" t="s">
        <v>17</v>
      </c>
      <c r="E620" t="s">
        <v>2</v>
      </c>
      <c r="F620" t="s">
        <v>50</v>
      </c>
      <c r="G620" t="s">
        <v>51</v>
      </c>
      <c r="H620" t="s">
        <v>4828</v>
      </c>
      <c r="I620" t="s">
        <v>52</v>
      </c>
      <c r="J620" t="s">
        <v>121</v>
      </c>
      <c r="K620" t="s">
        <v>54</v>
      </c>
      <c r="L620" t="s">
        <v>55</v>
      </c>
      <c r="O620" t="s">
        <v>122</v>
      </c>
      <c r="P620" t="s">
        <v>123</v>
      </c>
      <c r="Q620" t="s">
        <v>5094</v>
      </c>
      <c r="R620" t="s">
        <v>4830</v>
      </c>
      <c r="S620" t="s">
        <v>2895</v>
      </c>
      <c r="T620" t="s">
        <v>2896</v>
      </c>
      <c r="U620" t="s">
        <v>2897</v>
      </c>
    </row>
    <row r="621" spans="1:21" hidden="1">
      <c r="A621" t="s">
        <v>1344</v>
      </c>
      <c r="B621" t="s">
        <v>5085</v>
      </c>
      <c r="C621" t="s">
        <v>4680</v>
      </c>
      <c r="D621" t="s">
        <v>17</v>
      </c>
      <c r="E621" t="s">
        <v>2</v>
      </c>
      <c r="F621" t="s">
        <v>50</v>
      </c>
      <c r="G621" t="s">
        <v>51</v>
      </c>
      <c r="H621" t="s">
        <v>5095</v>
      </c>
      <c r="I621" t="s">
        <v>52</v>
      </c>
      <c r="J621" t="s">
        <v>65</v>
      </c>
      <c r="K621" t="s">
        <v>54</v>
      </c>
      <c r="L621" t="s">
        <v>55</v>
      </c>
      <c r="O621" t="s">
        <v>66</v>
      </c>
      <c r="P621" t="s">
        <v>67</v>
      </c>
      <c r="Q621" t="s">
        <v>5096</v>
      </c>
      <c r="R621" t="s">
        <v>5097</v>
      </c>
      <c r="S621" t="s">
        <v>2895</v>
      </c>
      <c r="T621" t="s">
        <v>2896</v>
      </c>
      <c r="U621" t="s">
        <v>2897</v>
      </c>
    </row>
    <row r="622" spans="1:21" hidden="1">
      <c r="A622" t="s">
        <v>1346</v>
      </c>
      <c r="B622" t="s">
        <v>5085</v>
      </c>
      <c r="C622" t="s">
        <v>5098</v>
      </c>
      <c r="D622" t="s">
        <v>17</v>
      </c>
      <c r="E622" t="s">
        <v>2</v>
      </c>
      <c r="F622" t="s">
        <v>50</v>
      </c>
      <c r="G622" t="s">
        <v>51</v>
      </c>
      <c r="H622" t="s">
        <v>5099</v>
      </c>
      <c r="I622" t="s">
        <v>52</v>
      </c>
      <c r="J622" t="s">
        <v>65</v>
      </c>
      <c r="K622" t="s">
        <v>54</v>
      </c>
      <c r="L622" t="s">
        <v>55</v>
      </c>
      <c r="O622" t="s">
        <v>66</v>
      </c>
      <c r="P622" t="s">
        <v>67</v>
      </c>
      <c r="Q622" t="s">
        <v>5100</v>
      </c>
      <c r="R622" t="s">
        <v>5101</v>
      </c>
      <c r="S622" t="s">
        <v>2895</v>
      </c>
      <c r="T622" t="s">
        <v>2896</v>
      </c>
      <c r="U622" t="s">
        <v>2897</v>
      </c>
    </row>
    <row r="623" spans="1:21" hidden="1">
      <c r="A623" t="s">
        <v>1348</v>
      </c>
      <c r="B623" t="s">
        <v>5085</v>
      </c>
      <c r="C623" t="s">
        <v>3717</v>
      </c>
      <c r="D623" t="s">
        <v>17</v>
      </c>
      <c r="E623" t="s">
        <v>2</v>
      </c>
      <c r="F623" t="s">
        <v>149</v>
      </c>
      <c r="G623" t="s">
        <v>72</v>
      </c>
      <c r="H623" t="s">
        <v>5102</v>
      </c>
      <c r="I623" t="s">
        <v>52</v>
      </c>
      <c r="J623" t="s">
        <v>150</v>
      </c>
      <c r="K623" t="s">
        <v>54</v>
      </c>
      <c r="L623" t="s">
        <v>74</v>
      </c>
      <c r="O623" t="s">
        <v>75</v>
      </c>
      <c r="P623" t="s">
        <v>76</v>
      </c>
      <c r="Q623" t="s">
        <v>5103</v>
      </c>
      <c r="R623" t="s">
        <v>5102</v>
      </c>
      <c r="S623" t="s">
        <v>2895</v>
      </c>
      <c r="T623" t="s">
        <v>2896</v>
      </c>
      <c r="U623" t="s">
        <v>2897</v>
      </c>
    </row>
    <row r="624" spans="1:21" hidden="1">
      <c r="A624" t="s">
        <v>1350</v>
      </c>
      <c r="B624" t="s">
        <v>5085</v>
      </c>
      <c r="C624" t="s">
        <v>5104</v>
      </c>
      <c r="D624" t="s">
        <v>17</v>
      </c>
      <c r="E624" t="s">
        <v>2</v>
      </c>
      <c r="F624" t="s">
        <v>50</v>
      </c>
      <c r="G624" t="s">
        <v>51</v>
      </c>
      <c r="H624" t="s">
        <v>5105</v>
      </c>
      <c r="I624" t="s">
        <v>52</v>
      </c>
      <c r="J624" t="s">
        <v>65</v>
      </c>
      <c r="K624" t="s">
        <v>54</v>
      </c>
      <c r="L624" t="s">
        <v>55</v>
      </c>
      <c r="O624" t="s">
        <v>66</v>
      </c>
      <c r="P624" t="s">
        <v>67</v>
      </c>
      <c r="Q624" t="s">
        <v>5106</v>
      </c>
      <c r="R624" t="s">
        <v>5107</v>
      </c>
      <c r="S624" t="s">
        <v>2895</v>
      </c>
      <c r="T624" t="s">
        <v>2896</v>
      </c>
      <c r="U624" t="s">
        <v>2897</v>
      </c>
    </row>
    <row r="625" spans="1:21" hidden="1">
      <c r="A625" t="s">
        <v>1352</v>
      </c>
      <c r="B625" t="s">
        <v>5085</v>
      </c>
      <c r="C625" t="s">
        <v>5108</v>
      </c>
      <c r="D625" t="s">
        <v>17</v>
      </c>
      <c r="E625" t="s">
        <v>2</v>
      </c>
      <c r="F625" t="s">
        <v>50</v>
      </c>
      <c r="G625" t="s">
        <v>100</v>
      </c>
      <c r="H625" t="s">
        <v>5109</v>
      </c>
      <c r="I625" t="s">
        <v>52</v>
      </c>
      <c r="J625" t="s">
        <v>114</v>
      </c>
      <c r="K625" t="s">
        <v>54</v>
      </c>
      <c r="L625" t="s">
        <v>102</v>
      </c>
      <c r="O625" t="s">
        <v>103</v>
      </c>
      <c r="P625" t="s">
        <v>104</v>
      </c>
      <c r="Q625" t="s">
        <v>5110</v>
      </c>
      <c r="R625" t="s">
        <v>5111</v>
      </c>
      <c r="S625" t="s">
        <v>2895</v>
      </c>
      <c r="T625" t="s">
        <v>2896</v>
      </c>
      <c r="U625" t="s">
        <v>2897</v>
      </c>
    </row>
    <row r="626" spans="1:21" hidden="1">
      <c r="A626" t="s">
        <v>1354</v>
      </c>
      <c r="B626" t="s">
        <v>5112</v>
      </c>
      <c r="C626" t="s">
        <v>5113</v>
      </c>
      <c r="D626" t="s">
        <v>17</v>
      </c>
      <c r="E626" t="s">
        <v>2</v>
      </c>
      <c r="F626" t="s">
        <v>50</v>
      </c>
      <c r="G626" t="s">
        <v>100</v>
      </c>
      <c r="H626" t="s">
        <v>5114</v>
      </c>
      <c r="I626" t="s">
        <v>52</v>
      </c>
      <c r="J626" t="s">
        <v>114</v>
      </c>
      <c r="K626" t="s">
        <v>54</v>
      </c>
      <c r="L626" t="s">
        <v>102</v>
      </c>
      <c r="O626" t="s">
        <v>103</v>
      </c>
      <c r="P626" t="s">
        <v>104</v>
      </c>
      <c r="Q626" t="s">
        <v>5115</v>
      </c>
      <c r="R626" t="s">
        <v>5116</v>
      </c>
      <c r="S626" t="s">
        <v>2895</v>
      </c>
      <c r="T626" t="s">
        <v>2896</v>
      </c>
      <c r="U626" t="s">
        <v>2897</v>
      </c>
    </row>
    <row r="627" spans="1:21" hidden="1">
      <c r="A627" t="s">
        <v>1356</v>
      </c>
      <c r="B627" t="s">
        <v>5112</v>
      </c>
      <c r="C627" t="s">
        <v>5117</v>
      </c>
      <c r="D627" t="s">
        <v>17</v>
      </c>
      <c r="E627" t="s">
        <v>2</v>
      </c>
      <c r="F627" t="s">
        <v>50</v>
      </c>
      <c r="G627" t="s">
        <v>51</v>
      </c>
      <c r="H627" t="s">
        <v>5118</v>
      </c>
      <c r="I627" t="s">
        <v>52</v>
      </c>
      <c r="J627" t="s">
        <v>121</v>
      </c>
      <c r="K627" t="s">
        <v>54</v>
      </c>
      <c r="L627" t="s">
        <v>55</v>
      </c>
      <c r="O627" t="s">
        <v>122</v>
      </c>
      <c r="P627" t="s">
        <v>123</v>
      </c>
      <c r="Q627" t="s">
        <v>5119</v>
      </c>
      <c r="R627" t="s">
        <v>5120</v>
      </c>
      <c r="S627" t="s">
        <v>2895</v>
      </c>
      <c r="T627" t="s">
        <v>2896</v>
      </c>
      <c r="U627" t="s">
        <v>2897</v>
      </c>
    </row>
    <row r="628" spans="1:21" hidden="1">
      <c r="A628" t="s">
        <v>1358</v>
      </c>
      <c r="B628" t="s">
        <v>5112</v>
      </c>
      <c r="C628" t="s">
        <v>3321</v>
      </c>
      <c r="D628" t="s">
        <v>17</v>
      </c>
      <c r="E628" t="s">
        <v>2</v>
      </c>
      <c r="F628" t="s">
        <v>50</v>
      </c>
      <c r="G628" t="s">
        <v>51</v>
      </c>
      <c r="H628" t="s">
        <v>5121</v>
      </c>
      <c r="I628" t="s">
        <v>52</v>
      </c>
      <c r="J628" t="s">
        <v>60</v>
      </c>
      <c r="K628" t="s">
        <v>54</v>
      </c>
      <c r="L628" t="s">
        <v>55</v>
      </c>
      <c r="O628" t="s">
        <v>61</v>
      </c>
      <c r="P628" t="s">
        <v>62</v>
      </c>
      <c r="Q628" t="s">
        <v>5122</v>
      </c>
      <c r="R628" t="s">
        <v>5123</v>
      </c>
      <c r="S628" t="s">
        <v>2895</v>
      </c>
      <c r="T628" t="s">
        <v>2896</v>
      </c>
      <c r="U628" t="s">
        <v>2897</v>
      </c>
    </row>
    <row r="629" spans="1:21" hidden="1">
      <c r="A629" t="s">
        <v>1360</v>
      </c>
      <c r="B629" t="s">
        <v>5112</v>
      </c>
      <c r="C629" t="s">
        <v>5124</v>
      </c>
      <c r="D629" t="s">
        <v>17</v>
      </c>
      <c r="E629" t="s">
        <v>2</v>
      </c>
      <c r="F629" t="s">
        <v>50</v>
      </c>
      <c r="G629" t="s">
        <v>51</v>
      </c>
      <c r="H629" t="s">
        <v>5125</v>
      </c>
      <c r="I629" t="s">
        <v>52</v>
      </c>
      <c r="J629" t="s">
        <v>65</v>
      </c>
      <c r="K629" t="s">
        <v>54</v>
      </c>
      <c r="L629" t="s">
        <v>55</v>
      </c>
      <c r="O629" t="s">
        <v>66</v>
      </c>
      <c r="P629" t="s">
        <v>67</v>
      </c>
      <c r="Q629" t="s">
        <v>5126</v>
      </c>
      <c r="R629" t="s">
        <v>5127</v>
      </c>
      <c r="S629" t="s">
        <v>2895</v>
      </c>
      <c r="T629" t="s">
        <v>2896</v>
      </c>
      <c r="U629" t="s">
        <v>2897</v>
      </c>
    </row>
    <row r="630" spans="1:21" hidden="1">
      <c r="A630" t="s">
        <v>1362</v>
      </c>
      <c r="B630" t="s">
        <v>5112</v>
      </c>
      <c r="C630" t="s">
        <v>3446</v>
      </c>
      <c r="D630" t="s">
        <v>17</v>
      </c>
      <c r="E630" t="s">
        <v>2</v>
      </c>
      <c r="F630" t="s">
        <v>50</v>
      </c>
      <c r="G630" t="s">
        <v>51</v>
      </c>
      <c r="H630" t="s">
        <v>5128</v>
      </c>
      <c r="I630" t="s">
        <v>52</v>
      </c>
      <c r="J630" t="s">
        <v>126</v>
      </c>
      <c r="K630" t="s">
        <v>54</v>
      </c>
      <c r="L630" t="s">
        <v>55</v>
      </c>
      <c r="O630" t="s">
        <v>56</v>
      </c>
      <c r="P630" t="s">
        <v>57</v>
      </c>
      <c r="Q630" t="s">
        <v>5129</v>
      </c>
      <c r="R630" t="s">
        <v>5130</v>
      </c>
      <c r="S630" t="s">
        <v>2895</v>
      </c>
      <c r="T630" t="s">
        <v>2896</v>
      </c>
      <c r="U630" t="s">
        <v>2897</v>
      </c>
    </row>
    <row r="631" spans="1:21" hidden="1">
      <c r="A631" t="s">
        <v>1364</v>
      </c>
      <c r="B631" t="s">
        <v>5112</v>
      </c>
      <c r="C631" t="s">
        <v>4626</v>
      </c>
      <c r="D631" t="s">
        <v>17</v>
      </c>
      <c r="E631" t="s">
        <v>2</v>
      </c>
      <c r="F631" t="s">
        <v>50</v>
      </c>
      <c r="G631" t="s">
        <v>51</v>
      </c>
      <c r="H631" t="s">
        <v>5131</v>
      </c>
      <c r="I631" t="s">
        <v>52</v>
      </c>
      <c r="J631" t="s">
        <v>60</v>
      </c>
      <c r="K631" t="s">
        <v>54</v>
      </c>
      <c r="L631" t="s">
        <v>55</v>
      </c>
      <c r="O631" t="s">
        <v>61</v>
      </c>
      <c r="P631" t="s">
        <v>62</v>
      </c>
      <c r="Q631" t="s">
        <v>5132</v>
      </c>
      <c r="R631" t="s">
        <v>5133</v>
      </c>
      <c r="S631" t="s">
        <v>2895</v>
      </c>
      <c r="T631" t="s">
        <v>2896</v>
      </c>
      <c r="U631" t="s">
        <v>2897</v>
      </c>
    </row>
    <row r="632" spans="1:21" hidden="1">
      <c r="A632" t="s">
        <v>1366</v>
      </c>
      <c r="B632" t="s">
        <v>5112</v>
      </c>
      <c r="C632" t="s">
        <v>5134</v>
      </c>
      <c r="D632" t="s">
        <v>17</v>
      </c>
      <c r="E632" t="s">
        <v>2</v>
      </c>
      <c r="F632" t="s">
        <v>50</v>
      </c>
      <c r="G632" t="s">
        <v>51</v>
      </c>
      <c r="H632" t="s">
        <v>5135</v>
      </c>
      <c r="I632" t="s">
        <v>52</v>
      </c>
      <c r="J632" t="s">
        <v>121</v>
      </c>
      <c r="K632" t="s">
        <v>54</v>
      </c>
      <c r="L632" t="s">
        <v>55</v>
      </c>
      <c r="O632" t="s">
        <v>122</v>
      </c>
      <c r="P632" t="s">
        <v>123</v>
      </c>
      <c r="Q632" t="s">
        <v>5136</v>
      </c>
      <c r="R632" t="s">
        <v>5137</v>
      </c>
      <c r="S632" t="s">
        <v>2895</v>
      </c>
      <c r="T632" t="s">
        <v>2896</v>
      </c>
      <c r="U632" t="s">
        <v>2897</v>
      </c>
    </row>
    <row r="633" spans="1:21" hidden="1">
      <c r="A633" t="s">
        <v>1368</v>
      </c>
      <c r="B633" t="s">
        <v>5112</v>
      </c>
      <c r="C633" t="s">
        <v>5138</v>
      </c>
      <c r="D633" t="s">
        <v>17</v>
      </c>
      <c r="E633" t="s">
        <v>2</v>
      </c>
      <c r="F633" t="s">
        <v>50</v>
      </c>
      <c r="G633" t="s">
        <v>100</v>
      </c>
      <c r="H633" t="s">
        <v>5139</v>
      </c>
      <c r="I633" t="s">
        <v>52</v>
      </c>
      <c r="J633" t="s">
        <v>114</v>
      </c>
      <c r="K633" t="s">
        <v>54</v>
      </c>
      <c r="L633" t="s">
        <v>102</v>
      </c>
      <c r="O633" t="s">
        <v>103</v>
      </c>
      <c r="P633" t="s">
        <v>104</v>
      </c>
      <c r="Q633" t="s">
        <v>5140</v>
      </c>
      <c r="R633" t="s">
        <v>5141</v>
      </c>
      <c r="S633" t="s">
        <v>2895</v>
      </c>
      <c r="T633" t="s">
        <v>2896</v>
      </c>
      <c r="U633" t="s">
        <v>2897</v>
      </c>
    </row>
    <row r="634" spans="1:21" hidden="1">
      <c r="A634" t="s">
        <v>1370</v>
      </c>
      <c r="B634" t="s">
        <v>5142</v>
      </c>
      <c r="C634" t="s">
        <v>5143</v>
      </c>
      <c r="D634" t="s">
        <v>17</v>
      </c>
      <c r="E634" t="s">
        <v>2</v>
      </c>
      <c r="F634" t="s">
        <v>50</v>
      </c>
      <c r="G634" t="s">
        <v>100</v>
      </c>
      <c r="H634" t="s">
        <v>5144</v>
      </c>
      <c r="I634" t="s">
        <v>52</v>
      </c>
      <c r="J634" t="s">
        <v>114</v>
      </c>
      <c r="K634" t="s">
        <v>54</v>
      </c>
      <c r="L634" t="s">
        <v>102</v>
      </c>
      <c r="O634" t="s">
        <v>103</v>
      </c>
      <c r="P634" t="s">
        <v>104</v>
      </c>
      <c r="Q634" t="s">
        <v>5145</v>
      </c>
      <c r="R634" t="s">
        <v>5146</v>
      </c>
      <c r="S634" t="s">
        <v>2895</v>
      </c>
      <c r="T634" t="s">
        <v>2896</v>
      </c>
      <c r="U634" t="s">
        <v>2897</v>
      </c>
    </row>
    <row r="635" spans="1:21" hidden="1">
      <c r="A635" t="s">
        <v>1372</v>
      </c>
      <c r="B635" t="s">
        <v>5142</v>
      </c>
      <c r="C635" t="s">
        <v>5147</v>
      </c>
      <c r="D635" t="s">
        <v>17</v>
      </c>
      <c r="E635" t="s">
        <v>2</v>
      </c>
      <c r="F635" t="s">
        <v>50</v>
      </c>
      <c r="G635" t="s">
        <v>51</v>
      </c>
      <c r="H635" t="s">
        <v>5148</v>
      </c>
      <c r="I635" t="s">
        <v>52</v>
      </c>
      <c r="J635" t="s">
        <v>60</v>
      </c>
      <c r="K635" t="s">
        <v>54</v>
      </c>
      <c r="L635" t="s">
        <v>55</v>
      </c>
      <c r="O635" t="s">
        <v>61</v>
      </c>
      <c r="P635" t="s">
        <v>62</v>
      </c>
      <c r="Q635" t="s">
        <v>5149</v>
      </c>
      <c r="R635" t="s">
        <v>5150</v>
      </c>
      <c r="S635" t="s">
        <v>2895</v>
      </c>
      <c r="T635" t="s">
        <v>2896</v>
      </c>
      <c r="U635" t="s">
        <v>2897</v>
      </c>
    </row>
    <row r="636" spans="1:21" hidden="1">
      <c r="A636" t="s">
        <v>1374</v>
      </c>
      <c r="B636" t="s">
        <v>5142</v>
      </c>
      <c r="C636" t="s">
        <v>5151</v>
      </c>
      <c r="D636" t="s">
        <v>17</v>
      </c>
      <c r="E636" t="s">
        <v>2</v>
      </c>
      <c r="F636" t="s">
        <v>50</v>
      </c>
      <c r="G636" t="s">
        <v>51</v>
      </c>
      <c r="H636" t="s">
        <v>5152</v>
      </c>
      <c r="I636" t="s">
        <v>52</v>
      </c>
      <c r="J636" t="s">
        <v>121</v>
      </c>
      <c r="K636" t="s">
        <v>54</v>
      </c>
      <c r="L636" t="s">
        <v>55</v>
      </c>
      <c r="O636" t="s">
        <v>122</v>
      </c>
      <c r="P636" t="s">
        <v>123</v>
      </c>
      <c r="Q636" t="s">
        <v>5153</v>
      </c>
      <c r="R636" t="s">
        <v>5154</v>
      </c>
      <c r="S636" t="s">
        <v>2895</v>
      </c>
      <c r="T636" t="s">
        <v>2896</v>
      </c>
      <c r="U636" t="s">
        <v>2897</v>
      </c>
    </row>
    <row r="637" spans="1:21" hidden="1">
      <c r="A637" t="s">
        <v>1376</v>
      </c>
      <c r="B637" t="s">
        <v>5142</v>
      </c>
      <c r="C637" t="s">
        <v>5155</v>
      </c>
      <c r="D637" t="s">
        <v>17</v>
      </c>
      <c r="E637" t="s">
        <v>2</v>
      </c>
      <c r="F637" t="s">
        <v>50</v>
      </c>
      <c r="G637" t="s">
        <v>51</v>
      </c>
      <c r="H637" t="s">
        <v>5156</v>
      </c>
      <c r="I637" t="s">
        <v>52</v>
      </c>
      <c r="J637" t="s">
        <v>53</v>
      </c>
      <c r="K637" t="s">
        <v>54</v>
      </c>
      <c r="L637" t="s">
        <v>55</v>
      </c>
      <c r="O637" t="s">
        <v>56</v>
      </c>
      <c r="P637" t="s">
        <v>57</v>
      </c>
      <c r="Q637" t="s">
        <v>5157</v>
      </c>
      <c r="R637" t="s">
        <v>5158</v>
      </c>
      <c r="S637" t="s">
        <v>2895</v>
      </c>
      <c r="T637" t="s">
        <v>2896</v>
      </c>
      <c r="U637" t="s">
        <v>2897</v>
      </c>
    </row>
    <row r="638" spans="1:21" hidden="1">
      <c r="A638" t="s">
        <v>1378</v>
      </c>
      <c r="B638" t="s">
        <v>5142</v>
      </c>
      <c r="C638" t="s">
        <v>5159</v>
      </c>
      <c r="D638" t="s">
        <v>17</v>
      </c>
      <c r="E638" t="s">
        <v>2</v>
      </c>
      <c r="F638" t="s">
        <v>50</v>
      </c>
      <c r="G638" t="s">
        <v>100</v>
      </c>
      <c r="H638" t="s">
        <v>2969</v>
      </c>
      <c r="I638" t="s">
        <v>52</v>
      </c>
      <c r="J638" t="s">
        <v>101</v>
      </c>
      <c r="K638" t="s">
        <v>54</v>
      </c>
      <c r="L638" t="s">
        <v>102</v>
      </c>
      <c r="O638" t="s">
        <v>103</v>
      </c>
      <c r="P638" t="s">
        <v>104</v>
      </c>
      <c r="Q638" t="s">
        <v>5160</v>
      </c>
      <c r="R638" t="s">
        <v>2971</v>
      </c>
      <c r="S638" t="s">
        <v>2895</v>
      </c>
      <c r="T638" t="s">
        <v>2896</v>
      </c>
      <c r="U638" t="s">
        <v>2897</v>
      </c>
    </row>
    <row r="639" spans="1:21" hidden="1">
      <c r="A639" t="s">
        <v>1380</v>
      </c>
      <c r="B639" t="s">
        <v>5142</v>
      </c>
      <c r="C639" t="s">
        <v>2960</v>
      </c>
      <c r="D639" t="s">
        <v>17</v>
      </c>
      <c r="E639" t="s">
        <v>2</v>
      </c>
      <c r="F639" t="s">
        <v>149</v>
      </c>
      <c r="G639" t="s">
        <v>321</v>
      </c>
      <c r="H639" t="s">
        <v>5161</v>
      </c>
      <c r="I639" t="s">
        <v>52</v>
      </c>
      <c r="J639" t="s">
        <v>9</v>
      </c>
      <c r="K639" t="s">
        <v>54</v>
      </c>
      <c r="L639" t="s">
        <v>102</v>
      </c>
      <c r="O639" t="s">
        <v>322</v>
      </c>
      <c r="P639" t="s">
        <v>323</v>
      </c>
      <c r="Q639" t="s">
        <v>5162</v>
      </c>
      <c r="R639" t="s">
        <v>5161</v>
      </c>
      <c r="S639" t="s">
        <v>2895</v>
      </c>
      <c r="T639" t="s">
        <v>2896</v>
      </c>
      <c r="U639" t="s">
        <v>2897</v>
      </c>
    </row>
    <row r="640" spans="1:21" hidden="1">
      <c r="A640" t="s">
        <v>1382</v>
      </c>
      <c r="B640" t="s">
        <v>5142</v>
      </c>
      <c r="C640" t="s">
        <v>5163</v>
      </c>
      <c r="D640" t="s">
        <v>17</v>
      </c>
      <c r="E640" t="s">
        <v>2</v>
      </c>
      <c r="F640" t="s">
        <v>50</v>
      </c>
      <c r="G640" t="s">
        <v>51</v>
      </c>
      <c r="H640" t="s">
        <v>5164</v>
      </c>
      <c r="I640" t="s">
        <v>52</v>
      </c>
      <c r="J640" t="s">
        <v>126</v>
      </c>
      <c r="K640" t="s">
        <v>54</v>
      </c>
      <c r="L640" t="s">
        <v>55</v>
      </c>
      <c r="O640" t="s">
        <v>56</v>
      </c>
      <c r="P640" t="s">
        <v>57</v>
      </c>
      <c r="Q640" t="s">
        <v>5165</v>
      </c>
      <c r="R640" t="s">
        <v>5166</v>
      </c>
      <c r="S640" t="s">
        <v>2895</v>
      </c>
      <c r="T640" t="s">
        <v>2896</v>
      </c>
      <c r="U640" t="s">
        <v>2897</v>
      </c>
    </row>
    <row r="641" spans="1:21" hidden="1">
      <c r="A641" t="s">
        <v>1384</v>
      </c>
      <c r="B641" t="s">
        <v>5142</v>
      </c>
      <c r="C641" t="s">
        <v>4234</v>
      </c>
      <c r="D641" t="s">
        <v>17</v>
      </c>
      <c r="E641" t="s">
        <v>2</v>
      </c>
      <c r="F641" t="s">
        <v>50</v>
      </c>
      <c r="G641" t="s">
        <v>51</v>
      </c>
      <c r="H641" t="s">
        <v>5167</v>
      </c>
      <c r="I641" t="s">
        <v>52</v>
      </c>
      <c r="J641" t="s">
        <v>60</v>
      </c>
      <c r="K641" t="s">
        <v>54</v>
      </c>
      <c r="L641" t="s">
        <v>55</v>
      </c>
      <c r="O641" t="s">
        <v>61</v>
      </c>
      <c r="P641" t="s">
        <v>62</v>
      </c>
      <c r="Q641" t="s">
        <v>5168</v>
      </c>
      <c r="R641" t="s">
        <v>5169</v>
      </c>
      <c r="S641" t="s">
        <v>2895</v>
      </c>
      <c r="T641" t="s">
        <v>2896</v>
      </c>
      <c r="U641" t="s">
        <v>2897</v>
      </c>
    </row>
    <row r="642" spans="1:21" hidden="1">
      <c r="A642" t="s">
        <v>1386</v>
      </c>
      <c r="B642" t="s">
        <v>5170</v>
      </c>
      <c r="C642" t="s">
        <v>4742</v>
      </c>
      <c r="D642" t="s">
        <v>17</v>
      </c>
      <c r="E642" t="s">
        <v>2</v>
      </c>
      <c r="F642" t="s">
        <v>50</v>
      </c>
      <c r="G642" t="s">
        <v>51</v>
      </c>
      <c r="H642" t="s">
        <v>5171</v>
      </c>
      <c r="I642" t="s">
        <v>52</v>
      </c>
      <c r="J642" t="s">
        <v>60</v>
      </c>
      <c r="K642" t="s">
        <v>54</v>
      </c>
      <c r="L642" t="s">
        <v>55</v>
      </c>
      <c r="O642" t="s">
        <v>61</v>
      </c>
      <c r="P642" t="s">
        <v>62</v>
      </c>
      <c r="Q642" t="s">
        <v>5172</v>
      </c>
      <c r="R642" t="s">
        <v>5173</v>
      </c>
      <c r="S642" t="s">
        <v>2895</v>
      </c>
      <c r="T642" t="s">
        <v>2896</v>
      </c>
      <c r="U642" t="s">
        <v>2897</v>
      </c>
    </row>
    <row r="643" spans="1:21" hidden="1">
      <c r="A643" t="s">
        <v>1388</v>
      </c>
      <c r="B643" t="s">
        <v>5170</v>
      </c>
      <c r="C643" t="s">
        <v>4533</v>
      </c>
      <c r="D643" t="s">
        <v>17</v>
      </c>
      <c r="E643" t="s">
        <v>2</v>
      </c>
      <c r="F643" t="s">
        <v>50</v>
      </c>
      <c r="G643" t="s">
        <v>51</v>
      </c>
      <c r="H643" t="s">
        <v>5174</v>
      </c>
      <c r="I643" t="s">
        <v>52</v>
      </c>
      <c r="J643" t="s">
        <v>126</v>
      </c>
      <c r="K643" t="s">
        <v>54</v>
      </c>
      <c r="L643" t="s">
        <v>55</v>
      </c>
      <c r="O643" t="s">
        <v>56</v>
      </c>
      <c r="P643" t="s">
        <v>57</v>
      </c>
      <c r="Q643" t="s">
        <v>5175</v>
      </c>
      <c r="R643" t="s">
        <v>5176</v>
      </c>
      <c r="S643" t="s">
        <v>2895</v>
      </c>
      <c r="T643" t="s">
        <v>2896</v>
      </c>
      <c r="U643" t="s">
        <v>2897</v>
      </c>
    </row>
    <row r="644" spans="1:21" hidden="1">
      <c r="A644" t="s">
        <v>1390</v>
      </c>
      <c r="B644" t="s">
        <v>5170</v>
      </c>
      <c r="C644" t="s">
        <v>3498</v>
      </c>
      <c r="D644" t="s">
        <v>17</v>
      </c>
      <c r="E644" t="s">
        <v>2</v>
      </c>
      <c r="F644" t="s">
        <v>50</v>
      </c>
      <c r="G644" t="s">
        <v>51</v>
      </c>
      <c r="H644" t="s">
        <v>5177</v>
      </c>
      <c r="I644" t="s">
        <v>52</v>
      </c>
      <c r="J644" t="s">
        <v>81</v>
      </c>
      <c r="K644" t="s">
        <v>54</v>
      </c>
      <c r="L644" t="s">
        <v>55</v>
      </c>
      <c r="O644" t="s">
        <v>82</v>
      </c>
      <c r="P644" t="s">
        <v>83</v>
      </c>
      <c r="Q644" t="s">
        <v>5178</v>
      </c>
      <c r="R644" t="s">
        <v>5179</v>
      </c>
      <c r="S644" t="s">
        <v>2895</v>
      </c>
      <c r="T644" t="s">
        <v>2896</v>
      </c>
      <c r="U644" t="s">
        <v>2897</v>
      </c>
    </row>
    <row r="645" spans="1:21" hidden="1">
      <c r="A645" t="s">
        <v>1392</v>
      </c>
      <c r="B645" t="s">
        <v>5170</v>
      </c>
      <c r="C645" t="s">
        <v>5180</v>
      </c>
      <c r="D645" t="s">
        <v>17</v>
      </c>
      <c r="E645" t="s">
        <v>2</v>
      </c>
      <c r="F645" t="s">
        <v>50</v>
      </c>
      <c r="G645" t="s">
        <v>51</v>
      </c>
      <c r="H645" t="s">
        <v>5181</v>
      </c>
      <c r="I645" t="s">
        <v>52</v>
      </c>
      <c r="J645" t="s">
        <v>121</v>
      </c>
      <c r="K645" t="s">
        <v>54</v>
      </c>
      <c r="L645" t="s">
        <v>55</v>
      </c>
      <c r="O645" t="s">
        <v>122</v>
      </c>
      <c r="P645" t="s">
        <v>123</v>
      </c>
      <c r="Q645" t="s">
        <v>5182</v>
      </c>
      <c r="R645" t="s">
        <v>5183</v>
      </c>
      <c r="S645" t="s">
        <v>2895</v>
      </c>
      <c r="T645" t="s">
        <v>2896</v>
      </c>
      <c r="U645" t="s">
        <v>2897</v>
      </c>
    </row>
    <row r="646" spans="1:21" hidden="1">
      <c r="A646" t="s">
        <v>1394</v>
      </c>
      <c r="B646" t="s">
        <v>5170</v>
      </c>
      <c r="C646" t="s">
        <v>3954</v>
      </c>
      <c r="D646" t="s">
        <v>17</v>
      </c>
      <c r="E646" t="s">
        <v>2</v>
      </c>
      <c r="F646" t="s">
        <v>50</v>
      </c>
      <c r="G646" t="s">
        <v>100</v>
      </c>
      <c r="H646" t="s">
        <v>2969</v>
      </c>
      <c r="I646" t="s">
        <v>52</v>
      </c>
      <c r="J646" t="s">
        <v>101</v>
      </c>
      <c r="K646" t="s">
        <v>54</v>
      </c>
      <c r="L646" t="s">
        <v>102</v>
      </c>
      <c r="O646" t="s">
        <v>103</v>
      </c>
      <c r="P646" t="s">
        <v>104</v>
      </c>
      <c r="Q646" t="s">
        <v>5184</v>
      </c>
      <c r="R646" t="s">
        <v>2971</v>
      </c>
      <c r="S646" t="s">
        <v>2895</v>
      </c>
      <c r="T646" t="s">
        <v>2896</v>
      </c>
      <c r="U646" t="s">
        <v>2897</v>
      </c>
    </row>
    <row r="647" spans="1:21" hidden="1">
      <c r="A647" t="s">
        <v>1396</v>
      </c>
      <c r="B647" t="s">
        <v>5170</v>
      </c>
      <c r="C647" t="s">
        <v>5185</v>
      </c>
      <c r="D647" t="s">
        <v>17</v>
      </c>
      <c r="E647" t="s">
        <v>2</v>
      </c>
      <c r="F647" t="s">
        <v>50</v>
      </c>
      <c r="G647" t="s">
        <v>88</v>
      </c>
      <c r="H647" t="s">
        <v>5186</v>
      </c>
      <c r="I647" t="s">
        <v>52</v>
      </c>
      <c r="J647" t="s">
        <v>89</v>
      </c>
      <c r="K647" t="s">
        <v>54</v>
      </c>
      <c r="L647" t="s">
        <v>90</v>
      </c>
      <c r="M647" t="s">
        <v>91</v>
      </c>
      <c r="N647" t="s">
        <v>12</v>
      </c>
      <c r="O647" t="s">
        <v>92</v>
      </c>
      <c r="P647" t="s">
        <v>93</v>
      </c>
      <c r="Q647" t="s">
        <v>5187</v>
      </c>
      <c r="R647" t="s">
        <v>5188</v>
      </c>
      <c r="S647" t="s">
        <v>2895</v>
      </c>
      <c r="T647" t="s">
        <v>2896</v>
      </c>
      <c r="U647" t="s">
        <v>2897</v>
      </c>
    </row>
    <row r="648" spans="1:21" hidden="1">
      <c r="A648" t="s">
        <v>1398</v>
      </c>
      <c r="B648" t="s">
        <v>5170</v>
      </c>
      <c r="C648" t="s">
        <v>4862</v>
      </c>
      <c r="D648" t="s">
        <v>17</v>
      </c>
      <c r="E648" t="s">
        <v>2</v>
      </c>
      <c r="F648" t="s">
        <v>50</v>
      </c>
      <c r="G648" t="s">
        <v>100</v>
      </c>
      <c r="H648" t="s">
        <v>5189</v>
      </c>
      <c r="I648" t="s">
        <v>52</v>
      </c>
      <c r="J648" t="s">
        <v>114</v>
      </c>
      <c r="K648" t="s">
        <v>54</v>
      </c>
      <c r="L648" t="s">
        <v>102</v>
      </c>
      <c r="O648" t="s">
        <v>103</v>
      </c>
      <c r="P648" t="s">
        <v>104</v>
      </c>
      <c r="Q648" t="s">
        <v>5190</v>
      </c>
      <c r="R648" t="s">
        <v>5191</v>
      </c>
      <c r="S648" t="s">
        <v>2895</v>
      </c>
      <c r="T648" t="s">
        <v>2896</v>
      </c>
      <c r="U648" t="s">
        <v>2897</v>
      </c>
    </row>
    <row r="649" spans="1:21" hidden="1">
      <c r="A649" t="s">
        <v>1400</v>
      </c>
      <c r="B649" t="s">
        <v>5192</v>
      </c>
      <c r="C649" t="s">
        <v>2923</v>
      </c>
      <c r="D649" t="s">
        <v>17</v>
      </c>
      <c r="E649" t="s">
        <v>2</v>
      </c>
      <c r="F649" t="s">
        <v>50</v>
      </c>
      <c r="G649" t="s">
        <v>51</v>
      </c>
      <c r="H649" t="s">
        <v>5193</v>
      </c>
      <c r="I649" t="s">
        <v>52</v>
      </c>
      <c r="J649" t="s">
        <v>65</v>
      </c>
      <c r="K649" t="s">
        <v>54</v>
      </c>
      <c r="L649" t="s">
        <v>55</v>
      </c>
      <c r="O649" t="s">
        <v>66</v>
      </c>
      <c r="P649" t="s">
        <v>67</v>
      </c>
      <c r="Q649" t="s">
        <v>5194</v>
      </c>
      <c r="R649" t="s">
        <v>5195</v>
      </c>
      <c r="S649" t="s">
        <v>2895</v>
      </c>
      <c r="T649" t="s">
        <v>2896</v>
      </c>
      <c r="U649" t="s">
        <v>2897</v>
      </c>
    </row>
    <row r="650" spans="1:21" hidden="1">
      <c r="A650" t="s">
        <v>1402</v>
      </c>
      <c r="B650" t="s">
        <v>5192</v>
      </c>
      <c r="C650" t="s">
        <v>5196</v>
      </c>
      <c r="D650" t="s">
        <v>17</v>
      </c>
      <c r="E650" t="s">
        <v>2</v>
      </c>
      <c r="F650" t="s">
        <v>50</v>
      </c>
      <c r="G650" t="s">
        <v>51</v>
      </c>
      <c r="H650" t="s">
        <v>5197</v>
      </c>
      <c r="I650" t="s">
        <v>52</v>
      </c>
      <c r="J650" t="s">
        <v>126</v>
      </c>
      <c r="K650" t="s">
        <v>54</v>
      </c>
      <c r="L650" t="s">
        <v>55</v>
      </c>
      <c r="O650" t="s">
        <v>56</v>
      </c>
      <c r="P650" t="s">
        <v>57</v>
      </c>
      <c r="Q650" t="s">
        <v>5198</v>
      </c>
      <c r="R650" t="s">
        <v>5199</v>
      </c>
      <c r="S650" t="s">
        <v>2895</v>
      </c>
      <c r="T650" t="s">
        <v>2896</v>
      </c>
      <c r="U650" t="s">
        <v>2897</v>
      </c>
    </row>
    <row r="651" spans="1:21" hidden="1">
      <c r="A651" t="s">
        <v>1404</v>
      </c>
      <c r="B651" t="s">
        <v>5192</v>
      </c>
      <c r="C651" t="s">
        <v>5200</v>
      </c>
      <c r="D651" t="s">
        <v>17</v>
      </c>
      <c r="E651" t="s">
        <v>2</v>
      </c>
      <c r="F651" t="s">
        <v>50</v>
      </c>
      <c r="G651" t="s">
        <v>51</v>
      </c>
      <c r="H651" t="s">
        <v>5201</v>
      </c>
      <c r="I651" t="s">
        <v>52</v>
      </c>
      <c r="J651" t="s">
        <v>196</v>
      </c>
      <c r="K651" t="s">
        <v>54</v>
      </c>
      <c r="L651" t="s">
        <v>55</v>
      </c>
      <c r="O651" t="s">
        <v>197</v>
      </c>
      <c r="P651" t="s">
        <v>198</v>
      </c>
      <c r="Q651" t="s">
        <v>5202</v>
      </c>
      <c r="R651" t="s">
        <v>5203</v>
      </c>
      <c r="S651" t="s">
        <v>2895</v>
      </c>
      <c r="T651" t="s">
        <v>2896</v>
      </c>
      <c r="U651" t="s">
        <v>2897</v>
      </c>
    </row>
    <row r="652" spans="1:21" hidden="1">
      <c r="A652" t="s">
        <v>1406</v>
      </c>
      <c r="B652" t="s">
        <v>5192</v>
      </c>
      <c r="C652" t="s">
        <v>5204</v>
      </c>
      <c r="D652" t="s">
        <v>17</v>
      </c>
      <c r="E652" t="s">
        <v>2</v>
      </c>
      <c r="F652" t="s">
        <v>50</v>
      </c>
      <c r="G652" t="s">
        <v>51</v>
      </c>
      <c r="H652" t="s">
        <v>5205</v>
      </c>
      <c r="I652" t="s">
        <v>52</v>
      </c>
      <c r="J652" t="s">
        <v>121</v>
      </c>
      <c r="K652" t="s">
        <v>54</v>
      </c>
      <c r="L652" t="s">
        <v>55</v>
      </c>
      <c r="O652" t="s">
        <v>122</v>
      </c>
      <c r="P652" t="s">
        <v>123</v>
      </c>
      <c r="Q652" t="s">
        <v>5206</v>
      </c>
      <c r="R652" t="s">
        <v>5207</v>
      </c>
      <c r="S652" t="s">
        <v>2895</v>
      </c>
      <c r="T652" t="s">
        <v>2896</v>
      </c>
      <c r="U652" t="s">
        <v>2897</v>
      </c>
    </row>
    <row r="653" spans="1:21" hidden="1">
      <c r="A653" t="s">
        <v>1408</v>
      </c>
      <c r="B653" t="s">
        <v>5192</v>
      </c>
      <c r="C653" t="s">
        <v>5022</v>
      </c>
      <c r="D653" t="s">
        <v>17</v>
      </c>
      <c r="E653" t="s">
        <v>2</v>
      </c>
      <c r="F653" t="s">
        <v>50</v>
      </c>
      <c r="G653" t="s">
        <v>72</v>
      </c>
      <c r="H653" t="s">
        <v>5208</v>
      </c>
      <c r="I653" t="s">
        <v>52</v>
      </c>
      <c r="J653" t="s">
        <v>316</v>
      </c>
      <c r="K653" t="s">
        <v>54</v>
      </c>
      <c r="L653" t="s">
        <v>74</v>
      </c>
      <c r="O653" t="s">
        <v>75</v>
      </c>
      <c r="P653" t="s">
        <v>76</v>
      </c>
      <c r="Q653" t="s">
        <v>5209</v>
      </c>
      <c r="R653" t="s">
        <v>5210</v>
      </c>
      <c r="S653" t="s">
        <v>2895</v>
      </c>
      <c r="T653" t="s">
        <v>2896</v>
      </c>
      <c r="U653" t="s">
        <v>2897</v>
      </c>
    </row>
    <row r="654" spans="1:21" hidden="1">
      <c r="A654" t="s">
        <v>1410</v>
      </c>
      <c r="B654" t="s">
        <v>5192</v>
      </c>
      <c r="C654" t="s">
        <v>5211</v>
      </c>
      <c r="D654" t="s">
        <v>17</v>
      </c>
      <c r="E654" t="s">
        <v>2</v>
      </c>
      <c r="F654" t="s">
        <v>50</v>
      </c>
      <c r="G654" t="s">
        <v>51</v>
      </c>
      <c r="H654" t="s">
        <v>5212</v>
      </c>
      <c r="I654" t="s">
        <v>52</v>
      </c>
      <c r="J654" t="s">
        <v>121</v>
      </c>
      <c r="K654" t="s">
        <v>54</v>
      </c>
      <c r="L654" t="s">
        <v>55</v>
      </c>
      <c r="O654" t="s">
        <v>122</v>
      </c>
      <c r="P654" t="s">
        <v>123</v>
      </c>
      <c r="Q654" t="s">
        <v>5213</v>
      </c>
      <c r="R654" t="s">
        <v>5214</v>
      </c>
      <c r="S654" t="s">
        <v>2895</v>
      </c>
      <c r="T654" t="s">
        <v>2896</v>
      </c>
      <c r="U654" t="s">
        <v>2897</v>
      </c>
    </row>
    <row r="655" spans="1:21" hidden="1">
      <c r="A655" t="s">
        <v>1412</v>
      </c>
      <c r="B655" t="s">
        <v>5192</v>
      </c>
      <c r="C655" t="s">
        <v>3396</v>
      </c>
      <c r="D655" t="s">
        <v>17</v>
      </c>
      <c r="E655" t="s">
        <v>2</v>
      </c>
      <c r="F655" t="s">
        <v>50</v>
      </c>
      <c r="G655" t="s">
        <v>100</v>
      </c>
      <c r="H655" t="s">
        <v>5215</v>
      </c>
      <c r="I655" t="s">
        <v>52</v>
      </c>
      <c r="J655" t="s">
        <v>114</v>
      </c>
      <c r="K655" t="s">
        <v>54</v>
      </c>
      <c r="L655" t="s">
        <v>102</v>
      </c>
      <c r="O655" t="s">
        <v>103</v>
      </c>
      <c r="P655" t="s">
        <v>104</v>
      </c>
      <c r="Q655" t="s">
        <v>5216</v>
      </c>
      <c r="R655" t="s">
        <v>5217</v>
      </c>
      <c r="S655" t="s">
        <v>2895</v>
      </c>
      <c r="T655" t="s">
        <v>2896</v>
      </c>
      <c r="U655" t="s">
        <v>2897</v>
      </c>
    </row>
    <row r="656" spans="1:21" hidden="1">
      <c r="A656" t="s">
        <v>1414</v>
      </c>
      <c r="B656" t="s">
        <v>5192</v>
      </c>
      <c r="C656" t="s">
        <v>5218</v>
      </c>
      <c r="D656" t="s">
        <v>17</v>
      </c>
      <c r="E656" t="s">
        <v>2</v>
      </c>
      <c r="F656" t="s">
        <v>50</v>
      </c>
      <c r="G656" t="s">
        <v>51</v>
      </c>
      <c r="H656" t="s">
        <v>5219</v>
      </c>
      <c r="I656" t="s">
        <v>52</v>
      </c>
      <c r="J656" t="s">
        <v>196</v>
      </c>
      <c r="K656" t="s">
        <v>54</v>
      </c>
      <c r="L656" t="s">
        <v>55</v>
      </c>
      <c r="O656" t="s">
        <v>197</v>
      </c>
      <c r="P656" t="s">
        <v>198</v>
      </c>
      <c r="Q656" t="s">
        <v>5220</v>
      </c>
      <c r="R656" t="s">
        <v>5221</v>
      </c>
      <c r="S656" t="s">
        <v>2895</v>
      </c>
      <c r="T656" t="s">
        <v>2896</v>
      </c>
      <c r="U656" t="s">
        <v>2897</v>
      </c>
    </row>
    <row r="657" spans="1:21" hidden="1">
      <c r="A657" t="s">
        <v>1416</v>
      </c>
      <c r="B657" t="s">
        <v>5192</v>
      </c>
      <c r="C657" t="s">
        <v>5222</v>
      </c>
      <c r="D657" t="s">
        <v>17</v>
      </c>
      <c r="E657" t="s">
        <v>2</v>
      </c>
      <c r="F657" t="s">
        <v>50</v>
      </c>
      <c r="G657" t="s">
        <v>88</v>
      </c>
      <c r="H657" t="s">
        <v>5223</v>
      </c>
      <c r="I657" t="s">
        <v>52</v>
      </c>
      <c r="J657" t="s">
        <v>89</v>
      </c>
      <c r="K657" t="s">
        <v>54</v>
      </c>
      <c r="L657" t="s">
        <v>90</v>
      </c>
      <c r="M657" t="s">
        <v>91</v>
      </c>
      <c r="N657" t="s">
        <v>12</v>
      </c>
      <c r="O657" t="s">
        <v>92</v>
      </c>
      <c r="P657" t="s">
        <v>93</v>
      </c>
      <c r="Q657" t="s">
        <v>5224</v>
      </c>
      <c r="R657" t="s">
        <v>5225</v>
      </c>
      <c r="S657" t="s">
        <v>2895</v>
      </c>
      <c r="T657" t="s">
        <v>2896</v>
      </c>
      <c r="U657" t="s">
        <v>2897</v>
      </c>
    </row>
    <row r="658" spans="1:21" hidden="1">
      <c r="A658" t="s">
        <v>1418</v>
      </c>
      <c r="B658" t="s">
        <v>5226</v>
      </c>
      <c r="C658" t="s">
        <v>3965</v>
      </c>
      <c r="D658" t="s">
        <v>17</v>
      </c>
      <c r="E658" t="s">
        <v>2</v>
      </c>
      <c r="F658" t="s">
        <v>50</v>
      </c>
      <c r="G658" t="s">
        <v>51</v>
      </c>
      <c r="H658" t="s">
        <v>5227</v>
      </c>
      <c r="I658" t="s">
        <v>52</v>
      </c>
      <c r="J658" t="s">
        <v>60</v>
      </c>
      <c r="K658" t="s">
        <v>54</v>
      </c>
      <c r="L658" t="s">
        <v>55</v>
      </c>
      <c r="O658" t="s">
        <v>61</v>
      </c>
      <c r="P658" t="s">
        <v>62</v>
      </c>
      <c r="Q658" t="s">
        <v>5228</v>
      </c>
      <c r="R658" t="s">
        <v>5229</v>
      </c>
      <c r="S658" t="s">
        <v>2895</v>
      </c>
      <c r="T658" t="s">
        <v>2896</v>
      </c>
      <c r="U658" t="s">
        <v>2897</v>
      </c>
    </row>
    <row r="659" spans="1:21" hidden="1">
      <c r="A659" t="s">
        <v>1420</v>
      </c>
      <c r="B659" t="s">
        <v>5226</v>
      </c>
      <c r="C659" t="s">
        <v>4313</v>
      </c>
      <c r="D659" t="s">
        <v>17</v>
      </c>
      <c r="E659" t="s">
        <v>2</v>
      </c>
      <c r="F659" t="s">
        <v>50</v>
      </c>
      <c r="G659" t="s">
        <v>51</v>
      </c>
      <c r="H659" t="s">
        <v>5230</v>
      </c>
      <c r="I659" t="s">
        <v>52</v>
      </c>
      <c r="J659" t="s">
        <v>60</v>
      </c>
      <c r="K659" t="s">
        <v>54</v>
      </c>
      <c r="L659" t="s">
        <v>55</v>
      </c>
      <c r="O659" t="s">
        <v>61</v>
      </c>
      <c r="P659" t="s">
        <v>62</v>
      </c>
      <c r="Q659" t="s">
        <v>5231</v>
      </c>
      <c r="R659" t="s">
        <v>5232</v>
      </c>
      <c r="S659" t="s">
        <v>2895</v>
      </c>
      <c r="T659" t="s">
        <v>2896</v>
      </c>
      <c r="U659" t="s">
        <v>2897</v>
      </c>
    </row>
    <row r="660" spans="1:21" hidden="1">
      <c r="A660" t="s">
        <v>1421</v>
      </c>
      <c r="B660" t="s">
        <v>5226</v>
      </c>
      <c r="C660" t="s">
        <v>5233</v>
      </c>
      <c r="D660" t="s">
        <v>17</v>
      </c>
      <c r="E660" t="s">
        <v>2</v>
      </c>
      <c r="F660" t="s">
        <v>50</v>
      </c>
      <c r="G660" t="s">
        <v>51</v>
      </c>
      <c r="H660" t="s">
        <v>5181</v>
      </c>
      <c r="I660" t="s">
        <v>52</v>
      </c>
      <c r="J660" t="s">
        <v>53</v>
      </c>
      <c r="K660" t="s">
        <v>54</v>
      </c>
      <c r="L660" t="s">
        <v>55</v>
      </c>
      <c r="O660" t="s">
        <v>56</v>
      </c>
      <c r="P660" t="s">
        <v>57</v>
      </c>
      <c r="Q660" t="s">
        <v>5234</v>
      </c>
      <c r="R660" t="s">
        <v>5183</v>
      </c>
      <c r="S660" t="s">
        <v>2895</v>
      </c>
      <c r="T660" t="s">
        <v>2896</v>
      </c>
      <c r="U660" t="s">
        <v>2897</v>
      </c>
    </row>
    <row r="661" spans="1:21" hidden="1">
      <c r="A661" t="s">
        <v>1423</v>
      </c>
      <c r="B661" t="s">
        <v>5226</v>
      </c>
      <c r="C661" t="s">
        <v>5235</v>
      </c>
      <c r="D661" t="s">
        <v>17</v>
      </c>
      <c r="E661" t="s">
        <v>2</v>
      </c>
      <c r="F661" t="s">
        <v>50</v>
      </c>
      <c r="G661" t="s">
        <v>100</v>
      </c>
      <c r="H661" t="s">
        <v>2969</v>
      </c>
      <c r="I661" t="s">
        <v>52</v>
      </c>
      <c r="J661" t="s">
        <v>101</v>
      </c>
      <c r="K661" t="s">
        <v>54</v>
      </c>
      <c r="L661" t="s">
        <v>102</v>
      </c>
      <c r="O661" t="s">
        <v>103</v>
      </c>
      <c r="P661" t="s">
        <v>104</v>
      </c>
      <c r="Q661" t="s">
        <v>5236</v>
      </c>
      <c r="R661" t="s">
        <v>2971</v>
      </c>
      <c r="S661" t="s">
        <v>2895</v>
      </c>
      <c r="T661" t="s">
        <v>2896</v>
      </c>
      <c r="U661" t="s">
        <v>2897</v>
      </c>
    </row>
    <row r="662" spans="1:21" hidden="1">
      <c r="A662" t="s">
        <v>1425</v>
      </c>
      <c r="B662" t="s">
        <v>5226</v>
      </c>
      <c r="C662" t="s">
        <v>5235</v>
      </c>
      <c r="D662" t="s">
        <v>17</v>
      </c>
      <c r="E662" t="s">
        <v>2</v>
      </c>
      <c r="F662" t="s">
        <v>50</v>
      </c>
      <c r="G662" t="s">
        <v>51</v>
      </c>
      <c r="H662" t="s">
        <v>5237</v>
      </c>
      <c r="I662" t="s">
        <v>52</v>
      </c>
      <c r="J662" t="s">
        <v>126</v>
      </c>
      <c r="K662" t="s">
        <v>54</v>
      </c>
      <c r="L662" t="s">
        <v>55</v>
      </c>
      <c r="O662" t="s">
        <v>56</v>
      </c>
      <c r="P662" t="s">
        <v>57</v>
      </c>
      <c r="Q662" t="s">
        <v>5238</v>
      </c>
      <c r="R662" t="s">
        <v>5239</v>
      </c>
      <c r="S662" t="s">
        <v>2895</v>
      </c>
      <c r="T662" t="s">
        <v>2896</v>
      </c>
      <c r="U662" t="s">
        <v>2897</v>
      </c>
    </row>
    <row r="663" spans="1:21" hidden="1">
      <c r="A663" t="s">
        <v>1427</v>
      </c>
      <c r="B663" t="s">
        <v>5226</v>
      </c>
      <c r="C663" t="s">
        <v>5240</v>
      </c>
      <c r="D663" t="s">
        <v>17</v>
      </c>
      <c r="E663" t="s">
        <v>2</v>
      </c>
      <c r="F663" t="s">
        <v>50</v>
      </c>
      <c r="G663" t="s">
        <v>51</v>
      </c>
      <c r="H663" t="s">
        <v>5241</v>
      </c>
      <c r="I663" t="s">
        <v>52</v>
      </c>
      <c r="J663" t="s">
        <v>60</v>
      </c>
      <c r="K663" t="s">
        <v>54</v>
      </c>
      <c r="L663" t="s">
        <v>55</v>
      </c>
      <c r="O663" t="s">
        <v>61</v>
      </c>
      <c r="P663" t="s">
        <v>62</v>
      </c>
      <c r="Q663" t="s">
        <v>5242</v>
      </c>
      <c r="R663" t="s">
        <v>5243</v>
      </c>
      <c r="S663" t="s">
        <v>2895</v>
      </c>
      <c r="T663" t="s">
        <v>2896</v>
      </c>
      <c r="U663" t="s">
        <v>2897</v>
      </c>
    </row>
    <row r="664" spans="1:21" hidden="1">
      <c r="A664" t="s">
        <v>1429</v>
      </c>
      <c r="B664" t="s">
        <v>5226</v>
      </c>
      <c r="C664" t="s">
        <v>5244</v>
      </c>
      <c r="D664" t="s">
        <v>17</v>
      </c>
      <c r="E664" t="s">
        <v>2</v>
      </c>
      <c r="F664" t="s">
        <v>50</v>
      </c>
      <c r="G664" t="s">
        <v>88</v>
      </c>
      <c r="H664" t="s">
        <v>4674</v>
      </c>
      <c r="I664" t="s">
        <v>52</v>
      </c>
      <c r="J664" t="s">
        <v>89</v>
      </c>
      <c r="K664" t="s">
        <v>54</v>
      </c>
      <c r="L664" t="s">
        <v>90</v>
      </c>
      <c r="M664" t="s">
        <v>91</v>
      </c>
      <c r="N664" t="s">
        <v>12</v>
      </c>
      <c r="O664" t="s">
        <v>92</v>
      </c>
      <c r="P664" t="s">
        <v>93</v>
      </c>
      <c r="Q664" t="s">
        <v>5245</v>
      </c>
      <c r="R664" t="s">
        <v>4676</v>
      </c>
      <c r="S664" t="s">
        <v>2895</v>
      </c>
      <c r="T664" t="s">
        <v>2896</v>
      </c>
      <c r="U664" t="s">
        <v>2897</v>
      </c>
    </row>
    <row r="665" spans="1:21" hidden="1">
      <c r="A665" t="s">
        <v>1431</v>
      </c>
      <c r="B665" t="s">
        <v>5226</v>
      </c>
      <c r="C665" t="s">
        <v>5246</v>
      </c>
      <c r="D665" t="s">
        <v>17</v>
      </c>
      <c r="E665" t="s">
        <v>2</v>
      </c>
      <c r="F665" t="s">
        <v>50</v>
      </c>
      <c r="G665" t="s">
        <v>51</v>
      </c>
      <c r="H665" t="s">
        <v>5247</v>
      </c>
      <c r="I665" t="s">
        <v>52</v>
      </c>
      <c r="J665" t="s">
        <v>121</v>
      </c>
      <c r="K665" t="s">
        <v>54</v>
      </c>
      <c r="L665" t="s">
        <v>55</v>
      </c>
      <c r="O665" t="s">
        <v>122</v>
      </c>
      <c r="P665" t="s">
        <v>123</v>
      </c>
      <c r="Q665" t="s">
        <v>5248</v>
      </c>
      <c r="R665" t="s">
        <v>5249</v>
      </c>
      <c r="S665" t="s">
        <v>2895</v>
      </c>
      <c r="T665" t="s">
        <v>2896</v>
      </c>
      <c r="U665" t="s">
        <v>2897</v>
      </c>
    </row>
    <row r="666" spans="1:21" hidden="1">
      <c r="A666" t="s">
        <v>1433</v>
      </c>
      <c r="B666" t="s">
        <v>5226</v>
      </c>
      <c r="C666" t="s">
        <v>5250</v>
      </c>
      <c r="D666" t="s">
        <v>17</v>
      </c>
      <c r="E666" t="s">
        <v>2</v>
      </c>
      <c r="F666" t="s">
        <v>50</v>
      </c>
      <c r="G666" t="s">
        <v>51</v>
      </c>
      <c r="H666" t="s">
        <v>5251</v>
      </c>
      <c r="I666" t="s">
        <v>52</v>
      </c>
      <c r="J666" t="s">
        <v>81</v>
      </c>
      <c r="K666" t="s">
        <v>54</v>
      </c>
      <c r="L666" t="s">
        <v>55</v>
      </c>
      <c r="O666" t="s">
        <v>82</v>
      </c>
      <c r="P666" t="s">
        <v>83</v>
      </c>
      <c r="Q666" t="s">
        <v>5252</v>
      </c>
      <c r="R666" t="s">
        <v>5253</v>
      </c>
      <c r="S666" t="s">
        <v>2895</v>
      </c>
      <c r="T666" t="s">
        <v>2896</v>
      </c>
      <c r="U666" t="s">
        <v>2897</v>
      </c>
    </row>
    <row r="667" spans="1:21" hidden="1">
      <c r="A667" t="s">
        <v>1435</v>
      </c>
      <c r="B667" t="s">
        <v>5254</v>
      </c>
      <c r="C667" t="s">
        <v>3097</v>
      </c>
      <c r="D667" t="s">
        <v>17</v>
      </c>
      <c r="E667" t="s">
        <v>2</v>
      </c>
      <c r="F667" t="s">
        <v>50</v>
      </c>
      <c r="G667" t="s">
        <v>51</v>
      </c>
      <c r="H667" t="s">
        <v>5255</v>
      </c>
      <c r="I667" t="s">
        <v>52</v>
      </c>
      <c r="J667" t="s">
        <v>81</v>
      </c>
      <c r="K667" t="s">
        <v>54</v>
      </c>
      <c r="L667" t="s">
        <v>55</v>
      </c>
      <c r="O667" t="s">
        <v>82</v>
      </c>
      <c r="P667" t="s">
        <v>83</v>
      </c>
      <c r="Q667" t="s">
        <v>5256</v>
      </c>
      <c r="R667" t="s">
        <v>5257</v>
      </c>
      <c r="S667" t="s">
        <v>2895</v>
      </c>
      <c r="T667" t="s">
        <v>2896</v>
      </c>
      <c r="U667" t="s">
        <v>2897</v>
      </c>
    </row>
    <row r="668" spans="1:21" hidden="1">
      <c r="A668" t="s">
        <v>1437</v>
      </c>
      <c r="B668" t="s">
        <v>5254</v>
      </c>
      <c r="C668" t="s">
        <v>2927</v>
      </c>
      <c r="D668" t="s">
        <v>17</v>
      </c>
      <c r="E668" t="s">
        <v>2</v>
      </c>
      <c r="F668" t="s">
        <v>50</v>
      </c>
      <c r="G668" t="s">
        <v>51</v>
      </c>
      <c r="H668" t="s">
        <v>5258</v>
      </c>
      <c r="I668" t="s">
        <v>52</v>
      </c>
      <c r="J668" t="s">
        <v>121</v>
      </c>
      <c r="K668" t="s">
        <v>54</v>
      </c>
      <c r="L668" t="s">
        <v>55</v>
      </c>
      <c r="O668" t="s">
        <v>122</v>
      </c>
      <c r="P668" t="s">
        <v>123</v>
      </c>
      <c r="Q668" t="s">
        <v>5259</v>
      </c>
      <c r="R668" t="s">
        <v>5260</v>
      </c>
      <c r="S668" t="s">
        <v>2895</v>
      </c>
      <c r="T668" t="s">
        <v>2896</v>
      </c>
      <c r="U668" t="s">
        <v>2897</v>
      </c>
    </row>
    <row r="669" spans="1:21" hidden="1">
      <c r="A669" t="s">
        <v>1439</v>
      </c>
      <c r="B669" t="s">
        <v>5254</v>
      </c>
      <c r="C669" t="s">
        <v>5261</v>
      </c>
      <c r="D669" t="s">
        <v>17</v>
      </c>
      <c r="E669" t="s">
        <v>2</v>
      </c>
      <c r="F669" t="s">
        <v>50</v>
      </c>
      <c r="G669" t="s">
        <v>51</v>
      </c>
      <c r="H669" t="s">
        <v>5262</v>
      </c>
      <c r="I669" t="s">
        <v>52</v>
      </c>
      <c r="J669" t="s">
        <v>60</v>
      </c>
      <c r="K669" t="s">
        <v>54</v>
      </c>
      <c r="L669" t="s">
        <v>55</v>
      </c>
      <c r="O669" t="s">
        <v>61</v>
      </c>
      <c r="P669" t="s">
        <v>62</v>
      </c>
      <c r="Q669" t="s">
        <v>5263</v>
      </c>
      <c r="R669" t="s">
        <v>5264</v>
      </c>
      <c r="S669" t="s">
        <v>2895</v>
      </c>
      <c r="T669" t="s">
        <v>2896</v>
      </c>
      <c r="U669" t="s">
        <v>2897</v>
      </c>
    </row>
    <row r="670" spans="1:21" hidden="1">
      <c r="A670" t="s">
        <v>1441</v>
      </c>
      <c r="B670" t="s">
        <v>5254</v>
      </c>
      <c r="C670" t="s">
        <v>4221</v>
      </c>
      <c r="D670" t="s">
        <v>17</v>
      </c>
      <c r="E670" t="s">
        <v>2</v>
      </c>
      <c r="F670" t="s">
        <v>50</v>
      </c>
      <c r="G670" t="s">
        <v>51</v>
      </c>
      <c r="H670" t="s">
        <v>5265</v>
      </c>
      <c r="I670" t="s">
        <v>52</v>
      </c>
      <c r="J670" t="s">
        <v>53</v>
      </c>
      <c r="K670" t="s">
        <v>54</v>
      </c>
      <c r="L670" t="s">
        <v>55</v>
      </c>
      <c r="O670" t="s">
        <v>56</v>
      </c>
      <c r="P670" t="s">
        <v>57</v>
      </c>
      <c r="Q670" t="s">
        <v>5266</v>
      </c>
      <c r="R670" t="s">
        <v>5267</v>
      </c>
      <c r="S670" t="s">
        <v>2895</v>
      </c>
      <c r="T670" t="s">
        <v>2896</v>
      </c>
      <c r="U670" t="s">
        <v>2897</v>
      </c>
    </row>
    <row r="671" spans="1:21" hidden="1">
      <c r="A671" t="s">
        <v>1443</v>
      </c>
      <c r="B671" t="s">
        <v>5254</v>
      </c>
      <c r="C671" t="s">
        <v>5268</v>
      </c>
      <c r="D671" t="s">
        <v>17</v>
      </c>
      <c r="E671" t="s">
        <v>2</v>
      </c>
      <c r="F671" t="s">
        <v>50</v>
      </c>
      <c r="G671" t="s">
        <v>72</v>
      </c>
      <c r="H671" t="s">
        <v>5269</v>
      </c>
      <c r="I671" t="s">
        <v>52</v>
      </c>
      <c r="J671" t="s">
        <v>316</v>
      </c>
      <c r="K671" t="s">
        <v>54</v>
      </c>
      <c r="L671" t="s">
        <v>74</v>
      </c>
      <c r="O671" t="s">
        <v>75</v>
      </c>
      <c r="P671" t="s">
        <v>76</v>
      </c>
      <c r="Q671" t="s">
        <v>5270</v>
      </c>
      <c r="R671" t="s">
        <v>5271</v>
      </c>
      <c r="S671" t="s">
        <v>2895</v>
      </c>
      <c r="T671" t="s">
        <v>2896</v>
      </c>
      <c r="U671" t="s">
        <v>2897</v>
      </c>
    </row>
    <row r="672" spans="1:21" hidden="1">
      <c r="A672" t="s">
        <v>1445</v>
      </c>
      <c r="B672" t="s">
        <v>5254</v>
      </c>
      <c r="C672" t="s">
        <v>5272</v>
      </c>
      <c r="D672" t="s">
        <v>17</v>
      </c>
      <c r="E672" t="s">
        <v>2</v>
      </c>
      <c r="F672" t="s">
        <v>50</v>
      </c>
      <c r="G672" t="s">
        <v>100</v>
      </c>
      <c r="H672" t="s">
        <v>2969</v>
      </c>
      <c r="I672" t="s">
        <v>52</v>
      </c>
      <c r="J672" t="s">
        <v>101</v>
      </c>
      <c r="K672" t="s">
        <v>54</v>
      </c>
      <c r="L672" t="s">
        <v>102</v>
      </c>
      <c r="O672" t="s">
        <v>103</v>
      </c>
      <c r="P672" t="s">
        <v>104</v>
      </c>
      <c r="Q672" t="s">
        <v>5273</v>
      </c>
      <c r="R672" t="s">
        <v>2971</v>
      </c>
      <c r="S672" t="s">
        <v>2895</v>
      </c>
      <c r="T672" t="s">
        <v>2896</v>
      </c>
      <c r="U672" t="s">
        <v>2897</v>
      </c>
    </row>
    <row r="673" spans="1:21" hidden="1">
      <c r="A673" t="s">
        <v>1447</v>
      </c>
      <c r="B673" t="s">
        <v>5254</v>
      </c>
      <c r="C673" t="s">
        <v>3411</v>
      </c>
      <c r="D673" t="s">
        <v>17</v>
      </c>
      <c r="E673" t="s">
        <v>2</v>
      </c>
      <c r="F673" t="s">
        <v>50</v>
      </c>
      <c r="G673" t="s">
        <v>51</v>
      </c>
      <c r="H673" t="s">
        <v>5274</v>
      </c>
      <c r="I673" t="s">
        <v>52</v>
      </c>
      <c r="J673" t="s">
        <v>65</v>
      </c>
      <c r="K673" t="s">
        <v>54</v>
      </c>
      <c r="L673" t="s">
        <v>55</v>
      </c>
      <c r="O673" t="s">
        <v>66</v>
      </c>
      <c r="P673" t="s">
        <v>67</v>
      </c>
      <c r="Q673" t="s">
        <v>5275</v>
      </c>
      <c r="R673" t="s">
        <v>5276</v>
      </c>
      <c r="S673" t="s">
        <v>2895</v>
      </c>
      <c r="T673" t="s">
        <v>2896</v>
      </c>
      <c r="U673" t="s">
        <v>2897</v>
      </c>
    </row>
    <row r="674" spans="1:21" hidden="1">
      <c r="A674" t="s">
        <v>1449</v>
      </c>
      <c r="B674" t="s">
        <v>5277</v>
      </c>
      <c r="C674" t="s">
        <v>3524</v>
      </c>
      <c r="D674" t="s">
        <v>17</v>
      </c>
      <c r="E674" t="s">
        <v>2</v>
      </c>
      <c r="F674" t="s">
        <v>50</v>
      </c>
      <c r="G674" t="s">
        <v>100</v>
      </c>
      <c r="H674" t="s">
        <v>2969</v>
      </c>
      <c r="I674" t="s">
        <v>52</v>
      </c>
      <c r="J674" t="s">
        <v>101</v>
      </c>
      <c r="K674" t="s">
        <v>54</v>
      </c>
      <c r="L674" t="s">
        <v>102</v>
      </c>
      <c r="O674" t="s">
        <v>103</v>
      </c>
      <c r="P674" t="s">
        <v>104</v>
      </c>
      <c r="Q674" t="s">
        <v>5278</v>
      </c>
      <c r="R674" t="s">
        <v>2971</v>
      </c>
      <c r="S674" t="s">
        <v>2895</v>
      </c>
      <c r="T674" t="s">
        <v>2896</v>
      </c>
      <c r="U674" t="s">
        <v>2897</v>
      </c>
    </row>
    <row r="675" spans="1:21" hidden="1">
      <c r="A675" t="s">
        <v>1451</v>
      </c>
      <c r="B675" t="s">
        <v>5277</v>
      </c>
      <c r="C675" t="s">
        <v>5279</v>
      </c>
      <c r="D675" t="s">
        <v>17</v>
      </c>
      <c r="E675" t="s">
        <v>2</v>
      </c>
      <c r="F675" t="s">
        <v>50</v>
      </c>
      <c r="G675" t="s">
        <v>51</v>
      </c>
      <c r="H675" t="s">
        <v>5280</v>
      </c>
      <c r="I675" t="s">
        <v>52</v>
      </c>
      <c r="J675" t="s">
        <v>126</v>
      </c>
      <c r="K675" t="s">
        <v>54</v>
      </c>
      <c r="L675" t="s">
        <v>55</v>
      </c>
      <c r="O675" t="s">
        <v>56</v>
      </c>
      <c r="P675" t="s">
        <v>57</v>
      </c>
      <c r="Q675" t="s">
        <v>5281</v>
      </c>
      <c r="R675" t="s">
        <v>5282</v>
      </c>
      <c r="S675" t="s">
        <v>2895</v>
      </c>
      <c r="T675" t="s">
        <v>2896</v>
      </c>
      <c r="U675" t="s">
        <v>2897</v>
      </c>
    </row>
    <row r="676" spans="1:21" hidden="1">
      <c r="A676" t="s">
        <v>1453</v>
      </c>
      <c r="B676" t="s">
        <v>5277</v>
      </c>
      <c r="C676" t="s">
        <v>5283</v>
      </c>
      <c r="D676" t="s">
        <v>17</v>
      </c>
      <c r="E676" t="s">
        <v>2</v>
      </c>
      <c r="F676" t="s">
        <v>50</v>
      </c>
      <c r="G676" t="s">
        <v>51</v>
      </c>
      <c r="H676" t="s">
        <v>5284</v>
      </c>
      <c r="I676" t="s">
        <v>52</v>
      </c>
      <c r="J676" t="s">
        <v>60</v>
      </c>
      <c r="K676" t="s">
        <v>54</v>
      </c>
      <c r="L676" t="s">
        <v>55</v>
      </c>
      <c r="O676" t="s">
        <v>61</v>
      </c>
      <c r="P676" t="s">
        <v>62</v>
      </c>
      <c r="Q676" t="s">
        <v>5285</v>
      </c>
      <c r="R676" t="s">
        <v>5286</v>
      </c>
      <c r="S676" t="s">
        <v>2895</v>
      </c>
      <c r="T676" t="s">
        <v>2896</v>
      </c>
      <c r="U676" t="s">
        <v>2897</v>
      </c>
    </row>
    <row r="677" spans="1:21" hidden="1">
      <c r="A677" t="s">
        <v>1455</v>
      </c>
      <c r="B677" t="s">
        <v>5277</v>
      </c>
      <c r="C677" t="s">
        <v>4050</v>
      </c>
      <c r="D677" t="s">
        <v>17</v>
      </c>
      <c r="E677" t="s">
        <v>2</v>
      </c>
      <c r="F677" t="s">
        <v>50</v>
      </c>
      <c r="G677" t="s">
        <v>88</v>
      </c>
      <c r="H677" t="s">
        <v>4084</v>
      </c>
      <c r="I677" t="s">
        <v>52</v>
      </c>
      <c r="J677" t="s">
        <v>89</v>
      </c>
      <c r="K677" t="s">
        <v>54</v>
      </c>
      <c r="L677" t="s">
        <v>90</v>
      </c>
      <c r="M677" t="s">
        <v>91</v>
      </c>
      <c r="N677" t="s">
        <v>12</v>
      </c>
      <c r="O677" t="s">
        <v>92</v>
      </c>
      <c r="P677" t="s">
        <v>93</v>
      </c>
      <c r="Q677" t="s">
        <v>5287</v>
      </c>
      <c r="R677" t="s">
        <v>4086</v>
      </c>
      <c r="S677" t="s">
        <v>2895</v>
      </c>
      <c r="T677" t="s">
        <v>2896</v>
      </c>
      <c r="U677" t="s">
        <v>2897</v>
      </c>
    </row>
    <row r="678" spans="1:21" hidden="1">
      <c r="A678" t="s">
        <v>1457</v>
      </c>
      <c r="B678" t="s">
        <v>5277</v>
      </c>
      <c r="C678" t="s">
        <v>3282</v>
      </c>
      <c r="D678" t="s">
        <v>17</v>
      </c>
      <c r="E678" t="s">
        <v>2</v>
      </c>
      <c r="F678" t="s">
        <v>50</v>
      </c>
      <c r="G678" t="s">
        <v>51</v>
      </c>
      <c r="H678" t="s">
        <v>5288</v>
      </c>
      <c r="I678" t="s">
        <v>52</v>
      </c>
      <c r="J678" t="s">
        <v>121</v>
      </c>
      <c r="K678" t="s">
        <v>54</v>
      </c>
      <c r="L678" t="s">
        <v>55</v>
      </c>
      <c r="O678" t="s">
        <v>122</v>
      </c>
      <c r="P678" t="s">
        <v>123</v>
      </c>
      <c r="Q678" t="s">
        <v>5289</v>
      </c>
      <c r="R678" t="s">
        <v>5290</v>
      </c>
      <c r="S678" t="s">
        <v>2895</v>
      </c>
      <c r="T678" t="s">
        <v>2896</v>
      </c>
      <c r="U678" t="s">
        <v>2897</v>
      </c>
    </row>
    <row r="679" spans="1:21" hidden="1">
      <c r="A679" t="s">
        <v>1459</v>
      </c>
      <c r="B679" t="s">
        <v>5277</v>
      </c>
      <c r="C679" t="s">
        <v>3441</v>
      </c>
      <c r="D679" t="s">
        <v>17</v>
      </c>
      <c r="E679" t="s">
        <v>2</v>
      </c>
      <c r="F679" t="s">
        <v>50</v>
      </c>
      <c r="G679" t="s">
        <v>100</v>
      </c>
      <c r="H679" t="s">
        <v>2969</v>
      </c>
      <c r="I679" t="s">
        <v>52</v>
      </c>
      <c r="J679" t="s">
        <v>101</v>
      </c>
      <c r="K679" t="s">
        <v>54</v>
      </c>
      <c r="L679" t="s">
        <v>102</v>
      </c>
      <c r="O679" t="s">
        <v>103</v>
      </c>
      <c r="P679" t="s">
        <v>104</v>
      </c>
      <c r="Q679" t="s">
        <v>5291</v>
      </c>
      <c r="R679" t="s">
        <v>2971</v>
      </c>
      <c r="S679" t="s">
        <v>2895</v>
      </c>
      <c r="T679" t="s">
        <v>2896</v>
      </c>
      <c r="U679" t="s">
        <v>2897</v>
      </c>
    </row>
    <row r="680" spans="1:21" hidden="1">
      <c r="A680" t="s">
        <v>1461</v>
      </c>
      <c r="B680" t="s">
        <v>5277</v>
      </c>
      <c r="C680" t="s">
        <v>4952</v>
      </c>
      <c r="D680" t="s">
        <v>17</v>
      </c>
      <c r="E680" t="s">
        <v>2</v>
      </c>
      <c r="F680" t="s">
        <v>50</v>
      </c>
      <c r="G680" t="s">
        <v>51</v>
      </c>
      <c r="H680" t="s">
        <v>5292</v>
      </c>
      <c r="I680" t="s">
        <v>52</v>
      </c>
      <c r="J680" t="s">
        <v>196</v>
      </c>
      <c r="K680" t="s">
        <v>54</v>
      </c>
      <c r="L680" t="s">
        <v>55</v>
      </c>
      <c r="O680" t="s">
        <v>197</v>
      </c>
      <c r="P680" t="s">
        <v>198</v>
      </c>
      <c r="Q680" t="s">
        <v>5293</v>
      </c>
      <c r="R680" t="s">
        <v>5294</v>
      </c>
      <c r="S680" t="s">
        <v>2895</v>
      </c>
      <c r="T680" t="s">
        <v>2896</v>
      </c>
      <c r="U680" t="s">
        <v>2897</v>
      </c>
    </row>
    <row r="681" spans="1:21" hidden="1">
      <c r="A681" t="s">
        <v>1463</v>
      </c>
      <c r="B681" t="s">
        <v>5277</v>
      </c>
      <c r="C681" t="s">
        <v>4087</v>
      </c>
      <c r="D681" t="s">
        <v>17</v>
      </c>
      <c r="E681" t="s">
        <v>2</v>
      </c>
      <c r="F681" t="s">
        <v>50</v>
      </c>
      <c r="G681" t="s">
        <v>100</v>
      </c>
      <c r="H681" t="s">
        <v>2973</v>
      </c>
      <c r="I681" t="s">
        <v>52</v>
      </c>
      <c r="J681" t="s">
        <v>107</v>
      </c>
      <c r="K681" t="s">
        <v>54</v>
      </c>
      <c r="L681" t="s">
        <v>102</v>
      </c>
      <c r="O681" t="s">
        <v>108</v>
      </c>
      <c r="P681" t="s">
        <v>109</v>
      </c>
      <c r="Q681" t="s">
        <v>5295</v>
      </c>
      <c r="R681" t="s">
        <v>2975</v>
      </c>
      <c r="S681" t="s">
        <v>2895</v>
      </c>
      <c r="T681" t="s">
        <v>2896</v>
      </c>
      <c r="U681" t="s">
        <v>2897</v>
      </c>
    </row>
    <row r="682" spans="1:21" hidden="1">
      <c r="A682" t="s">
        <v>1465</v>
      </c>
      <c r="B682" t="s">
        <v>5296</v>
      </c>
      <c r="C682" t="s">
        <v>5297</v>
      </c>
      <c r="D682" t="s">
        <v>17</v>
      </c>
      <c r="E682" t="s">
        <v>2</v>
      </c>
      <c r="F682" t="s">
        <v>50</v>
      </c>
      <c r="G682" t="s">
        <v>100</v>
      </c>
      <c r="H682" t="s">
        <v>3322</v>
      </c>
      <c r="I682" t="s">
        <v>52</v>
      </c>
      <c r="J682" t="s">
        <v>114</v>
      </c>
      <c r="K682" t="s">
        <v>54</v>
      </c>
      <c r="L682" t="s">
        <v>102</v>
      </c>
      <c r="O682" t="s">
        <v>103</v>
      </c>
      <c r="P682" t="s">
        <v>104</v>
      </c>
      <c r="Q682" t="s">
        <v>5298</v>
      </c>
      <c r="R682" t="s">
        <v>3324</v>
      </c>
      <c r="S682" t="s">
        <v>2895</v>
      </c>
      <c r="T682" t="s">
        <v>2896</v>
      </c>
      <c r="U682" t="s">
        <v>2897</v>
      </c>
    </row>
    <row r="683" spans="1:21" hidden="1">
      <c r="A683" t="s">
        <v>1467</v>
      </c>
      <c r="B683" t="s">
        <v>5296</v>
      </c>
      <c r="C683" t="s">
        <v>3704</v>
      </c>
      <c r="D683" t="s">
        <v>17</v>
      </c>
      <c r="E683" t="s">
        <v>2</v>
      </c>
      <c r="F683" t="s">
        <v>50</v>
      </c>
      <c r="G683" t="s">
        <v>51</v>
      </c>
      <c r="H683" t="s">
        <v>5299</v>
      </c>
      <c r="I683" t="s">
        <v>52</v>
      </c>
      <c r="J683" t="s">
        <v>81</v>
      </c>
      <c r="K683" t="s">
        <v>54</v>
      </c>
      <c r="L683" t="s">
        <v>55</v>
      </c>
      <c r="O683" t="s">
        <v>82</v>
      </c>
      <c r="P683" t="s">
        <v>83</v>
      </c>
      <c r="Q683" t="s">
        <v>5300</v>
      </c>
      <c r="R683" t="s">
        <v>5301</v>
      </c>
      <c r="S683" t="s">
        <v>2895</v>
      </c>
      <c r="T683" t="s">
        <v>2896</v>
      </c>
      <c r="U683" t="s">
        <v>2897</v>
      </c>
    </row>
    <row r="684" spans="1:21" hidden="1">
      <c r="A684" t="s">
        <v>1468</v>
      </c>
      <c r="B684" t="s">
        <v>5296</v>
      </c>
      <c r="C684" t="s">
        <v>4673</v>
      </c>
      <c r="D684" t="s">
        <v>17</v>
      </c>
      <c r="E684" t="s">
        <v>2</v>
      </c>
      <c r="F684" t="s">
        <v>149</v>
      </c>
      <c r="G684" t="s">
        <v>72</v>
      </c>
      <c r="H684" t="s">
        <v>5302</v>
      </c>
      <c r="I684" t="s">
        <v>52</v>
      </c>
      <c r="J684" t="s">
        <v>606</v>
      </c>
      <c r="K684" t="s">
        <v>54</v>
      </c>
      <c r="L684" t="s">
        <v>74</v>
      </c>
      <c r="O684" t="s">
        <v>75</v>
      </c>
      <c r="P684" t="s">
        <v>76</v>
      </c>
      <c r="Q684" t="s">
        <v>5303</v>
      </c>
      <c r="R684" t="s">
        <v>5302</v>
      </c>
      <c r="S684" t="s">
        <v>2895</v>
      </c>
      <c r="T684" t="s">
        <v>2896</v>
      </c>
      <c r="U684" t="s">
        <v>2897</v>
      </c>
    </row>
    <row r="685" spans="1:21" hidden="1">
      <c r="A685" t="s">
        <v>1470</v>
      </c>
      <c r="B685" t="s">
        <v>5296</v>
      </c>
      <c r="C685" t="s">
        <v>5304</v>
      </c>
      <c r="D685" t="s">
        <v>17</v>
      </c>
      <c r="E685" t="s">
        <v>2</v>
      </c>
      <c r="F685" t="s">
        <v>50</v>
      </c>
      <c r="G685" t="s">
        <v>51</v>
      </c>
      <c r="H685" t="s">
        <v>5305</v>
      </c>
      <c r="I685" t="s">
        <v>52</v>
      </c>
      <c r="J685" t="s">
        <v>196</v>
      </c>
      <c r="K685" t="s">
        <v>54</v>
      </c>
      <c r="L685" t="s">
        <v>55</v>
      </c>
      <c r="O685" t="s">
        <v>197</v>
      </c>
      <c r="P685" t="s">
        <v>198</v>
      </c>
      <c r="Q685" t="s">
        <v>5306</v>
      </c>
      <c r="R685" t="s">
        <v>5307</v>
      </c>
      <c r="S685" t="s">
        <v>2895</v>
      </c>
      <c r="T685" t="s">
        <v>2896</v>
      </c>
      <c r="U685" t="s">
        <v>2897</v>
      </c>
    </row>
    <row r="686" spans="1:21" hidden="1">
      <c r="A686" t="s">
        <v>1472</v>
      </c>
      <c r="B686" t="s">
        <v>5296</v>
      </c>
      <c r="C686" t="s">
        <v>5308</v>
      </c>
      <c r="D686" t="s">
        <v>17</v>
      </c>
      <c r="E686" t="s">
        <v>2</v>
      </c>
      <c r="F686" t="s">
        <v>50</v>
      </c>
      <c r="G686" t="s">
        <v>100</v>
      </c>
      <c r="H686" t="s">
        <v>3647</v>
      </c>
      <c r="I686" t="s">
        <v>52</v>
      </c>
      <c r="J686" t="s">
        <v>114</v>
      </c>
      <c r="K686" t="s">
        <v>54</v>
      </c>
      <c r="L686" t="s">
        <v>102</v>
      </c>
      <c r="O686" t="s">
        <v>103</v>
      </c>
      <c r="P686" t="s">
        <v>104</v>
      </c>
      <c r="Q686" t="s">
        <v>5309</v>
      </c>
      <c r="R686" t="s">
        <v>3649</v>
      </c>
      <c r="S686" t="s">
        <v>2895</v>
      </c>
      <c r="T686" t="s">
        <v>2896</v>
      </c>
      <c r="U686" t="s">
        <v>2897</v>
      </c>
    </row>
    <row r="687" spans="1:21" hidden="1">
      <c r="A687" t="s">
        <v>1474</v>
      </c>
      <c r="B687" t="s">
        <v>5296</v>
      </c>
      <c r="C687" t="s">
        <v>3584</v>
      </c>
      <c r="D687" t="s">
        <v>17</v>
      </c>
      <c r="E687" t="s">
        <v>2</v>
      </c>
      <c r="F687" t="s">
        <v>50</v>
      </c>
      <c r="G687" t="s">
        <v>51</v>
      </c>
      <c r="H687" t="s">
        <v>5310</v>
      </c>
      <c r="I687" t="s">
        <v>52</v>
      </c>
      <c r="J687" t="s">
        <v>81</v>
      </c>
      <c r="K687" t="s">
        <v>54</v>
      </c>
      <c r="L687" t="s">
        <v>55</v>
      </c>
      <c r="O687" t="s">
        <v>82</v>
      </c>
      <c r="P687" t="s">
        <v>83</v>
      </c>
      <c r="Q687" t="s">
        <v>5311</v>
      </c>
      <c r="R687" t="s">
        <v>5312</v>
      </c>
      <c r="S687" t="s">
        <v>2895</v>
      </c>
      <c r="T687" t="s">
        <v>2896</v>
      </c>
      <c r="U687" t="s">
        <v>2897</v>
      </c>
    </row>
    <row r="688" spans="1:21" hidden="1">
      <c r="A688" t="s">
        <v>1476</v>
      </c>
      <c r="B688" t="s">
        <v>5296</v>
      </c>
      <c r="C688" t="s">
        <v>4368</v>
      </c>
      <c r="D688" t="s">
        <v>17</v>
      </c>
      <c r="E688" t="s">
        <v>2</v>
      </c>
      <c r="F688" t="s">
        <v>50</v>
      </c>
      <c r="G688" t="s">
        <v>51</v>
      </c>
      <c r="H688" t="s">
        <v>5313</v>
      </c>
      <c r="I688" t="s">
        <v>52</v>
      </c>
      <c r="J688" t="s">
        <v>53</v>
      </c>
      <c r="K688" t="s">
        <v>54</v>
      </c>
      <c r="L688" t="s">
        <v>55</v>
      </c>
      <c r="O688" t="s">
        <v>56</v>
      </c>
      <c r="P688" t="s">
        <v>57</v>
      </c>
      <c r="Q688" t="s">
        <v>5314</v>
      </c>
      <c r="R688" t="s">
        <v>5315</v>
      </c>
      <c r="S688" t="s">
        <v>2895</v>
      </c>
      <c r="T688" t="s">
        <v>2896</v>
      </c>
      <c r="U688" t="s">
        <v>2897</v>
      </c>
    </row>
    <row r="689" spans="1:21" hidden="1">
      <c r="A689" t="s">
        <v>1478</v>
      </c>
      <c r="B689" t="s">
        <v>5316</v>
      </c>
      <c r="C689" t="s">
        <v>5317</v>
      </c>
      <c r="D689" t="s">
        <v>17</v>
      </c>
      <c r="E689" t="s">
        <v>2</v>
      </c>
      <c r="F689" t="s">
        <v>50</v>
      </c>
      <c r="G689" t="s">
        <v>51</v>
      </c>
      <c r="H689" t="s">
        <v>5318</v>
      </c>
      <c r="I689" t="s">
        <v>52</v>
      </c>
      <c r="J689" t="s">
        <v>81</v>
      </c>
      <c r="K689" t="s">
        <v>54</v>
      </c>
      <c r="L689" t="s">
        <v>55</v>
      </c>
      <c r="O689" t="s">
        <v>82</v>
      </c>
      <c r="P689" t="s">
        <v>83</v>
      </c>
      <c r="Q689" t="s">
        <v>5319</v>
      </c>
      <c r="R689" t="s">
        <v>5320</v>
      </c>
      <c r="S689" t="s">
        <v>2895</v>
      </c>
      <c r="T689" t="s">
        <v>2896</v>
      </c>
      <c r="U689" t="s">
        <v>2897</v>
      </c>
    </row>
    <row r="690" spans="1:21" hidden="1">
      <c r="A690" t="s">
        <v>1480</v>
      </c>
      <c r="B690" t="s">
        <v>5316</v>
      </c>
      <c r="C690" t="s">
        <v>3446</v>
      </c>
      <c r="D690" t="s">
        <v>17</v>
      </c>
      <c r="E690" t="s">
        <v>2</v>
      </c>
      <c r="F690" t="s">
        <v>50</v>
      </c>
      <c r="G690" t="s">
        <v>100</v>
      </c>
      <c r="H690" t="s">
        <v>2969</v>
      </c>
      <c r="I690" t="s">
        <v>52</v>
      </c>
      <c r="J690" t="s">
        <v>101</v>
      </c>
      <c r="K690" t="s">
        <v>54</v>
      </c>
      <c r="L690" t="s">
        <v>102</v>
      </c>
      <c r="O690" t="s">
        <v>103</v>
      </c>
      <c r="P690" t="s">
        <v>104</v>
      </c>
      <c r="Q690" t="s">
        <v>5321</v>
      </c>
      <c r="R690" t="s">
        <v>2971</v>
      </c>
      <c r="S690" t="s">
        <v>2895</v>
      </c>
      <c r="T690" t="s">
        <v>2896</v>
      </c>
      <c r="U690" t="s">
        <v>2897</v>
      </c>
    </row>
    <row r="691" spans="1:21" hidden="1">
      <c r="A691" t="s">
        <v>1482</v>
      </c>
      <c r="B691" t="s">
        <v>5316</v>
      </c>
      <c r="C691" t="s">
        <v>4626</v>
      </c>
      <c r="D691" t="s">
        <v>17</v>
      </c>
      <c r="E691" t="s">
        <v>2</v>
      </c>
      <c r="F691" t="s">
        <v>50</v>
      </c>
      <c r="G691" t="s">
        <v>100</v>
      </c>
      <c r="H691" t="s">
        <v>2969</v>
      </c>
      <c r="I691" t="s">
        <v>52</v>
      </c>
      <c r="J691" t="s">
        <v>101</v>
      </c>
      <c r="K691" t="s">
        <v>54</v>
      </c>
      <c r="L691" t="s">
        <v>102</v>
      </c>
      <c r="O691" t="s">
        <v>103</v>
      </c>
      <c r="P691" t="s">
        <v>104</v>
      </c>
      <c r="Q691" t="s">
        <v>5322</v>
      </c>
      <c r="R691" t="s">
        <v>2971</v>
      </c>
      <c r="S691" t="s">
        <v>2895</v>
      </c>
      <c r="T691" t="s">
        <v>2896</v>
      </c>
      <c r="U691" t="s">
        <v>2897</v>
      </c>
    </row>
    <row r="692" spans="1:21" hidden="1">
      <c r="A692" t="s">
        <v>1484</v>
      </c>
      <c r="B692" t="s">
        <v>5316</v>
      </c>
      <c r="C692" t="s">
        <v>5323</v>
      </c>
      <c r="D692" t="s">
        <v>17</v>
      </c>
      <c r="E692" t="s">
        <v>2</v>
      </c>
      <c r="F692" t="s">
        <v>50</v>
      </c>
      <c r="G692" t="s">
        <v>51</v>
      </c>
      <c r="H692" t="s">
        <v>5324</v>
      </c>
      <c r="I692" t="s">
        <v>52</v>
      </c>
      <c r="J692" t="s">
        <v>126</v>
      </c>
      <c r="K692" t="s">
        <v>54</v>
      </c>
      <c r="L692" t="s">
        <v>55</v>
      </c>
      <c r="O692" t="s">
        <v>56</v>
      </c>
      <c r="P692" t="s">
        <v>57</v>
      </c>
      <c r="Q692" t="s">
        <v>5325</v>
      </c>
      <c r="R692" t="s">
        <v>5326</v>
      </c>
      <c r="S692" t="s">
        <v>2895</v>
      </c>
      <c r="T692" t="s">
        <v>2896</v>
      </c>
      <c r="U692" t="s">
        <v>2897</v>
      </c>
    </row>
    <row r="693" spans="1:21" hidden="1">
      <c r="A693" t="s">
        <v>1486</v>
      </c>
      <c r="B693" t="s">
        <v>5316</v>
      </c>
      <c r="C693" t="s">
        <v>5327</v>
      </c>
      <c r="D693" t="s">
        <v>17</v>
      </c>
      <c r="E693" t="s">
        <v>2</v>
      </c>
      <c r="F693" t="s">
        <v>50</v>
      </c>
      <c r="G693" t="s">
        <v>51</v>
      </c>
      <c r="H693" t="s">
        <v>5328</v>
      </c>
      <c r="I693" t="s">
        <v>52</v>
      </c>
      <c r="J693" t="s">
        <v>60</v>
      </c>
      <c r="K693" t="s">
        <v>54</v>
      </c>
      <c r="L693" t="s">
        <v>55</v>
      </c>
      <c r="O693" t="s">
        <v>61</v>
      </c>
      <c r="P693" t="s">
        <v>62</v>
      </c>
      <c r="Q693" t="s">
        <v>5329</v>
      </c>
      <c r="R693" t="s">
        <v>5330</v>
      </c>
      <c r="S693" t="s">
        <v>2895</v>
      </c>
      <c r="T693" t="s">
        <v>2896</v>
      </c>
      <c r="U693" t="s">
        <v>2897</v>
      </c>
    </row>
    <row r="694" spans="1:21" hidden="1">
      <c r="A694" t="s">
        <v>1488</v>
      </c>
      <c r="B694" t="s">
        <v>5316</v>
      </c>
      <c r="C694" t="s">
        <v>3139</v>
      </c>
      <c r="D694" t="s">
        <v>17</v>
      </c>
      <c r="E694" t="s">
        <v>2</v>
      </c>
      <c r="F694" t="s">
        <v>50</v>
      </c>
      <c r="G694" t="s">
        <v>51</v>
      </c>
      <c r="H694" t="s">
        <v>5331</v>
      </c>
      <c r="I694" t="s">
        <v>52</v>
      </c>
      <c r="J694" t="s">
        <v>81</v>
      </c>
      <c r="K694" t="s">
        <v>54</v>
      </c>
      <c r="L694" t="s">
        <v>55</v>
      </c>
      <c r="O694" t="s">
        <v>82</v>
      </c>
      <c r="P694" t="s">
        <v>83</v>
      </c>
      <c r="Q694" t="s">
        <v>5332</v>
      </c>
      <c r="R694" t="s">
        <v>5333</v>
      </c>
      <c r="S694" t="s">
        <v>2895</v>
      </c>
      <c r="T694" t="s">
        <v>2896</v>
      </c>
      <c r="U694" t="s">
        <v>2897</v>
      </c>
    </row>
    <row r="695" spans="1:21" hidden="1">
      <c r="A695" t="s">
        <v>1490</v>
      </c>
      <c r="B695" t="s">
        <v>5316</v>
      </c>
      <c r="C695" t="s">
        <v>2976</v>
      </c>
      <c r="D695" t="s">
        <v>17</v>
      </c>
      <c r="E695" t="s">
        <v>2</v>
      </c>
      <c r="F695" t="s">
        <v>50</v>
      </c>
      <c r="G695" t="s">
        <v>51</v>
      </c>
      <c r="H695" t="s">
        <v>5334</v>
      </c>
      <c r="I695" t="s">
        <v>52</v>
      </c>
      <c r="J695" t="s">
        <v>65</v>
      </c>
      <c r="K695" t="s">
        <v>54</v>
      </c>
      <c r="L695" t="s">
        <v>55</v>
      </c>
      <c r="O695" t="s">
        <v>66</v>
      </c>
      <c r="P695" t="s">
        <v>67</v>
      </c>
      <c r="Q695" t="s">
        <v>5335</v>
      </c>
      <c r="R695" t="s">
        <v>5336</v>
      </c>
      <c r="S695" t="s">
        <v>2895</v>
      </c>
      <c r="T695" t="s">
        <v>2896</v>
      </c>
      <c r="U695" t="s">
        <v>2897</v>
      </c>
    </row>
    <row r="696" spans="1:21" hidden="1">
      <c r="A696" t="s">
        <v>1492</v>
      </c>
      <c r="B696" t="s">
        <v>5316</v>
      </c>
      <c r="C696" t="s">
        <v>5337</v>
      </c>
      <c r="D696" t="s">
        <v>17</v>
      </c>
      <c r="E696" t="s">
        <v>2</v>
      </c>
      <c r="F696" t="s">
        <v>50</v>
      </c>
      <c r="G696" t="s">
        <v>51</v>
      </c>
      <c r="H696" t="s">
        <v>5338</v>
      </c>
      <c r="I696" t="s">
        <v>52</v>
      </c>
      <c r="J696" t="s">
        <v>81</v>
      </c>
      <c r="K696" t="s">
        <v>54</v>
      </c>
      <c r="L696" t="s">
        <v>55</v>
      </c>
      <c r="O696" t="s">
        <v>82</v>
      </c>
      <c r="P696" t="s">
        <v>83</v>
      </c>
      <c r="Q696" t="s">
        <v>5339</v>
      </c>
      <c r="R696" t="s">
        <v>5340</v>
      </c>
      <c r="S696" t="s">
        <v>2895</v>
      </c>
      <c r="T696" t="s">
        <v>2896</v>
      </c>
      <c r="U696" t="s">
        <v>2897</v>
      </c>
    </row>
    <row r="697" spans="1:21" hidden="1">
      <c r="A697" t="s">
        <v>1494</v>
      </c>
      <c r="B697" t="s">
        <v>5316</v>
      </c>
      <c r="C697" t="s">
        <v>3060</v>
      </c>
      <c r="D697" t="s">
        <v>17</v>
      </c>
      <c r="E697" t="s">
        <v>2</v>
      </c>
      <c r="F697" t="s">
        <v>149</v>
      </c>
      <c r="G697" t="s">
        <v>72</v>
      </c>
      <c r="H697" t="s">
        <v>5341</v>
      </c>
      <c r="I697" t="s">
        <v>52</v>
      </c>
      <c r="J697" t="s">
        <v>611</v>
      </c>
      <c r="K697" t="s">
        <v>54</v>
      </c>
      <c r="L697" t="s">
        <v>74</v>
      </c>
      <c r="O697" t="s">
        <v>75</v>
      </c>
      <c r="P697" t="s">
        <v>76</v>
      </c>
      <c r="Q697" t="s">
        <v>5342</v>
      </c>
      <c r="R697" t="s">
        <v>5341</v>
      </c>
      <c r="S697" t="s">
        <v>2895</v>
      </c>
      <c r="T697" t="s">
        <v>2896</v>
      </c>
      <c r="U697" t="s">
        <v>2897</v>
      </c>
    </row>
    <row r="698" spans="1:21" hidden="1">
      <c r="A698" t="s">
        <v>1496</v>
      </c>
      <c r="B698" t="s">
        <v>5343</v>
      </c>
      <c r="C698" t="s">
        <v>4724</v>
      </c>
      <c r="D698" t="s">
        <v>17</v>
      </c>
      <c r="E698" t="s">
        <v>2</v>
      </c>
      <c r="F698" t="s">
        <v>50</v>
      </c>
      <c r="G698" t="s">
        <v>51</v>
      </c>
      <c r="H698" t="s">
        <v>5344</v>
      </c>
      <c r="I698" t="s">
        <v>52</v>
      </c>
      <c r="J698" t="s">
        <v>53</v>
      </c>
      <c r="K698" t="s">
        <v>54</v>
      </c>
      <c r="L698" t="s">
        <v>55</v>
      </c>
      <c r="O698" t="s">
        <v>56</v>
      </c>
      <c r="P698" t="s">
        <v>57</v>
      </c>
      <c r="Q698" t="s">
        <v>5345</v>
      </c>
      <c r="R698" t="s">
        <v>5346</v>
      </c>
      <c r="S698" t="s">
        <v>2895</v>
      </c>
      <c r="T698" t="s">
        <v>2896</v>
      </c>
      <c r="U698" t="s">
        <v>2897</v>
      </c>
    </row>
    <row r="699" spans="1:21" hidden="1">
      <c r="A699" t="s">
        <v>1498</v>
      </c>
      <c r="B699" t="s">
        <v>5343</v>
      </c>
      <c r="C699" t="s">
        <v>4742</v>
      </c>
      <c r="D699" t="s">
        <v>17</v>
      </c>
      <c r="E699" t="s">
        <v>2</v>
      </c>
      <c r="F699" t="s">
        <v>50</v>
      </c>
      <c r="G699" t="s">
        <v>51</v>
      </c>
      <c r="H699" t="s">
        <v>5347</v>
      </c>
      <c r="I699" t="s">
        <v>52</v>
      </c>
      <c r="J699" t="s">
        <v>121</v>
      </c>
      <c r="K699" t="s">
        <v>54</v>
      </c>
      <c r="L699" t="s">
        <v>55</v>
      </c>
      <c r="O699" t="s">
        <v>122</v>
      </c>
      <c r="P699" t="s">
        <v>123</v>
      </c>
      <c r="Q699" t="s">
        <v>5348</v>
      </c>
      <c r="R699" t="s">
        <v>5349</v>
      </c>
      <c r="S699" t="s">
        <v>2895</v>
      </c>
      <c r="T699" t="s">
        <v>2896</v>
      </c>
      <c r="U699" t="s">
        <v>2897</v>
      </c>
    </row>
    <row r="700" spans="1:21" hidden="1">
      <c r="A700" t="s">
        <v>1500</v>
      </c>
      <c r="B700" t="s">
        <v>5343</v>
      </c>
      <c r="C700" t="s">
        <v>5350</v>
      </c>
      <c r="D700" t="s">
        <v>17</v>
      </c>
      <c r="E700" t="s">
        <v>2</v>
      </c>
      <c r="F700" t="s">
        <v>50</v>
      </c>
      <c r="G700" t="s">
        <v>51</v>
      </c>
      <c r="H700" t="s">
        <v>5351</v>
      </c>
      <c r="I700" t="s">
        <v>52</v>
      </c>
      <c r="J700" t="s">
        <v>81</v>
      </c>
      <c r="K700" t="s">
        <v>54</v>
      </c>
      <c r="L700" t="s">
        <v>55</v>
      </c>
      <c r="O700" t="s">
        <v>82</v>
      </c>
      <c r="P700" t="s">
        <v>83</v>
      </c>
      <c r="Q700" t="s">
        <v>5352</v>
      </c>
      <c r="R700" t="s">
        <v>5353</v>
      </c>
      <c r="S700" t="s">
        <v>2895</v>
      </c>
      <c r="T700" t="s">
        <v>2896</v>
      </c>
      <c r="U700" t="s">
        <v>2897</v>
      </c>
    </row>
    <row r="701" spans="1:21" hidden="1">
      <c r="A701" t="s">
        <v>1502</v>
      </c>
      <c r="B701" t="s">
        <v>5343</v>
      </c>
      <c r="C701" t="s">
        <v>4248</v>
      </c>
      <c r="D701" t="s">
        <v>17</v>
      </c>
      <c r="E701" t="s">
        <v>2</v>
      </c>
      <c r="F701" t="s">
        <v>50</v>
      </c>
      <c r="G701" t="s">
        <v>100</v>
      </c>
      <c r="H701" t="s">
        <v>2969</v>
      </c>
      <c r="I701" t="s">
        <v>52</v>
      </c>
      <c r="J701" t="s">
        <v>101</v>
      </c>
      <c r="K701" t="s">
        <v>54</v>
      </c>
      <c r="L701" t="s">
        <v>102</v>
      </c>
      <c r="O701" t="s">
        <v>103</v>
      </c>
      <c r="P701" t="s">
        <v>104</v>
      </c>
      <c r="Q701" t="s">
        <v>5354</v>
      </c>
      <c r="R701" t="s">
        <v>2971</v>
      </c>
      <c r="S701" t="s">
        <v>2895</v>
      </c>
      <c r="T701" t="s">
        <v>2896</v>
      </c>
      <c r="U701" t="s">
        <v>2897</v>
      </c>
    </row>
    <row r="702" spans="1:21" hidden="1">
      <c r="A702" t="s">
        <v>1504</v>
      </c>
      <c r="B702" t="s">
        <v>5343</v>
      </c>
      <c r="C702" t="s">
        <v>5355</v>
      </c>
      <c r="D702" t="s">
        <v>17</v>
      </c>
      <c r="E702" t="s">
        <v>2</v>
      </c>
      <c r="F702" t="s">
        <v>50</v>
      </c>
      <c r="G702" t="s">
        <v>72</v>
      </c>
      <c r="H702" t="s">
        <v>5356</v>
      </c>
      <c r="I702" t="s">
        <v>52</v>
      </c>
      <c r="J702" t="s">
        <v>73</v>
      </c>
      <c r="K702" t="s">
        <v>54</v>
      </c>
      <c r="L702" t="s">
        <v>74</v>
      </c>
      <c r="O702" t="s">
        <v>75</v>
      </c>
      <c r="P702" t="s">
        <v>76</v>
      </c>
      <c r="Q702" t="s">
        <v>5357</v>
      </c>
      <c r="R702" t="s">
        <v>5358</v>
      </c>
      <c r="S702" t="s">
        <v>2895</v>
      </c>
      <c r="T702" t="s">
        <v>2896</v>
      </c>
      <c r="U702" t="s">
        <v>2897</v>
      </c>
    </row>
    <row r="703" spans="1:21" hidden="1">
      <c r="A703" t="s">
        <v>1506</v>
      </c>
      <c r="B703" t="s">
        <v>5343</v>
      </c>
      <c r="C703" t="s">
        <v>5359</v>
      </c>
      <c r="D703" t="s">
        <v>17</v>
      </c>
      <c r="E703" t="s">
        <v>2</v>
      </c>
      <c r="F703" t="s">
        <v>50</v>
      </c>
      <c r="G703" t="s">
        <v>51</v>
      </c>
      <c r="H703" t="s">
        <v>5360</v>
      </c>
      <c r="I703" t="s">
        <v>52</v>
      </c>
      <c r="J703" t="s">
        <v>81</v>
      </c>
      <c r="K703" t="s">
        <v>54</v>
      </c>
      <c r="L703" t="s">
        <v>55</v>
      </c>
      <c r="O703" t="s">
        <v>82</v>
      </c>
      <c r="P703" t="s">
        <v>83</v>
      </c>
      <c r="Q703" t="s">
        <v>5361</v>
      </c>
      <c r="R703" t="s">
        <v>5362</v>
      </c>
      <c r="S703" t="s">
        <v>2895</v>
      </c>
      <c r="T703" t="s">
        <v>2896</v>
      </c>
      <c r="U703" t="s">
        <v>2897</v>
      </c>
    </row>
    <row r="704" spans="1:21" hidden="1">
      <c r="A704" t="s">
        <v>1508</v>
      </c>
      <c r="B704" t="s">
        <v>5343</v>
      </c>
      <c r="C704" t="s">
        <v>4660</v>
      </c>
      <c r="D704" t="s">
        <v>17</v>
      </c>
      <c r="E704" t="s">
        <v>2</v>
      </c>
      <c r="F704" t="s">
        <v>50</v>
      </c>
      <c r="G704" t="s">
        <v>51</v>
      </c>
      <c r="H704" t="s">
        <v>4919</v>
      </c>
      <c r="I704" t="s">
        <v>52</v>
      </c>
      <c r="J704" t="s">
        <v>121</v>
      </c>
      <c r="K704" t="s">
        <v>54</v>
      </c>
      <c r="L704" t="s">
        <v>55</v>
      </c>
      <c r="O704" t="s">
        <v>122</v>
      </c>
      <c r="P704" t="s">
        <v>123</v>
      </c>
      <c r="Q704" t="s">
        <v>5363</v>
      </c>
      <c r="R704" t="s">
        <v>4921</v>
      </c>
      <c r="S704" t="s">
        <v>2895</v>
      </c>
      <c r="T704" t="s">
        <v>2896</v>
      </c>
      <c r="U704" t="s">
        <v>2897</v>
      </c>
    </row>
    <row r="705" spans="1:21" hidden="1">
      <c r="A705" t="s">
        <v>1510</v>
      </c>
      <c r="B705" t="s">
        <v>5343</v>
      </c>
      <c r="C705" t="s">
        <v>5364</v>
      </c>
      <c r="D705" t="s">
        <v>17</v>
      </c>
      <c r="E705" t="s">
        <v>2</v>
      </c>
      <c r="F705" t="s">
        <v>50</v>
      </c>
      <c r="G705" t="s">
        <v>51</v>
      </c>
      <c r="H705" t="s">
        <v>5365</v>
      </c>
      <c r="I705" t="s">
        <v>52</v>
      </c>
      <c r="J705" t="s">
        <v>126</v>
      </c>
      <c r="K705" t="s">
        <v>54</v>
      </c>
      <c r="L705" t="s">
        <v>55</v>
      </c>
      <c r="O705" t="s">
        <v>56</v>
      </c>
      <c r="P705" t="s">
        <v>57</v>
      </c>
      <c r="Q705" t="s">
        <v>5366</v>
      </c>
      <c r="R705" t="s">
        <v>5367</v>
      </c>
      <c r="S705" t="s">
        <v>2895</v>
      </c>
      <c r="T705" t="s">
        <v>2896</v>
      </c>
      <c r="U705" t="s">
        <v>2897</v>
      </c>
    </row>
    <row r="706" spans="1:21" hidden="1">
      <c r="A706" t="s">
        <v>1512</v>
      </c>
      <c r="B706" t="s">
        <v>5368</v>
      </c>
      <c r="C706" t="s">
        <v>5369</v>
      </c>
      <c r="D706" t="s">
        <v>17</v>
      </c>
      <c r="E706" t="s">
        <v>2</v>
      </c>
      <c r="F706" t="s">
        <v>50</v>
      </c>
      <c r="G706" t="s">
        <v>51</v>
      </c>
      <c r="H706" t="s">
        <v>5370</v>
      </c>
      <c r="I706" t="s">
        <v>52</v>
      </c>
      <c r="J706" t="s">
        <v>60</v>
      </c>
      <c r="K706" t="s">
        <v>54</v>
      </c>
      <c r="L706" t="s">
        <v>55</v>
      </c>
      <c r="O706" t="s">
        <v>61</v>
      </c>
      <c r="P706" t="s">
        <v>62</v>
      </c>
      <c r="Q706" t="s">
        <v>5371</v>
      </c>
      <c r="R706" t="s">
        <v>5372</v>
      </c>
      <c r="S706" t="s">
        <v>2895</v>
      </c>
      <c r="T706" t="s">
        <v>2896</v>
      </c>
      <c r="U706" t="s">
        <v>2897</v>
      </c>
    </row>
    <row r="707" spans="1:21" hidden="1">
      <c r="A707" t="s">
        <v>1514</v>
      </c>
      <c r="B707" t="s">
        <v>5368</v>
      </c>
      <c r="C707" t="s">
        <v>4630</v>
      </c>
      <c r="D707" t="s">
        <v>17</v>
      </c>
      <c r="E707" t="s">
        <v>2</v>
      </c>
      <c r="F707" t="s">
        <v>50</v>
      </c>
      <c r="G707" t="s">
        <v>51</v>
      </c>
      <c r="H707" t="s">
        <v>5373</v>
      </c>
      <c r="I707" t="s">
        <v>52</v>
      </c>
      <c r="J707" t="s">
        <v>81</v>
      </c>
      <c r="K707" t="s">
        <v>54</v>
      </c>
      <c r="L707" t="s">
        <v>55</v>
      </c>
      <c r="O707" t="s">
        <v>82</v>
      </c>
      <c r="P707" t="s">
        <v>83</v>
      </c>
      <c r="Q707" t="s">
        <v>5374</v>
      </c>
      <c r="R707" t="s">
        <v>5375</v>
      </c>
      <c r="S707" t="s">
        <v>2895</v>
      </c>
      <c r="T707" t="s">
        <v>2896</v>
      </c>
      <c r="U707" t="s">
        <v>2897</v>
      </c>
    </row>
    <row r="708" spans="1:21" hidden="1">
      <c r="A708" t="s">
        <v>1516</v>
      </c>
      <c r="B708" t="s">
        <v>5368</v>
      </c>
      <c r="C708" t="s">
        <v>5376</v>
      </c>
      <c r="D708" t="s">
        <v>17</v>
      </c>
      <c r="E708" t="s">
        <v>2</v>
      </c>
      <c r="F708" t="s">
        <v>50</v>
      </c>
      <c r="G708" t="s">
        <v>51</v>
      </c>
      <c r="H708" t="s">
        <v>5377</v>
      </c>
      <c r="I708" t="s">
        <v>52</v>
      </c>
      <c r="J708" t="s">
        <v>121</v>
      </c>
      <c r="K708" t="s">
        <v>54</v>
      </c>
      <c r="L708" t="s">
        <v>55</v>
      </c>
      <c r="O708" t="s">
        <v>122</v>
      </c>
      <c r="P708" t="s">
        <v>123</v>
      </c>
      <c r="Q708" t="s">
        <v>5378</v>
      </c>
      <c r="R708" t="s">
        <v>5379</v>
      </c>
      <c r="S708" t="s">
        <v>2895</v>
      </c>
      <c r="T708" t="s">
        <v>2896</v>
      </c>
      <c r="U708" t="s">
        <v>2897</v>
      </c>
    </row>
    <row r="709" spans="1:21" hidden="1">
      <c r="A709" t="s">
        <v>1518</v>
      </c>
      <c r="B709" t="s">
        <v>5368</v>
      </c>
      <c r="C709" t="s">
        <v>3028</v>
      </c>
      <c r="D709" t="s">
        <v>17</v>
      </c>
      <c r="E709" t="s">
        <v>2</v>
      </c>
      <c r="F709" t="s">
        <v>50</v>
      </c>
      <c r="G709" t="s">
        <v>51</v>
      </c>
      <c r="H709" t="s">
        <v>5380</v>
      </c>
      <c r="I709" t="s">
        <v>52</v>
      </c>
      <c r="J709" t="s">
        <v>65</v>
      </c>
      <c r="K709" t="s">
        <v>54</v>
      </c>
      <c r="L709" t="s">
        <v>55</v>
      </c>
      <c r="O709" t="s">
        <v>66</v>
      </c>
      <c r="P709" t="s">
        <v>67</v>
      </c>
      <c r="Q709" t="s">
        <v>5381</v>
      </c>
      <c r="R709" t="s">
        <v>5382</v>
      </c>
      <c r="S709" t="s">
        <v>2895</v>
      </c>
      <c r="T709" t="s">
        <v>2896</v>
      </c>
      <c r="U709" t="s">
        <v>2897</v>
      </c>
    </row>
    <row r="710" spans="1:21" hidden="1">
      <c r="A710" t="s">
        <v>1520</v>
      </c>
      <c r="B710" t="s">
        <v>5368</v>
      </c>
      <c r="C710" t="s">
        <v>5383</v>
      </c>
      <c r="D710" t="s">
        <v>17</v>
      </c>
      <c r="E710" t="s">
        <v>2</v>
      </c>
      <c r="F710" t="s">
        <v>50</v>
      </c>
      <c r="G710" t="s">
        <v>51</v>
      </c>
      <c r="H710" t="s">
        <v>5384</v>
      </c>
      <c r="I710" t="s">
        <v>52</v>
      </c>
      <c r="J710" t="s">
        <v>121</v>
      </c>
      <c r="K710" t="s">
        <v>54</v>
      </c>
      <c r="L710" t="s">
        <v>55</v>
      </c>
      <c r="O710" t="s">
        <v>122</v>
      </c>
      <c r="P710" t="s">
        <v>123</v>
      </c>
      <c r="Q710" t="s">
        <v>5385</v>
      </c>
      <c r="R710" t="s">
        <v>5386</v>
      </c>
      <c r="S710" t="s">
        <v>2895</v>
      </c>
      <c r="T710" t="s">
        <v>2896</v>
      </c>
      <c r="U710" t="s">
        <v>2897</v>
      </c>
    </row>
    <row r="711" spans="1:21" hidden="1">
      <c r="A711" t="s">
        <v>1522</v>
      </c>
      <c r="B711" t="s">
        <v>5387</v>
      </c>
      <c r="C711" t="s">
        <v>3684</v>
      </c>
      <c r="D711" t="s">
        <v>17</v>
      </c>
      <c r="E711" t="s">
        <v>2</v>
      </c>
      <c r="F711" t="s">
        <v>50</v>
      </c>
      <c r="G711" t="s">
        <v>51</v>
      </c>
      <c r="H711" t="s">
        <v>5388</v>
      </c>
      <c r="I711" t="s">
        <v>52</v>
      </c>
      <c r="J711" t="s">
        <v>126</v>
      </c>
      <c r="K711" t="s">
        <v>54</v>
      </c>
      <c r="L711" t="s">
        <v>55</v>
      </c>
      <c r="O711" t="s">
        <v>56</v>
      </c>
      <c r="P711" t="s">
        <v>57</v>
      </c>
      <c r="Q711" t="s">
        <v>5389</v>
      </c>
      <c r="R711" t="s">
        <v>5390</v>
      </c>
      <c r="S711" t="s">
        <v>2895</v>
      </c>
      <c r="T711" t="s">
        <v>2896</v>
      </c>
      <c r="U711" t="s">
        <v>2897</v>
      </c>
    </row>
    <row r="712" spans="1:21" hidden="1">
      <c r="A712" t="s">
        <v>1524</v>
      </c>
      <c r="B712" t="s">
        <v>5387</v>
      </c>
      <c r="C712" t="s">
        <v>4746</v>
      </c>
      <c r="D712" t="s">
        <v>17</v>
      </c>
      <c r="E712" t="s">
        <v>2</v>
      </c>
      <c r="F712" t="s">
        <v>50</v>
      </c>
      <c r="G712" t="s">
        <v>100</v>
      </c>
      <c r="H712" t="s">
        <v>5391</v>
      </c>
      <c r="I712" t="s">
        <v>52</v>
      </c>
      <c r="J712" t="s">
        <v>114</v>
      </c>
      <c r="K712" t="s">
        <v>54</v>
      </c>
      <c r="L712" t="s">
        <v>102</v>
      </c>
      <c r="O712" t="s">
        <v>103</v>
      </c>
      <c r="P712" t="s">
        <v>104</v>
      </c>
      <c r="Q712" t="s">
        <v>5392</v>
      </c>
      <c r="R712" t="s">
        <v>5393</v>
      </c>
      <c r="S712" t="s">
        <v>2895</v>
      </c>
      <c r="T712" t="s">
        <v>2896</v>
      </c>
      <c r="U712" t="s">
        <v>2897</v>
      </c>
    </row>
    <row r="713" spans="1:21" hidden="1">
      <c r="A713" t="s">
        <v>1525</v>
      </c>
      <c r="B713" t="s">
        <v>5387</v>
      </c>
      <c r="C713" t="s">
        <v>3154</v>
      </c>
      <c r="D713" t="s">
        <v>17</v>
      </c>
      <c r="E713" t="s">
        <v>2</v>
      </c>
      <c r="F713" t="s">
        <v>50</v>
      </c>
      <c r="G713" t="s">
        <v>51</v>
      </c>
      <c r="H713" t="s">
        <v>5394</v>
      </c>
      <c r="I713" t="s">
        <v>52</v>
      </c>
      <c r="J713" t="s">
        <v>81</v>
      </c>
      <c r="K713" t="s">
        <v>54</v>
      </c>
      <c r="L713" t="s">
        <v>55</v>
      </c>
      <c r="O713" t="s">
        <v>82</v>
      </c>
      <c r="P713" t="s">
        <v>83</v>
      </c>
      <c r="Q713" t="s">
        <v>5395</v>
      </c>
      <c r="R713" t="s">
        <v>5396</v>
      </c>
      <c r="S713" t="s">
        <v>2895</v>
      </c>
      <c r="T713" t="s">
        <v>2896</v>
      </c>
      <c r="U713" t="s">
        <v>2897</v>
      </c>
    </row>
    <row r="714" spans="1:21" hidden="1">
      <c r="A714" t="s">
        <v>1527</v>
      </c>
      <c r="B714" t="s">
        <v>5387</v>
      </c>
      <c r="C714" t="s">
        <v>5397</v>
      </c>
      <c r="D714" t="s">
        <v>17</v>
      </c>
      <c r="E714" t="s">
        <v>2</v>
      </c>
      <c r="F714" t="s">
        <v>50</v>
      </c>
      <c r="G714" t="s">
        <v>51</v>
      </c>
      <c r="H714" t="s">
        <v>5398</v>
      </c>
      <c r="I714" t="s">
        <v>52</v>
      </c>
      <c r="J714" t="s">
        <v>121</v>
      </c>
      <c r="K714" t="s">
        <v>54</v>
      </c>
      <c r="L714" t="s">
        <v>55</v>
      </c>
      <c r="O714" t="s">
        <v>122</v>
      </c>
      <c r="P714" t="s">
        <v>123</v>
      </c>
      <c r="Q714" t="s">
        <v>5399</v>
      </c>
      <c r="R714" t="s">
        <v>5400</v>
      </c>
      <c r="S714" t="s">
        <v>2895</v>
      </c>
      <c r="T714" t="s">
        <v>2896</v>
      </c>
      <c r="U714" t="s">
        <v>2897</v>
      </c>
    </row>
    <row r="715" spans="1:21" hidden="1">
      <c r="A715" t="s">
        <v>1529</v>
      </c>
      <c r="B715" t="s">
        <v>5387</v>
      </c>
      <c r="C715" t="s">
        <v>4073</v>
      </c>
      <c r="D715" t="s">
        <v>17</v>
      </c>
      <c r="E715" t="s">
        <v>2</v>
      </c>
      <c r="F715" t="s">
        <v>50</v>
      </c>
      <c r="G715" t="s">
        <v>51</v>
      </c>
      <c r="H715" t="s">
        <v>5401</v>
      </c>
      <c r="I715" t="s">
        <v>52</v>
      </c>
      <c r="J715" t="s">
        <v>126</v>
      </c>
      <c r="K715" t="s">
        <v>54</v>
      </c>
      <c r="L715" t="s">
        <v>55</v>
      </c>
      <c r="O715" t="s">
        <v>56</v>
      </c>
      <c r="P715" t="s">
        <v>57</v>
      </c>
      <c r="Q715" t="s">
        <v>5402</v>
      </c>
      <c r="R715" t="s">
        <v>5403</v>
      </c>
      <c r="S715" t="s">
        <v>2895</v>
      </c>
      <c r="T715" t="s">
        <v>2896</v>
      </c>
      <c r="U715" t="s">
        <v>2897</v>
      </c>
    </row>
    <row r="716" spans="1:21" hidden="1">
      <c r="A716" t="s">
        <v>1531</v>
      </c>
      <c r="B716" t="s">
        <v>5387</v>
      </c>
      <c r="C716" t="s">
        <v>4733</v>
      </c>
      <c r="D716" t="s">
        <v>17</v>
      </c>
      <c r="E716" t="s">
        <v>2</v>
      </c>
      <c r="F716" t="s">
        <v>50</v>
      </c>
      <c r="G716" t="s">
        <v>100</v>
      </c>
      <c r="H716" t="s">
        <v>2969</v>
      </c>
      <c r="I716" t="s">
        <v>52</v>
      </c>
      <c r="J716" t="s">
        <v>101</v>
      </c>
      <c r="K716" t="s">
        <v>54</v>
      </c>
      <c r="L716" t="s">
        <v>102</v>
      </c>
      <c r="O716" t="s">
        <v>103</v>
      </c>
      <c r="P716" t="s">
        <v>104</v>
      </c>
      <c r="Q716" t="s">
        <v>5404</v>
      </c>
      <c r="R716" t="s">
        <v>2971</v>
      </c>
      <c r="S716" t="s">
        <v>2895</v>
      </c>
      <c r="T716" t="s">
        <v>2896</v>
      </c>
      <c r="U716" t="s">
        <v>2897</v>
      </c>
    </row>
    <row r="717" spans="1:21" hidden="1">
      <c r="A717" t="s">
        <v>1533</v>
      </c>
      <c r="B717" t="s">
        <v>5405</v>
      </c>
      <c r="C717" t="s">
        <v>5406</v>
      </c>
      <c r="D717" t="s">
        <v>17</v>
      </c>
      <c r="E717" t="s">
        <v>2</v>
      </c>
      <c r="F717" t="s">
        <v>50</v>
      </c>
      <c r="G717" t="s">
        <v>100</v>
      </c>
      <c r="H717" t="s">
        <v>2969</v>
      </c>
      <c r="I717" t="s">
        <v>52</v>
      </c>
      <c r="J717" t="s">
        <v>101</v>
      </c>
      <c r="K717" t="s">
        <v>54</v>
      </c>
      <c r="L717" t="s">
        <v>102</v>
      </c>
      <c r="O717" t="s">
        <v>103</v>
      </c>
      <c r="P717" t="s">
        <v>104</v>
      </c>
      <c r="Q717" t="s">
        <v>5407</v>
      </c>
      <c r="R717" t="s">
        <v>2971</v>
      </c>
      <c r="S717" t="s">
        <v>2895</v>
      </c>
      <c r="T717" t="s">
        <v>2896</v>
      </c>
      <c r="U717" t="s">
        <v>2897</v>
      </c>
    </row>
    <row r="718" spans="1:21" hidden="1">
      <c r="A718" t="s">
        <v>1535</v>
      </c>
      <c r="B718" t="s">
        <v>5405</v>
      </c>
      <c r="C718" t="s">
        <v>3103</v>
      </c>
      <c r="D718" t="s">
        <v>17</v>
      </c>
      <c r="E718" t="s">
        <v>2</v>
      </c>
      <c r="F718" t="s">
        <v>50</v>
      </c>
      <c r="G718" t="s">
        <v>51</v>
      </c>
      <c r="H718" t="s">
        <v>5408</v>
      </c>
      <c r="I718" t="s">
        <v>52</v>
      </c>
      <c r="J718" t="s">
        <v>53</v>
      </c>
      <c r="K718" t="s">
        <v>54</v>
      </c>
      <c r="L718" t="s">
        <v>55</v>
      </c>
      <c r="O718" t="s">
        <v>56</v>
      </c>
      <c r="P718" t="s">
        <v>57</v>
      </c>
      <c r="Q718" t="s">
        <v>5409</v>
      </c>
      <c r="R718" t="s">
        <v>5410</v>
      </c>
      <c r="S718" t="s">
        <v>2895</v>
      </c>
      <c r="T718" t="s">
        <v>2896</v>
      </c>
      <c r="U718" t="s">
        <v>2897</v>
      </c>
    </row>
    <row r="719" spans="1:21" hidden="1">
      <c r="A719" t="s">
        <v>1537</v>
      </c>
      <c r="B719" t="s">
        <v>5405</v>
      </c>
      <c r="C719" t="s">
        <v>5411</v>
      </c>
      <c r="D719" t="s">
        <v>17</v>
      </c>
      <c r="E719" t="s">
        <v>2</v>
      </c>
      <c r="F719" t="s">
        <v>50</v>
      </c>
      <c r="G719" t="s">
        <v>100</v>
      </c>
      <c r="H719" t="s">
        <v>5412</v>
      </c>
      <c r="I719" t="s">
        <v>52</v>
      </c>
      <c r="J719" t="s">
        <v>114</v>
      </c>
      <c r="K719" t="s">
        <v>54</v>
      </c>
      <c r="L719" t="s">
        <v>102</v>
      </c>
      <c r="O719" t="s">
        <v>103</v>
      </c>
      <c r="P719" t="s">
        <v>104</v>
      </c>
      <c r="Q719" t="s">
        <v>5413</v>
      </c>
      <c r="R719" t="s">
        <v>5414</v>
      </c>
      <c r="S719" t="s">
        <v>2895</v>
      </c>
      <c r="T719" t="s">
        <v>2896</v>
      </c>
      <c r="U719" t="s">
        <v>2897</v>
      </c>
    </row>
    <row r="720" spans="1:21" hidden="1">
      <c r="A720" t="s">
        <v>1539</v>
      </c>
      <c r="B720" t="s">
        <v>5405</v>
      </c>
      <c r="C720" t="s">
        <v>5240</v>
      </c>
      <c r="D720" t="s">
        <v>17</v>
      </c>
      <c r="E720" t="s">
        <v>2</v>
      </c>
      <c r="F720" t="s">
        <v>50</v>
      </c>
      <c r="G720" t="s">
        <v>51</v>
      </c>
      <c r="H720" t="s">
        <v>5415</v>
      </c>
      <c r="I720" t="s">
        <v>52</v>
      </c>
      <c r="J720" t="s">
        <v>65</v>
      </c>
      <c r="K720" t="s">
        <v>54</v>
      </c>
      <c r="L720" t="s">
        <v>55</v>
      </c>
      <c r="O720" t="s">
        <v>66</v>
      </c>
      <c r="P720" t="s">
        <v>67</v>
      </c>
      <c r="Q720" t="s">
        <v>5416</v>
      </c>
      <c r="R720" t="s">
        <v>5417</v>
      </c>
      <c r="S720" t="s">
        <v>2895</v>
      </c>
      <c r="T720" t="s">
        <v>2896</v>
      </c>
      <c r="U720" t="s">
        <v>2897</v>
      </c>
    </row>
    <row r="721" spans="1:21" hidden="1">
      <c r="A721" t="s">
        <v>1541</v>
      </c>
      <c r="B721" t="s">
        <v>5405</v>
      </c>
      <c r="C721" t="s">
        <v>5418</v>
      </c>
      <c r="D721" t="s">
        <v>17</v>
      </c>
      <c r="E721" t="s">
        <v>2</v>
      </c>
      <c r="F721" t="s">
        <v>50</v>
      </c>
      <c r="G721" t="s">
        <v>51</v>
      </c>
      <c r="H721" t="s">
        <v>5419</v>
      </c>
      <c r="I721" t="s">
        <v>52</v>
      </c>
      <c r="J721" t="s">
        <v>53</v>
      </c>
      <c r="K721" t="s">
        <v>54</v>
      </c>
      <c r="L721" t="s">
        <v>55</v>
      </c>
      <c r="O721" t="s">
        <v>56</v>
      </c>
      <c r="P721" t="s">
        <v>57</v>
      </c>
      <c r="Q721" t="s">
        <v>5420</v>
      </c>
      <c r="R721" t="s">
        <v>5421</v>
      </c>
      <c r="S721" t="s">
        <v>2895</v>
      </c>
      <c r="T721" t="s">
        <v>2896</v>
      </c>
      <c r="U721" t="s">
        <v>2897</v>
      </c>
    </row>
    <row r="722" spans="1:21" hidden="1">
      <c r="A722" t="s">
        <v>1543</v>
      </c>
      <c r="B722" t="s">
        <v>5405</v>
      </c>
      <c r="C722" t="s">
        <v>5422</v>
      </c>
      <c r="D722" t="s">
        <v>17</v>
      </c>
      <c r="E722" t="s">
        <v>2</v>
      </c>
      <c r="F722" t="s">
        <v>50</v>
      </c>
      <c r="G722" t="s">
        <v>51</v>
      </c>
      <c r="H722" t="s">
        <v>5423</v>
      </c>
      <c r="I722" t="s">
        <v>52</v>
      </c>
      <c r="J722" t="s">
        <v>53</v>
      </c>
      <c r="K722" t="s">
        <v>54</v>
      </c>
      <c r="L722" t="s">
        <v>55</v>
      </c>
      <c r="O722" t="s">
        <v>56</v>
      </c>
      <c r="P722" t="s">
        <v>57</v>
      </c>
      <c r="Q722" t="s">
        <v>5424</v>
      </c>
      <c r="R722" t="s">
        <v>5425</v>
      </c>
      <c r="S722" t="s">
        <v>2895</v>
      </c>
      <c r="T722" t="s">
        <v>2896</v>
      </c>
      <c r="U722" t="s">
        <v>2897</v>
      </c>
    </row>
    <row r="723" spans="1:21" hidden="1">
      <c r="A723" t="s">
        <v>1545</v>
      </c>
      <c r="B723" t="s">
        <v>5405</v>
      </c>
      <c r="C723" t="s">
        <v>5426</v>
      </c>
      <c r="D723" t="s">
        <v>17</v>
      </c>
      <c r="E723" t="s">
        <v>2</v>
      </c>
      <c r="F723" t="s">
        <v>50</v>
      </c>
      <c r="G723" t="s">
        <v>51</v>
      </c>
      <c r="H723" t="s">
        <v>5427</v>
      </c>
      <c r="I723" t="s">
        <v>52</v>
      </c>
      <c r="J723" t="s">
        <v>53</v>
      </c>
      <c r="K723" t="s">
        <v>54</v>
      </c>
      <c r="L723" t="s">
        <v>55</v>
      </c>
      <c r="O723" t="s">
        <v>56</v>
      </c>
      <c r="P723" t="s">
        <v>57</v>
      </c>
      <c r="Q723" t="s">
        <v>5428</v>
      </c>
      <c r="R723" t="s">
        <v>5429</v>
      </c>
      <c r="S723" t="s">
        <v>2895</v>
      </c>
      <c r="T723" t="s">
        <v>2896</v>
      </c>
      <c r="U723" t="s">
        <v>2897</v>
      </c>
    </row>
    <row r="724" spans="1:21" hidden="1">
      <c r="A724" t="s">
        <v>1547</v>
      </c>
      <c r="B724" t="s">
        <v>5430</v>
      </c>
      <c r="C724" t="s">
        <v>5431</v>
      </c>
      <c r="D724" t="s">
        <v>17</v>
      </c>
      <c r="E724" t="s">
        <v>2</v>
      </c>
      <c r="F724" t="s">
        <v>50</v>
      </c>
      <c r="G724" t="s">
        <v>51</v>
      </c>
      <c r="H724" t="s">
        <v>5432</v>
      </c>
      <c r="I724" t="s">
        <v>52</v>
      </c>
      <c r="J724" t="s">
        <v>60</v>
      </c>
      <c r="K724" t="s">
        <v>54</v>
      </c>
      <c r="L724" t="s">
        <v>55</v>
      </c>
      <c r="O724" t="s">
        <v>61</v>
      </c>
      <c r="P724" t="s">
        <v>62</v>
      </c>
      <c r="Q724" t="s">
        <v>5433</v>
      </c>
      <c r="R724" t="s">
        <v>5434</v>
      </c>
      <c r="S724" t="s">
        <v>2895</v>
      </c>
      <c r="T724" t="s">
        <v>2896</v>
      </c>
      <c r="U724" t="s">
        <v>2897</v>
      </c>
    </row>
    <row r="725" spans="1:21" hidden="1">
      <c r="A725" t="s">
        <v>1549</v>
      </c>
      <c r="B725" t="s">
        <v>5430</v>
      </c>
      <c r="C725" t="s">
        <v>5435</v>
      </c>
      <c r="D725" t="s">
        <v>17</v>
      </c>
      <c r="E725" t="s">
        <v>2</v>
      </c>
      <c r="F725" t="s">
        <v>50</v>
      </c>
      <c r="G725" t="s">
        <v>100</v>
      </c>
      <c r="H725" t="s">
        <v>5436</v>
      </c>
      <c r="I725" t="s">
        <v>52</v>
      </c>
      <c r="J725" t="s">
        <v>177</v>
      </c>
      <c r="K725" t="s">
        <v>54</v>
      </c>
      <c r="L725" t="s">
        <v>102</v>
      </c>
      <c r="O725" t="s">
        <v>178</v>
      </c>
      <c r="P725" t="s">
        <v>179</v>
      </c>
      <c r="Q725" t="s">
        <v>5437</v>
      </c>
      <c r="R725" t="s">
        <v>5438</v>
      </c>
      <c r="S725" t="s">
        <v>2895</v>
      </c>
      <c r="T725" t="s">
        <v>2896</v>
      </c>
      <c r="U725" t="s">
        <v>2897</v>
      </c>
    </row>
    <row r="726" spans="1:21" hidden="1">
      <c r="A726" t="s">
        <v>1551</v>
      </c>
      <c r="B726" t="s">
        <v>5430</v>
      </c>
      <c r="C726" t="s">
        <v>5261</v>
      </c>
      <c r="D726" t="s">
        <v>17</v>
      </c>
      <c r="E726" t="s">
        <v>2</v>
      </c>
      <c r="F726" t="s">
        <v>50</v>
      </c>
      <c r="G726" t="s">
        <v>100</v>
      </c>
      <c r="H726" t="s">
        <v>5439</v>
      </c>
      <c r="I726" t="s">
        <v>52</v>
      </c>
      <c r="J726" t="s">
        <v>114</v>
      </c>
      <c r="K726" t="s">
        <v>54</v>
      </c>
      <c r="L726" t="s">
        <v>102</v>
      </c>
      <c r="O726" t="s">
        <v>103</v>
      </c>
      <c r="P726" t="s">
        <v>104</v>
      </c>
      <c r="Q726" t="s">
        <v>5440</v>
      </c>
      <c r="R726" t="s">
        <v>5441</v>
      </c>
      <c r="S726" t="s">
        <v>2895</v>
      </c>
      <c r="T726" t="s">
        <v>2896</v>
      </c>
      <c r="U726" t="s">
        <v>2897</v>
      </c>
    </row>
    <row r="727" spans="1:21" hidden="1">
      <c r="A727" t="s">
        <v>1553</v>
      </c>
      <c r="B727" t="s">
        <v>5430</v>
      </c>
      <c r="C727" t="s">
        <v>4129</v>
      </c>
      <c r="D727" t="s">
        <v>17</v>
      </c>
      <c r="E727" t="s">
        <v>2</v>
      </c>
      <c r="F727" t="s">
        <v>50</v>
      </c>
      <c r="G727" t="s">
        <v>51</v>
      </c>
      <c r="H727" t="s">
        <v>5442</v>
      </c>
      <c r="I727" t="s">
        <v>52</v>
      </c>
      <c r="J727" t="s">
        <v>53</v>
      </c>
      <c r="K727" t="s">
        <v>54</v>
      </c>
      <c r="L727" t="s">
        <v>55</v>
      </c>
      <c r="O727" t="s">
        <v>56</v>
      </c>
      <c r="P727" t="s">
        <v>57</v>
      </c>
      <c r="Q727" t="s">
        <v>5443</v>
      </c>
      <c r="R727" t="s">
        <v>5444</v>
      </c>
      <c r="S727" t="s">
        <v>2895</v>
      </c>
      <c r="T727" t="s">
        <v>2896</v>
      </c>
      <c r="U727" t="s">
        <v>2897</v>
      </c>
    </row>
    <row r="728" spans="1:21" hidden="1">
      <c r="A728" t="s">
        <v>1555</v>
      </c>
      <c r="B728" t="s">
        <v>5430</v>
      </c>
      <c r="C728" t="s">
        <v>5445</v>
      </c>
      <c r="D728" t="s">
        <v>17</v>
      </c>
      <c r="E728" t="s">
        <v>2</v>
      </c>
      <c r="F728" t="s">
        <v>50</v>
      </c>
      <c r="G728" t="s">
        <v>100</v>
      </c>
      <c r="H728" t="s">
        <v>2969</v>
      </c>
      <c r="I728" t="s">
        <v>52</v>
      </c>
      <c r="J728" t="s">
        <v>101</v>
      </c>
      <c r="K728" t="s">
        <v>54</v>
      </c>
      <c r="L728" t="s">
        <v>102</v>
      </c>
      <c r="O728" t="s">
        <v>103</v>
      </c>
      <c r="P728" t="s">
        <v>104</v>
      </c>
      <c r="Q728" t="s">
        <v>5446</v>
      </c>
      <c r="R728" t="s">
        <v>2971</v>
      </c>
      <c r="S728" t="s">
        <v>2895</v>
      </c>
      <c r="T728" t="s">
        <v>2896</v>
      </c>
      <c r="U728" t="s">
        <v>2897</v>
      </c>
    </row>
    <row r="729" spans="1:21" hidden="1">
      <c r="A729" t="s">
        <v>1557</v>
      </c>
      <c r="B729" t="s">
        <v>5430</v>
      </c>
      <c r="C729" t="s">
        <v>5447</v>
      </c>
      <c r="D729" t="s">
        <v>17</v>
      </c>
      <c r="E729" t="s">
        <v>2</v>
      </c>
      <c r="F729" t="s">
        <v>50</v>
      </c>
      <c r="G729" t="s">
        <v>51</v>
      </c>
      <c r="H729" t="s">
        <v>5448</v>
      </c>
      <c r="I729" t="s">
        <v>52</v>
      </c>
      <c r="J729" t="s">
        <v>121</v>
      </c>
      <c r="K729" t="s">
        <v>54</v>
      </c>
      <c r="L729" t="s">
        <v>55</v>
      </c>
      <c r="O729" t="s">
        <v>122</v>
      </c>
      <c r="P729" t="s">
        <v>123</v>
      </c>
      <c r="Q729" t="s">
        <v>5449</v>
      </c>
      <c r="R729" t="s">
        <v>5450</v>
      </c>
      <c r="S729" t="s">
        <v>2895</v>
      </c>
      <c r="T729" t="s">
        <v>2896</v>
      </c>
      <c r="U729" t="s">
        <v>2897</v>
      </c>
    </row>
    <row r="730" spans="1:21" hidden="1">
      <c r="A730" t="s">
        <v>1559</v>
      </c>
      <c r="B730" t="s">
        <v>5430</v>
      </c>
      <c r="C730" t="s">
        <v>5451</v>
      </c>
      <c r="D730" t="s">
        <v>17</v>
      </c>
      <c r="E730" t="s">
        <v>2</v>
      </c>
      <c r="F730" t="s">
        <v>50</v>
      </c>
      <c r="G730" t="s">
        <v>51</v>
      </c>
      <c r="H730" t="s">
        <v>5452</v>
      </c>
      <c r="I730" t="s">
        <v>52</v>
      </c>
      <c r="J730" t="s">
        <v>60</v>
      </c>
      <c r="K730" t="s">
        <v>54</v>
      </c>
      <c r="L730" t="s">
        <v>55</v>
      </c>
      <c r="O730" t="s">
        <v>61</v>
      </c>
      <c r="P730" t="s">
        <v>62</v>
      </c>
      <c r="Q730" t="s">
        <v>5453</v>
      </c>
      <c r="R730" t="s">
        <v>5454</v>
      </c>
      <c r="S730" t="s">
        <v>2895</v>
      </c>
      <c r="T730" t="s">
        <v>2896</v>
      </c>
      <c r="U730" t="s">
        <v>2897</v>
      </c>
    </row>
    <row r="731" spans="1:21" hidden="1">
      <c r="A731" t="s">
        <v>1561</v>
      </c>
      <c r="B731" t="s">
        <v>5430</v>
      </c>
      <c r="C731" t="s">
        <v>5455</v>
      </c>
      <c r="D731" t="s">
        <v>17</v>
      </c>
      <c r="E731" t="s">
        <v>2</v>
      </c>
      <c r="F731" t="s">
        <v>50</v>
      </c>
      <c r="G731" t="s">
        <v>51</v>
      </c>
      <c r="H731" t="s">
        <v>5456</v>
      </c>
      <c r="I731" t="s">
        <v>52</v>
      </c>
      <c r="J731" t="s">
        <v>121</v>
      </c>
      <c r="K731" t="s">
        <v>54</v>
      </c>
      <c r="L731" t="s">
        <v>55</v>
      </c>
      <c r="O731" t="s">
        <v>122</v>
      </c>
      <c r="P731" t="s">
        <v>123</v>
      </c>
      <c r="Q731" t="s">
        <v>5457</v>
      </c>
      <c r="R731" t="s">
        <v>5458</v>
      </c>
      <c r="S731" t="s">
        <v>2895</v>
      </c>
      <c r="T731" t="s">
        <v>2896</v>
      </c>
      <c r="U731" t="s">
        <v>2897</v>
      </c>
    </row>
    <row r="732" spans="1:21" hidden="1">
      <c r="A732" t="s">
        <v>1563</v>
      </c>
      <c r="B732" t="s">
        <v>5430</v>
      </c>
      <c r="C732" t="s">
        <v>5459</v>
      </c>
      <c r="D732" t="s">
        <v>17</v>
      </c>
      <c r="E732" t="s">
        <v>2</v>
      </c>
      <c r="F732" t="s">
        <v>50</v>
      </c>
      <c r="G732" t="s">
        <v>51</v>
      </c>
      <c r="H732" t="s">
        <v>5460</v>
      </c>
      <c r="I732" t="s">
        <v>52</v>
      </c>
      <c r="J732" t="s">
        <v>65</v>
      </c>
      <c r="K732" t="s">
        <v>54</v>
      </c>
      <c r="L732" t="s">
        <v>55</v>
      </c>
      <c r="O732" t="s">
        <v>66</v>
      </c>
      <c r="P732" t="s">
        <v>67</v>
      </c>
      <c r="Q732" t="s">
        <v>5461</v>
      </c>
      <c r="R732" t="s">
        <v>5462</v>
      </c>
      <c r="S732" t="s">
        <v>2895</v>
      </c>
      <c r="T732" t="s">
        <v>2896</v>
      </c>
      <c r="U732" t="s">
        <v>2897</v>
      </c>
    </row>
    <row r="733" spans="1:21" hidden="1">
      <c r="A733" t="s">
        <v>1565</v>
      </c>
      <c r="B733" t="s">
        <v>5463</v>
      </c>
      <c r="C733" t="s">
        <v>5464</v>
      </c>
      <c r="D733" t="s">
        <v>17</v>
      </c>
      <c r="E733" t="s">
        <v>2</v>
      </c>
      <c r="F733" t="s">
        <v>50</v>
      </c>
      <c r="G733" t="s">
        <v>51</v>
      </c>
      <c r="H733" t="s">
        <v>5465</v>
      </c>
      <c r="I733" t="s">
        <v>52</v>
      </c>
      <c r="J733" t="s">
        <v>53</v>
      </c>
      <c r="K733" t="s">
        <v>54</v>
      </c>
      <c r="L733" t="s">
        <v>55</v>
      </c>
      <c r="O733" t="s">
        <v>56</v>
      </c>
      <c r="P733" t="s">
        <v>57</v>
      </c>
      <c r="Q733" t="s">
        <v>5466</v>
      </c>
      <c r="R733" t="s">
        <v>5467</v>
      </c>
      <c r="S733" t="s">
        <v>2895</v>
      </c>
      <c r="T733" t="s">
        <v>2896</v>
      </c>
      <c r="U733" t="s">
        <v>2897</v>
      </c>
    </row>
    <row r="734" spans="1:21" hidden="1">
      <c r="A734" t="s">
        <v>1567</v>
      </c>
      <c r="B734" t="s">
        <v>5463</v>
      </c>
      <c r="C734" t="s">
        <v>3885</v>
      </c>
      <c r="D734" t="s">
        <v>17</v>
      </c>
      <c r="E734" t="s">
        <v>2</v>
      </c>
      <c r="F734" t="s">
        <v>50</v>
      </c>
      <c r="G734" t="s">
        <v>100</v>
      </c>
      <c r="H734" t="s">
        <v>5468</v>
      </c>
      <c r="I734" t="s">
        <v>52</v>
      </c>
      <c r="J734" t="s">
        <v>114</v>
      </c>
      <c r="K734" t="s">
        <v>54</v>
      </c>
      <c r="L734" t="s">
        <v>102</v>
      </c>
      <c r="O734" t="s">
        <v>103</v>
      </c>
      <c r="P734" t="s">
        <v>104</v>
      </c>
      <c r="Q734" t="s">
        <v>5469</v>
      </c>
      <c r="R734" t="s">
        <v>5470</v>
      </c>
      <c r="S734" t="s">
        <v>2895</v>
      </c>
      <c r="T734" t="s">
        <v>2896</v>
      </c>
      <c r="U734" t="s">
        <v>2897</v>
      </c>
    </row>
    <row r="735" spans="1:21" hidden="1">
      <c r="A735" t="s">
        <v>1569</v>
      </c>
      <c r="B735" t="s">
        <v>5463</v>
      </c>
      <c r="C735" t="s">
        <v>3044</v>
      </c>
      <c r="D735" t="s">
        <v>17</v>
      </c>
      <c r="E735" t="s">
        <v>2</v>
      </c>
      <c r="F735" t="s">
        <v>149</v>
      </c>
      <c r="G735" t="s">
        <v>72</v>
      </c>
      <c r="H735" t="s">
        <v>5471</v>
      </c>
      <c r="I735" t="s">
        <v>52</v>
      </c>
      <c r="J735" t="s">
        <v>606</v>
      </c>
      <c r="K735" t="s">
        <v>54</v>
      </c>
      <c r="L735" t="s">
        <v>74</v>
      </c>
      <c r="O735" t="s">
        <v>75</v>
      </c>
      <c r="P735" t="s">
        <v>76</v>
      </c>
      <c r="Q735" t="s">
        <v>5472</v>
      </c>
      <c r="R735" t="s">
        <v>5471</v>
      </c>
      <c r="S735" t="s">
        <v>2895</v>
      </c>
      <c r="T735" t="s">
        <v>2896</v>
      </c>
      <c r="U735" t="s">
        <v>2897</v>
      </c>
    </row>
    <row r="736" spans="1:21" hidden="1">
      <c r="A736" t="s">
        <v>1571</v>
      </c>
      <c r="B736" t="s">
        <v>5463</v>
      </c>
      <c r="C736" t="s">
        <v>4121</v>
      </c>
      <c r="D736" t="s">
        <v>17</v>
      </c>
      <c r="E736" t="s">
        <v>2</v>
      </c>
      <c r="F736" t="s">
        <v>50</v>
      </c>
      <c r="G736" t="s">
        <v>51</v>
      </c>
      <c r="H736" t="s">
        <v>5473</v>
      </c>
      <c r="I736" t="s">
        <v>52</v>
      </c>
      <c r="J736" t="s">
        <v>196</v>
      </c>
      <c r="K736" t="s">
        <v>54</v>
      </c>
      <c r="L736" t="s">
        <v>55</v>
      </c>
      <c r="O736" t="s">
        <v>197</v>
      </c>
      <c r="P736" t="s">
        <v>198</v>
      </c>
      <c r="Q736" t="s">
        <v>5474</v>
      </c>
      <c r="R736" t="s">
        <v>5475</v>
      </c>
      <c r="S736" t="s">
        <v>2895</v>
      </c>
      <c r="T736" t="s">
        <v>2896</v>
      </c>
      <c r="U736" t="s">
        <v>2897</v>
      </c>
    </row>
    <row r="737" spans="1:21" hidden="1">
      <c r="A737" t="s">
        <v>1573</v>
      </c>
      <c r="B737" t="s">
        <v>5463</v>
      </c>
      <c r="C737" t="s">
        <v>3602</v>
      </c>
      <c r="D737" t="s">
        <v>17</v>
      </c>
      <c r="E737" t="s">
        <v>2</v>
      </c>
      <c r="F737" t="s">
        <v>50</v>
      </c>
      <c r="G737" t="s">
        <v>51</v>
      </c>
      <c r="H737" t="s">
        <v>5476</v>
      </c>
      <c r="I737" t="s">
        <v>52</v>
      </c>
      <c r="J737" t="s">
        <v>126</v>
      </c>
      <c r="K737" t="s">
        <v>54</v>
      </c>
      <c r="L737" t="s">
        <v>55</v>
      </c>
      <c r="O737" t="s">
        <v>56</v>
      </c>
      <c r="P737" t="s">
        <v>57</v>
      </c>
      <c r="Q737" t="s">
        <v>5477</v>
      </c>
      <c r="R737" t="s">
        <v>5478</v>
      </c>
      <c r="S737" t="s">
        <v>2895</v>
      </c>
      <c r="T737" t="s">
        <v>2896</v>
      </c>
      <c r="U737" t="s">
        <v>2897</v>
      </c>
    </row>
    <row r="738" spans="1:21" hidden="1">
      <c r="A738" t="s">
        <v>1575</v>
      </c>
      <c r="B738" t="s">
        <v>5463</v>
      </c>
      <c r="C738" t="s">
        <v>5479</v>
      </c>
      <c r="D738" t="s">
        <v>17</v>
      </c>
      <c r="E738" t="s">
        <v>2</v>
      </c>
      <c r="F738" t="s">
        <v>50</v>
      </c>
      <c r="G738" t="s">
        <v>51</v>
      </c>
      <c r="H738" t="s">
        <v>5480</v>
      </c>
      <c r="I738" t="s">
        <v>52</v>
      </c>
      <c r="J738" t="s">
        <v>60</v>
      </c>
      <c r="K738" t="s">
        <v>54</v>
      </c>
      <c r="L738" t="s">
        <v>55</v>
      </c>
      <c r="O738" t="s">
        <v>61</v>
      </c>
      <c r="P738" t="s">
        <v>62</v>
      </c>
      <c r="Q738" t="s">
        <v>5481</v>
      </c>
      <c r="R738" t="s">
        <v>5482</v>
      </c>
      <c r="S738" t="s">
        <v>2895</v>
      </c>
      <c r="T738" t="s">
        <v>2896</v>
      </c>
      <c r="U738" t="s">
        <v>2897</v>
      </c>
    </row>
    <row r="739" spans="1:21" hidden="1">
      <c r="A739" t="s">
        <v>1577</v>
      </c>
      <c r="B739" t="s">
        <v>5463</v>
      </c>
      <c r="C739" t="s">
        <v>3122</v>
      </c>
      <c r="D739" t="s">
        <v>17</v>
      </c>
      <c r="E739" t="s">
        <v>2</v>
      </c>
      <c r="F739" t="s">
        <v>50</v>
      </c>
      <c r="G739" t="s">
        <v>51</v>
      </c>
      <c r="H739" t="s">
        <v>5483</v>
      </c>
      <c r="I739" t="s">
        <v>52</v>
      </c>
      <c r="J739" t="s">
        <v>60</v>
      </c>
      <c r="K739" t="s">
        <v>54</v>
      </c>
      <c r="L739" t="s">
        <v>55</v>
      </c>
      <c r="O739" t="s">
        <v>61</v>
      </c>
      <c r="P739" t="s">
        <v>62</v>
      </c>
      <c r="Q739" t="s">
        <v>5484</v>
      </c>
      <c r="R739" t="s">
        <v>5485</v>
      </c>
      <c r="S739" t="s">
        <v>2895</v>
      </c>
      <c r="T739" t="s">
        <v>2896</v>
      </c>
      <c r="U739" t="s">
        <v>2897</v>
      </c>
    </row>
    <row r="740" spans="1:21" hidden="1">
      <c r="A740" t="s">
        <v>1579</v>
      </c>
      <c r="B740" t="s">
        <v>5486</v>
      </c>
      <c r="C740" t="s">
        <v>4724</v>
      </c>
      <c r="D740" t="s">
        <v>17</v>
      </c>
      <c r="E740" t="s">
        <v>2</v>
      </c>
      <c r="F740" t="s">
        <v>50</v>
      </c>
      <c r="G740" t="s">
        <v>100</v>
      </c>
      <c r="H740" t="s">
        <v>5487</v>
      </c>
      <c r="I740" t="s">
        <v>52</v>
      </c>
      <c r="J740" t="s">
        <v>244</v>
      </c>
      <c r="K740" t="s">
        <v>54</v>
      </c>
      <c r="L740" t="s">
        <v>102</v>
      </c>
      <c r="O740" t="s">
        <v>178</v>
      </c>
      <c r="P740" t="s">
        <v>245</v>
      </c>
      <c r="Q740" t="s">
        <v>5488</v>
      </c>
      <c r="R740" t="s">
        <v>5489</v>
      </c>
      <c r="S740" t="s">
        <v>2895</v>
      </c>
      <c r="T740" t="s">
        <v>2896</v>
      </c>
      <c r="U740" t="s">
        <v>2897</v>
      </c>
    </row>
    <row r="741" spans="1:21" hidden="1">
      <c r="A741" t="s">
        <v>1581</v>
      </c>
      <c r="B741" t="s">
        <v>5486</v>
      </c>
      <c r="C741" t="s">
        <v>5490</v>
      </c>
      <c r="D741" t="s">
        <v>17</v>
      </c>
      <c r="E741" t="s">
        <v>2</v>
      </c>
      <c r="F741" t="s">
        <v>50</v>
      </c>
      <c r="G741" t="s">
        <v>100</v>
      </c>
      <c r="H741" t="s">
        <v>2969</v>
      </c>
      <c r="I741" t="s">
        <v>52</v>
      </c>
      <c r="J741" t="s">
        <v>101</v>
      </c>
      <c r="K741" t="s">
        <v>54</v>
      </c>
      <c r="L741" t="s">
        <v>102</v>
      </c>
      <c r="O741" t="s">
        <v>103</v>
      </c>
      <c r="P741" t="s">
        <v>104</v>
      </c>
      <c r="Q741" t="s">
        <v>5491</v>
      </c>
      <c r="R741" t="s">
        <v>2971</v>
      </c>
      <c r="S741" t="s">
        <v>2895</v>
      </c>
      <c r="T741" t="s">
        <v>2896</v>
      </c>
      <c r="U741" t="s">
        <v>2897</v>
      </c>
    </row>
    <row r="742" spans="1:21" hidden="1">
      <c r="A742" t="s">
        <v>1583</v>
      </c>
      <c r="B742" t="s">
        <v>5486</v>
      </c>
      <c r="C742" t="s">
        <v>3190</v>
      </c>
      <c r="D742" t="s">
        <v>17</v>
      </c>
      <c r="E742" t="s">
        <v>2</v>
      </c>
      <c r="F742" t="s">
        <v>50</v>
      </c>
      <c r="G742" t="s">
        <v>51</v>
      </c>
      <c r="H742" t="s">
        <v>5492</v>
      </c>
      <c r="I742" t="s">
        <v>52</v>
      </c>
      <c r="J742" t="s">
        <v>65</v>
      </c>
      <c r="K742" t="s">
        <v>54</v>
      </c>
      <c r="L742" t="s">
        <v>55</v>
      </c>
      <c r="O742" t="s">
        <v>66</v>
      </c>
      <c r="P742" t="s">
        <v>67</v>
      </c>
      <c r="Q742" t="s">
        <v>5493</v>
      </c>
      <c r="R742" t="s">
        <v>5494</v>
      </c>
      <c r="S742" t="s">
        <v>2895</v>
      </c>
      <c r="T742" t="s">
        <v>2896</v>
      </c>
      <c r="U742" t="s">
        <v>2897</v>
      </c>
    </row>
    <row r="743" spans="1:21" hidden="1">
      <c r="A743" t="s">
        <v>1585</v>
      </c>
      <c r="B743" t="s">
        <v>5486</v>
      </c>
      <c r="C743" t="s">
        <v>5495</v>
      </c>
      <c r="D743" t="s">
        <v>17</v>
      </c>
      <c r="E743" t="s">
        <v>2</v>
      </c>
      <c r="F743" t="s">
        <v>50</v>
      </c>
      <c r="G743" t="s">
        <v>51</v>
      </c>
      <c r="H743" t="s">
        <v>5496</v>
      </c>
      <c r="I743" t="s">
        <v>52</v>
      </c>
      <c r="J743" t="s">
        <v>121</v>
      </c>
      <c r="K743" t="s">
        <v>54</v>
      </c>
      <c r="L743" t="s">
        <v>55</v>
      </c>
      <c r="O743" t="s">
        <v>122</v>
      </c>
      <c r="P743" t="s">
        <v>123</v>
      </c>
      <c r="Q743" t="s">
        <v>5497</v>
      </c>
      <c r="R743" t="s">
        <v>5498</v>
      </c>
      <c r="S743" t="s">
        <v>2895</v>
      </c>
      <c r="T743" t="s">
        <v>2896</v>
      </c>
      <c r="U743" t="s">
        <v>2897</v>
      </c>
    </row>
    <row r="744" spans="1:21" hidden="1">
      <c r="A744" t="s">
        <v>1587</v>
      </c>
      <c r="B744" t="s">
        <v>5486</v>
      </c>
      <c r="C744" t="s">
        <v>5499</v>
      </c>
      <c r="D744" t="s">
        <v>17</v>
      </c>
      <c r="E744" t="s">
        <v>2</v>
      </c>
      <c r="F744" t="s">
        <v>50</v>
      </c>
      <c r="G744" t="s">
        <v>51</v>
      </c>
      <c r="H744" t="s">
        <v>4983</v>
      </c>
      <c r="I744" t="s">
        <v>52</v>
      </c>
      <c r="J744" t="s">
        <v>53</v>
      </c>
      <c r="K744" t="s">
        <v>54</v>
      </c>
      <c r="L744" t="s">
        <v>55</v>
      </c>
      <c r="O744" t="s">
        <v>56</v>
      </c>
      <c r="P744" t="s">
        <v>57</v>
      </c>
      <c r="Q744" t="s">
        <v>5500</v>
      </c>
      <c r="R744" t="s">
        <v>4985</v>
      </c>
      <c r="S744" t="s">
        <v>2895</v>
      </c>
      <c r="T744" t="s">
        <v>2896</v>
      </c>
      <c r="U744" t="s">
        <v>2897</v>
      </c>
    </row>
    <row r="745" spans="1:21" hidden="1">
      <c r="A745" t="s">
        <v>1589</v>
      </c>
      <c r="B745" t="s">
        <v>5486</v>
      </c>
      <c r="C745" t="s">
        <v>4842</v>
      </c>
      <c r="D745" t="s">
        <v>17</v>
      </c>
      <c r="E745" t="s">
        <v>2</v>
      </c>
      <c r="F745" t="s">
        <v>50</v>
      </c>
      <c r="G745" t="s">
        <v>51</v>
      </c>
      <c r="H745" t="s">
        <v>5501</v>
      </c>
      <c r="I745" t="s">
        <v>52</v>
      </c>
      <c r="J745" t="s">
        <v>53</v>
      </c>
      <c r="K745" t="s">
        <v>54</v>
      </c>
      <c r="L745" t="s">
        <v>55</v>
      </c>
      <c r="O745" t="s">
        <v>56</v>
      </c>
      <c r="P745" t="s">
        <v>57</v>
      </c>
      <c r="Q745" t="s">
        <v>5502</v>
      </c>
      <c r="R745" t="s">
        <v>5503</v>
      </c>
      <c r="S745" t="s">
        <v>2895</v>
      </c>
      <c r="T745" t="s">
        <v>2896</v>
      </c>
      <c r="U745" t="s">
        <v>2897</v>
      </c>
    </row>
    <row r="746" spans="1:21" hidden="1">
      <c r="A746" t="s">
        <v>1591</v>
      </c>
      <c r="B746" t="s">
        <v>5486</v>
      </c>
      <c r="C746" t="s">
        <v>5426</v>
      </c>
      <c r="D746" t="s">
        <v>17</v>
      </c>
      <c r="E746" t="s">
        <v>2</v>
      </c>
      <c r="F746" t="s">
        <v>149</v>
      </c>
      <c r="G746" t="s">
        <v>72</v>
      </c>
      <c r="H746" t="s">
        <v>5504</v>
      </c>
      <c r="I746" t="s">
        <v>52</v>
      </c>
      <c r="J746" t="s">
        <v>316</v>
      </c>
      <c r="K746" t="s">
        <v>54</v>
      </c>
      <c r="L746" t="s">
        <v>74</v>
      </c>
      <c r="O746" t="s">
        <v>75</v>
      </c>
      <c r="P746" t="s">
        <v>76</v>
      </c>
      <c r="Q746" t="s">
        <v>5505</v>
      </c>
      <c r="R746" t="s">
        <v>5504</v>
      </c>
      <c r="S746" t="s">
        <v>2895</v>
      </c>
      <c r="T746" t="s">
        <v>2896</v>
      </c>
      <c r="U746" t="s">
        <v>2897</v>
      </c>
    </row>
    <row r="747" spans="1:21" hidden="1">
      <c r="A747" t="s">
        <v>1593</v>
      </c>
      <c r="B747" t="s">
        <v>5506</v>
      </c>
      <c r="C747" t="s">
        <v>4018</v>
      </c>
      <c r="D747" t="s">
        <v>17</v>
      </c>
      <c r="E747" t="s">
        <v>2</v>
      </c>
      <c r="F747" t="s">
        <v>149</v>
      </c>
      <c r="G747" t="s">
        <v>72</v>
      </c>
      <c r="H747" t="s">
        <v>5507</v>
      </c>
      <c r="I747" t="s">
        <v>52</v>
      </c>
      <c r="J747" t="s">
        <v>638</v>
      </c>
      <c r="K747" t="s">
        <v>54</v>
      </c>
      <c r="L747" t="s">
        <v>74</v>
      </c>
      <c r="O747" t="s">
        <v>75</v>
      </c>
      <c r="P747" t="s">
        <v>76</v>
      </c>
      <c r="Q747" t="s">
        <v>5508</v>
      </c>
      <c r="R747" t="s">
        <v>5507</v>
      </c>
      <c r="S747" t="s">
        <v>2895</v>
      </c>
      <c r="T747" t="s">
        <v>2896</v>
      </c>
      <c r="U747" t="s">
        <v>2897</v>
      </c>
    </row>
    <row r="748" spans="1:21" hidden="1">
      <c r="A748" t="s">
        <v>1595</v>
      </c>
      <c r="B748" t="s">
        <v>5506</v>
      </c>
      <c r="C748" t="s">
        <v>3131</v>
      </c>
      <c r="D748" t="s">
        <v>17</v>
      </c>
      <c r="E748" t="s">
        <v>2</v>
      </c>
      <c r="F748" t="s">
        <v>50</v>
      </c>
      <c r="G748" t="s">
        <v>51</v>
      </c>
      <c r="H748" t="s">
        <v>5509</v>
      </c>
      <c r="I748" t="s">
        <v>52</v>
      </c>
      <c r="J748" t="s">
        <v>65</v>
      </c>
      <c r="K748" t="s">
        <v>54</v>
      </c>
      <c r="L748" t="s">
        <v>55</v>
      </c>
      <c r="O748" t="s">
        <v>66</v>
      </c>
      <c r="P748" t="s">
        <v>67</v>
      </c>
      <c r="Q748" t="s">
        <v>5510</v>
      </c>
      <c r="R748" t="s">
        <v>5511</v>
      </c>
      <c r="S748" t="s">
        <v>2895</v>
      </c>
      <c r="T748" t="s">
        <v>2896</v>
      </c>
      <c r="U748" t="s">
        <v>2897</v>
      </c>
    </row>
    <row r="749" spans="1:21" hidden="1">
      <c r="A749" t="s">
        <v>1597</v>
      </c>
      <c r="B749" t="s">
        <v>5506</v>
      </c>
      <c r="C749" t="s">
        <v>2991</v>
      </c>
      <c r="D749" t="s">
        <v>17</v>
      </c>
      <c r="E749" t="s">
        <v>2</v>
      </c>
      <c r="F749" t="s">
        <v>50</v>
      </c>
      <c r="G749" t="s">
        <v>51</v>
      </c>
      <c r="H749" t="s">
        <v>5512</v>
      </c>
      <c r="I749" t="s">
        <v>52</v>
      </c>
      <c r="J749" t="s">
        <v>60</v>
      </c>
      <c r="K749" t="s">
        <v>54</v>
      </c>
      <c r="L749" t="s">
        <v>55</v>
      </c>
      <c r="O749" t="s">
        <v>61</v>
      </c>
      <c r="P749" t="s">
        <v>62</v>
      </c>
      <c r="Q749" t="s">
        <v>5513</v>
      </c>
      <c r="R749" t="s">
        <v>5514</v>
      </c>
      <c r="S749" t="s">
        <v>2895</v>
      </c>
      <c r="T749" t="s">
        <v>2896</v>
      </c>
      <c r="U749" t="s">
        <v>2897</v>
      </c>
    </row>
    <row r="750" spans="1:21" hidden="1">
      <c r="A750" t="s">
        <v>1599</v>
      </c>
      <c r="B750" t="s">
        <v>5506</v>
      </c>
      <c r="C750" t="s">
        <v>3032</v>
      </c>
      <c r="D750" t="s">
        <v>17</v>
      </c>
      <c r="E750" t="s">
        <v>2</v>
      </c>
      <c r="F750" t="s">
        <v>50</v>
      </c>
      <c r="G750" t="s">
        <v>51</v>
      </c>
      <c r="H750" t="s">
        <v>5439</v>
      </c>
      <c r="I750" t="s">
        <v>52</v>
      </c>
      <c r="J750" t="s">
        <v>81</v>
      </c>
      <c r="K750" t="s">
        <v>54</v>
      </c>
      <c r="L750" t="s">
        <v>55</v>
      </c>
      <c r="O750" t="s">
        <v>82</v>
      </c>
      <c r="P750" t="s">
        <v>83</v>
      </c>
      <c r="Q750" t="s">
        <v>5515</v>
      </c>
      <c r="R750" t="s">
        <v>5441</v>
      </c>
      <c r="S750" t="s">
        <v>2895</v>
      </c>
      <c r="T750" t="s">
        <v>2896</v>
      </c>
      <c r="U750" t="s">
        <v>2897</v>
      </c>
    </row>
    <row r="751" spans="1:21" hidden="1">
      <c r="A751" t="s">
        <v>1601</v>
      </c>
      <c r="B751" t="s">
        <v>5506</v>
      </c>
      <c r="C751" t="s">
        <v>4887</v>
      </c>
      <c r="D751" t="s">
        <v>17</v>
      </c>
      <c r="E751" t="s">
        <v>2</v>
      </c>
      <c r="F751" t="s">
        <v>50</v>
      </c>
      <c r="G751" t="s">
        <v>51</v>
      </c>
      <c r="H751" t="s">
        <v>5516</v>
      </c>
      <c r="I751" t="s">
        <v>52</v>
      </c>
      <c r="J751" t="s">
        <v>126</v>
      </c>
      <c r="K751" t="s">
        <v>54</v>
      </c>
      <c r="L751" t="s">
        <v>55</v>
      </c>
      <c r="O751" t="s">
        <v>56</v>
      </c>
      <c r="P751" t="s">
        <v>57</v>
      </c>
      <c r="Q751" t="s">
        <v>5517</v>
      </c>
      <c r="R751" t="s">
        <v>5518</v>
      </c>
      <c r="S751" t="s">
        <v>2895</v>
      </c>
      <c r="T751" t="s">
        <v>2896</v>
      </c>
      <c r="U751" t="s">
        <v>2897</v>
      </c>
    </row>
    <row r="752" spans="1:21" hidden="1">
      <c r="A752" t="s">
        <v>1603</v>
      </c>
      <c r="B752" t="s">
        <v>5506</v>
      </c>
      <c r="C752" t="s">
        <v>3060</v>
      </c>
      <c r="D752" t="s">
        <v>17</v>
      </c>
      <c r="E752" t="s">
        <v>2</v>
      </c>
      <c r="F752" t="s">
        <v>50</v>
      </c>
      <c r="G752" t="s">
        <v>51</v>
      </c>
      <c r="H752" t="s">
        <v>5519</v>
      </c>
      <c r="I752" t="s">
        <v>52</v>
      </c>
      <c r="J752" t="s">
        <v>121</v>
      </c>
      <c r="K752" t="s">
        <v>54</v>
      </c>
      <c r="L752" t="s">
        <v>55</v>
      </c>
      <c r="O752" t="s">
        <v>122</v>
      </c>
      <c r="P752" t="s">
        <v>123</v>
      </c>
      <c r="Q752" t="s">
        <v>5520</v>
      </c>
      <c r="R752" t="s">
        <v>5521</v>
      </c>
      <c r="S752" t="s">
        <v>2895</v>
      </c>
      <c r="T752" t="s">
        <v>2896</v>
      </c>
      <c r="U752" t="s">
        <v>2897</v>
      </c>
    </row>
    <row r="753" spans="1:21" hidden="1">
      <c r="A753" t="s">
        <v>1604</v>
      </c>
      <c r="B753" t="s">
        <v>5506</v>
      </c>
      <c r="C753" t="s">
        <v>5522</v>
      </c>
      <c r="D753" t="s">
        <v>17</v>
      </c>
      <c r="E753" t="s">
        <v>2</v>
      </c>
      <c r="F753" t="s">
        <v>50</v>
      </c>
      <c r="G753" t="s">
        <v>100</v>
      </c>
      <c r="H753" t="s">
        <v>5523</v>
      </c>
      <c r="I753" t="s">
        <v>52</v>
      </c>
      <c r="J753" t="s">
        <v>114</v>
      </c>
      <c r="K753" t="s">
        <v>54</v>
      </c>
      <c r="L753" t="s">
        <v>102</v>
      </c>
      <c r="O753" t="s">
        <v>103</v>
      </c>
      <c r="P753" t="s">
        <v>104</v>
      </c>
      <c r="Q753" t="s">
        <v>5524</v>
      </c>
      <c r="R753" t="s">
        <v>5525</v>
      </c>
      <c r="S753" t="s">
        <v>2895</v>
      </c>
      <c r="T753" t="s">
        <v>2896</v>
      </c>
      <c r="U753" t="s">
        <v>2897</v>
      </c>
    </row>
    <row r="754" spans="1:21" hidden="1">
      <c r="A754" t="s">
        <v>1606</v>
      </c>
      <c r="B754" t="s">
        <v>5526</v>
      </c>
      <c r="C754" t="s">
        <v>5527</v>
      </c>
      <c r="D754" t="s">
        <v>17</v>
      </c>
      <c r="E754" t="s">
        <v>2</v>
      </c>
      <c r="F754" t="s">
        <v>50</v>
      </c>
      <c r="G754" t="s">
        <v>51</v>
      </c>
      <c r="H754" t="s">
        <v>4465</v>
      </c>
      <c r="I754" t="s">
        <v>52</v>
      </c>
      <c r="J754" t="s">
        <v>60</v>
      </c>
      <c r="K754" t="s">
        <v>54</v>
      </c>
      <c r="L754" t="s">
        <v>55</v>
      </c>
      <c r="O754" t="s">
        <v>61</v>
      </c>
      <c r="P754" t="s">
        <v>62</v>
      </c>
      <c r="Q754" t="s">
        <v>5528</v>
      </c>
      <c r="R754" t="s">
        <v>4467</v>
      </c>
      <c r="S754" t="s">
        <v>2895</v>
      </c>
      <c r="T754" t="s">
        <v>2896</v>
      </c>
      <c r="U754" t="s">
        <v>2897</v>
      </c>
    </row>
    <row r="755" spans="1:21" hidden="1">
      <c r="A755" t="s">
        <v>1608</v>
      </c>
      <c r="B755" t="s">
        <v>5526</v>
      </c>
      <c r="C755" t="s">
        <v>3307</v>
      </c>
      <c r="D755" t="s">
        <v>17</v>
      </c>
      <c r="E755" t="s">
        <v>2</v>
      </c>
      <c r="F755" t="s">
        <v>50</v>
      </c>
      <c r="G755" t="s">
        <v>51</v>
      </c>
      <c r="H755" t="s">
        <v>5529</v>
      </c>
      <c r="I755" t="s">
        <v>52</v>
      </c>
      <c r="J755" t="s">
        <v>196</v>
      </c>
      <c r="K755" t="s">
        <v>54</v>
      </c>
      <c r="L755" t="s">
        <v>55</v>
      </c>
      <c r="O755" t="s">
        <v>197</v>
      </c>
      <c r="P755" t="s">
        <v>198</v>
      </c>
      <c r="Q755" t="s">
        <v>5530</v>
      </c>
      <c r="R755" t="s">
        <v>5531</v>
      </c>
      <c r="S755" t="s">
        <v>2895</v>
      </c>
      <c r="T755" t="s">
        <v>2896</v>
      </c>
      <c r="U755" t="s">
        <v>2897</v>
      </c>
    </row>
    <row r="756" spans="1:21" hidden="1">
      <c r="A756" t="s">
        <v>1610</v>
      </c>
      <c r="B756" t="s">
        <v>5526</v>
      </c>
      <c r="C756" t="s">
        <v>4436</v>
      </c>
      <c r="D756" t="s">
        <v>17</v>
      </c>
      <c r="E756" t="s">
        <v>2</v>
      </c>
      <c r="F756" t="s">
        <v>50</v>
      </c>
      <c r="G756" t="s">
        <v>51</v>
      </c>
      <c r="H756" t="s">
        <v>5532</v>
      </c>
      <c r="I756" t="s">
        <v>52</v>
      </c>
      <c r="J756" t="s">
        <v>81</v>
      </c>
      <c r="K756" t="s">
        <v>54</v>
      </c>
      <c r="L756" t="s">
        <v>55</v>
      </c>
      <c r="O756" t="s">
        <v>82</v>
      </c>
      <c r="P756" t="s">
        <v>83</v>
      </c>
      <c r="Q756" t="s">
        <v>5533</v>
      </c>
      <c r="R756" t="s">
        <v>5534</v>
      </c>
      <c r="S756" t="s">
        <v>2895</v>
      </c>
      <c r="T756" t="s">
        <v>2896</v>
      </c>
      <c r="U756" t="s">
        <v>2897</v>
      </c>
    </row>
    <row r="757" spans="1:21" hidden="1">
      <c r="A757" t="s">
        <v>1612</v>
      </c>
      <c r="B757" t="s">
        <v>5526</v>
      </c>
      <c r="C757" t="s">
        <v>5535</v>
      </c>
      <c r="D757" t="s">
        <v>17</v>
      </c>
      <c r="E757" t="s">
        <v>2</v>
      </c>
      <c r="F757" t="s">
        <v>50</v>
      </c>
      <c r="G757" t="s">
        <v>51</v>
      </c>
      <c r="H757" t="s">
        <v>5536</v>
      </c>
      <c r="I757" t="s">
        <v>52</v>
      </c>
      <c r="J757" t="s">
        <v>60</v>
      </c>
      <c r="K757" t="s">
        <v>54</v>
      </c>
      <c r="L757" t="s">
        <v>55</v>
      </c>
      <c r="O757" t="s">
        <v>61</v>
      </c>
      <c r="P757" t="s">
        <v>62</v>
      </c>
      <c r="Q757" t="s">
        <v>5537</v>
      </c>
      <c r="R757" t="s">
        <v>5538</v>
      </c>
      <c r="S757" t="s">
        <v>2895</v>
      </c>
      <c r="T757" t="s">
        <v>2896</v>
      </c>
      <c r="U757" t="s">
        <v>2897</v>
      </c>
    </row>
    <row r="758" spans="1:21" hidden="1">
      <c r="A758" t="s">
        <v>1614</v>
      </c>
      <c r="B758" t="s">
        <v>5526</v>
      </c>
      <c r="C758" t="s">
        <v>5539</v>
      </c>
      <c r="D758" t="s">
        <v>17</v>
      </c>
      <c r="E758" t="s">
        <v>2</v>
      </c>
      <c r="F758" t="s">
        <v>50</v>
      </c>
      <c r="G758" t="s">
        <v>51</v>
      </c>
      <c r="H758" t="s">
        <v>5540</v>
      </c>
      <c r="I758" t="s">
        <v>52</v>
      </c>
      <c r="J758" t="s">
        <v>196</v>
      </c>
      <c r="K758" t="s">
        <v>54</v>
      </c>
      <c r="L758" t="s">
        <v>55</v>
      </c>
      <c r="O758" t="s">
        <v>197</v>
      </c>
      <c r="P758" t="s">
        <v>198</v>
      </c>
      <c r="Q758" t="s">
        <v>5541</v>
      </c>
      <c r="R758" t="s">
        <v>5542</v>
      </c>
      <c r="S758" t="s">
        <v>2895</v>
      </c>
      <c r="T758" t="s">
        <v>2896</v>
      </c>
      <c r="U758" t="s">
        <v>2897</v>
      </c>
    </row>
    <row r="759" spans="1:21" hidden="1">
      <c r="A759" t="s">
        <v>1616</v>
      </c>
      <c r="B759" t="s">
        <v>5526</v>
      </c>
      <c r="C759" t="s">
        <v>5543</v>
      </c>
      <c r="D759" t="s">
        <v>17</v>
      </c>
      <c r="E759" t="s">
        <v>2</v>
      </c>
      <c r="F759" t="s">
        <v>50</v>
      </c>
      <c r="G759" t="s">
        <v>100</v>
      </c>
      <c r="H759" t="s">
        <v>2969</v>
      </c>
      <c r="I759" t="s">
        <v>52</v>
      </c>
      <c r="J759" t="s">
        <v>101</v>
      </c>
      <c r="K759" t="s">
        <v>54</v>
      </c>
      <c r="L759" t="s">
        <v>102</v>
      </c>
      <c r="O759" t="s">
        <v>103</v>
      </c>
      <c r="P759" t="s">
        <v>104</v>
      </c>
      <c r="Q759" t="s">
        <v>5544</v>
      </c>
      <c r="R759" t="s">
        <v>2971</v>
      </c>
      <c r="S759" t="s">
        <v>2895</v>
      </c>
      <c r="T759" t="s">
        <v>2896</v>
      </c>
      <c r="U759" t="s">
        <v>2897</v>
      </c>
    </row>
    <row r="760" spans="1:21" hidden="1">
      <c r="A760" t="s">
        <v>1618</v>
      </c>
      <c r="B760" t="s">
        <v>5526</v>
      </c>
      <c r="C760" t="s">
        <v>5545</v>
      </c>
      <c r="D760" t="s">
        <v>17</v>
      </c>
      <c r="E760" t="s">
        <v>2</v>
      </c>
      <c r="F760" t="s">
        <v>50</v>
      </c>
      <c r="G760" t="s">
        <v>51</v>
      </c>
      <c r="H760" t="s">
        <v>4327</v>
      </c>
      <c r="I760" t="s">
        <v>52</v>
      </c>
      <c r="J760" t="s">
        <v>53</v>
      </c>
      <c r="K760" t="s">
        <v>54</v>
      </c>
      <c r="L760" t="s">
        <v>55</v>
      </c>
      <c r="O760" t="s">
        <v>56</v>
      </c>
      <c r="P760" t="s">
        <v>57</v>
      </c>
      <c r="Q760" t="s">
        <v>5546</v>
      </c>
      <c r="R760" t="s">
        <v>4329</v>
      </c>
      <c r="S760" t="s">
        <v>2895</v>
      </c>
      <c r="T760" t="s">
        <v>2896</v>
      </c>
      <c r="U760" t="s">
        <v>2897</v>
      </c>
    </row>
    <row r="761" spans="1:21" hidden="1">
      <c r="A761" t="s">
        <v>1620</v>
      </c>
      <c r="B761" t="s">
        <v>5547</v>
      </c>
      <c r="C761" t="s">
        <v>3403</v>
      </c>
      <c r="D761" t="s">
        <v>17</v>
      </c>
      <c r="E761" t="s">
        <v>2</v>
      </c>
      <c r="F761" t="s">
        <v>50</v>
      </c>
      <c r="G761" t="s">
        <v>100</v>
      </c>
      <c r="H761" t="s">
        <v>2969</v>
      </c>
      <c r="I761" t="s">
        <v>52</v>
      </c>
      <c r="J761" t="s">
        <v>101</v>
      </c>
      <c r="K761" t="s">
        <v>54</v>
      </c>
      <c r="L761" t="s">
        <v>102</v>
      </c>
      <c r="O761" t="s">
        <v>103</v>
      </c>
      <c r="P761" t="s">
        <v>104</v>
      </c>
      <c r="Q761" t="s">
        <v>5548</v>
      </c>
      <c r="R761" t="s">
        <v>2971</v>
      </c>
      <c r="S761" t="s">
        <v>2895</v>
      </c>
      <c r="T761" t="s">
        <v>2896</v>
      </c>
      <c r="U761" t="s">
        <v>2897</v>
      </c>
    </row>
    <row r="762" spans="1:21" hidden="1">
      <c r="A762" t="s">
        <v>1622</v>
      </c>
      <c r="B762" t="s">
        <v>5547</v>
      </c>
      <c r="C762" t="s">
        <v>5549</v>
      </c>
      <c r="D762" t="s">
        <v>17</v>
      </c>
      <c r="E762" t="s">
        <v>2</v>
      </c>
      <c r="F762" t="s">
        <v>149</v>
      </c>
      <c r="G762" t="s">
        <v>72</v>
      </c>
      <c r="H762" t="s">
        <v>5550</v>
      </c>
      <c r="I762" t="s">
        <v>52</v>
      </c>
      <c r="J762" t="s">
        <v>611</v>
      </c>
      <c r="K762" t="s">
        <v>54</v>
      </c>
      <c r="L762" t="s">
        <v>74</v>
      </c>
      <c r="O762" t="s">
        <v>75</v>
      </c>
      <c r="P762" t="s">
        <v>76</v>
      </c>
      <c r="Q762" t="s">
        <v>5551</v>
      </c>
      <c r="R762" t="s">
        <v>5550</v>
      </c>
      <c r="S762" t="s">
        <v>2895</v>
      </c>
      <c r="T762" t="s">
        <v>2896</v>
      </c>
      <c r="U762" t="s">
        <v>2897</v>
      </c>
    </row>
    <row r="763" spans="1:21" hidden="1">
      <c r="A763" t="s">
        <v>1624</v>
      </c>
      <c r="B763" t="s">
        <v>5547</v>
      </c>
      <c r="C763" t="s">
        <v>4443</v>
      </c>
      <c r="D763" t="s">
        <v>17</v>
      </c>
      <c r="E763" t="s">
        <v>2</v>
      </c>
      <c r="F763" t="s">
        <v>50</v>
      </c>
      <c r="G763" t="s">
        <v>51</v>
      </c>
      <c r="H763" t="s">
        <v>5552</v>
      </c>
      <c r="I763" t="s">
        <v>52</v>
      </c>
      <c r="J763" t="s">
        <v>65</v>
      </c>
      <c r="K763" t="s">
        <v>54</v>
      </c>
      <c r="L763" t="s">
        <v>55</v>
      </c>
      <c r="O763" t="s">
        <v>66</v>
      </c>
      <c r="P763" t="s">
        <v>67</v>
      </c>
      <c r="Q763" t="s">
        <v>5553</v>
      </c>
      <c r="R763" t="s">
        <v>5554</v>
      </c>
      <c r="S763" t="s">
        <v>2895</v>
      </c>
      <c r="T763" t="s">
        <v>2896</v>
      </c>
      <c r="U763" t="s">
        <v>2897</v>
      </c>
    </row>
    <row r="764" spans="1:21" hidden="1">
      <c r="A764" t="s">
        <v>1626</v>
      </c>
      <c r="B764" t="s">
        <v>5547</v>
      </c>
      <c r="C764" t="s">
        <v>5555</v>
      </c>
      <c r="D764" t="s">
        <v>17</v>
      </c>
      <c r="E764" t="s">
        <v>2</v>
      </c>
      <c r="F764" t="s">
        <v>50</v>
      </c>
      <c r="G764" t="s">
        <v>100</v>
      </c>
      <c r="H764" t="s">
        <v>5556</v>
      </c>
      <c r="I764" t="s">
        <v>52</v>
      </c>
      <c r="J764" t="s">
        <v>114</v>
      </c>
      <c r="K764" t="s">
        <v>54</v>
      </c>
      <c r="L764" t="s">
        <v>102</v>
      </c>
      <c r="O764" t="s">
        <v>103</v>
      </c>
      <c r="P764" t="s">
        <v>104</v>
      </c>
      <c r="Q764" t="s">
        <v>5557</v>
      </c>
      <c r="R764" t="s">
        <v>5558</v>
      </c>
      <c r="S764" t="s">
        <v>2895</v>
      </c>
      <c r="T764" t="s">
        <v>2896</v>
      </c>
      <c r="U764" t="s">
        <v>2897</v>
      </c>
    </row>
    <row r="765" spans="1:21" hidden="1">
      <c r="A765" t="s">
        <v>1628</v>
      </c>
      <c r="B765" t="s">
        <v>5547</v>
      </c>
      <c r="C765" t="s">
        <v>3369</v>
      </c>
      <c r="D765" t="s">
        <v>17</v>
      </c>
      <c r="E765" t="s">
        <v>2</v>
      </c>
      <c r="F765" t="s">
        <v>50</v>
      </c>
      <c r="G765" t="s">
        <v>51</v>
      </c>
      <c r="H765" t="s">
        <v>5559</v>
      </c>
      <c r="I765" t="s">
        <v>52</v>
      </c>
      <c r="J765" t="s">
        <v>53</v>
      </c>
      <c r="K765" t="s">
        <v>54</v>
      </c>
      <c r="L765" t="s">
        <v>55</v>
      </c>
      <c r="O765" t="s">
        <v>56</v>
      </c>
      <c r="P765" t="s">
        <v>57</v>
      </c>
      <c r="Q765" t="s">
        <v>5560</v>
      </c>
      <c r="R765" t="s">
        <v>5561</v>
      </c>
      <c r="S765" t="s">
        <v>2895</v>
      </c>
      <c r="T765" t="s">
        <v>2896</v>
      </c>
      <c r="U765" t="s">
        <v>2897</v>
      </c>
    </row>
    <row r="766" spans="1:21" hidden="1">
      <c r="A766" t="s">
        <v>1630</v>
      </c>
      <c r="B766" t="s">
        <v>5547</v>
      </c>
      <c r="C766" t="s">
        <v>3541</v>
      </c>
      <c r="D766" t="s">
        <v>17</v>
      </c>
      <c r="E766" t="s">
        <v>2</v>
      </c>
      <c r="F766" t="s">
        <v>50</v>
      </c>
      <c r="G766" t="s">
        <v>100</v>
      </c>
      <c r="H766" t="s">
        <v>2969</v>
      </c>
      <c r="I766" t="s">
        <v>52</v>
      </c>
      <c r="J766" t="s">
        <v>101</v>
      </c>
      <c r="K766" t="s">
        <v>54</v>
      </c>
      <c r="L766" t="s">
        <v>102</v>
      </c>
      <c r="O766" t="s">
        <v>103</v>
      </c>
      <c r="P766" t="s">
        <v>104</v>
      </c>
      <c r="Q766" t="s">
        <v>5562</v>
      </c>
      <c r="R766" t="s">
        <v>2971</v>
      </c>
      <c r="S766" t="s">
        <v>2895</v>
      </c>
      <c r="T766" t="s">
        <v>2896</v>
      </c>
      <c r="U766" t="s">
        <v>2897</v>
      </c>
    </row>
    <row r="767" spans="1:21" hidden="1">
      <c r="A767" t="s">
        <v>1632</v>
      </c>
      <c r="B767" t="s">
        <v>5563</v>
      </c>
      <c r="C767" t="s">
        <v>2985</v>
      </c>
      <c r="D767" t="s">
        <v>17</v>
      </c>
      <c r="E767" t="s">
        <v>2</v>
      </c>
      <c r="F767" t="s">
        <v>50</v>
      </c>
      <c r="G767" t="s">
        <v>100</v>
      </c>
      <c r="H767" t="s">
        <v>5564</v>
      </c>
      <c r="I767" t="s">
        <v>52</v>
      </c>
      <c r="J767" t="s">
        <v>114</v>
      </c>
      <c r="K767" t="s">
        <v>54</v>
      </c>
      <c r="L767" t="s">
        <v>102</v>
      </c>
      <c r="O767" t="s">
        <v>103</v>
      </c>
      <c r="P767" t="s">
        <v>104</v>
      </c>
      <c r="Q767" t="s">
        <v>5565</v>
      </c>
      <c r="R767" t="s">
        <v>5566</v>
      </c>
      <c r="S767" t="s">
        <v>2895</v>
      </c>
      <c r="T767" t="s">
        <v>2896</v>
      </c>
      <c r="U767" t="s">
        <v>2897</v>
      </c>
    </row>
    <row r="768" spans="1:21" hidden="1">
      <c r="A768" t="s">
        <v>1634</v>
      </c>
      <c r="B768" t="s">
        <v>5563</v>
      </c>
      <c r="C768" t="s">
        <v>5304</v>
      </c>
      <c r="D768" t="s">
        <v>17</v>
      </c>
      <c r="E768" t="s">
        <v>2</v>
      </c>
      <c r="F768" t="s">
        <v>149</v>
      </c>
      <c r="G768" t="s">
        <v>321</v>
      </c>
      <c r="H768" t="s">
        <v>5567</v>
      </c>
      <c r="I768" t="s">
        <v>52</v>
      </c>
      <c r="J768" t="s">
        <v>9</v>
      </c>
      <c r="K768" t="s">
        <v>54</v>
      </c>
      <c r="L768" t="s">
        <v>102</v>
      </c>
      <c r="O768" t="s">
        <v>322</v>
      </c>
      <c r="P768" t="s">
        <v>323</v>
      </c>
      <c r="Q768" t="s">
        <v>5568</v>
      </c>
      <c r="R768" t="s">
        <v>5567</v>
      </c>
      <c r="S768" t="s">
        <v>2895</v>
      </c>
      <c r="T768" t="s">
        <v>2896</v>
      </c>
      <c r="U768" t="s">
        <v>2897</v>
      </c>
    </row>
    <row r="769" spans="1:21" hidden="1">
      <c r="A769" t="s">
        <v>1636</v>
      </c>
      <c r="B769" t="s">
        <v>5563</v>
      </c>
      <c r="C769" t="s">
        <v>5569</v>
      </c>
      <c r="D769" t="s">
        <v>17</v>
      </c>
      <c r="E769" t="s">
        <v>2</v>
      </c>
      <c r="F769" t="s">
        <v>50</v>
      </c>
      <c r="G769" t="s">
        <v>51</v>
      </c>
      <c r="H769" t="s">
        <v>5570</v>
      </c>
      <c r="I769" t="s">
        <v>52</v>
      </c>
      <c r="J769" t="s">
        <v>121</v>
      </c>
      <c r="K769" t="s">
        <v>54</v>
      </c>
      <c r="L769" t="s">
        <v>55</v>
      </c>
      <c r="O769" t="s">
        <v>122</v>
      </c>
      <c r="P769" t="s">
        <v>123</v>
      </c>
      <c r="Q769" t="s">
        <v>5571</v>
      </c>
      <c r="R769" t="s">
        <v>5572</v>
      </c>
      <c r="S769" t="s">
        <v>2895</v>
      </c>
      <c r="T769" t="s">
        <v>2896</v>
      </c>
      <c r="U769" t="s">
        <v>2897</v>
      </c>
    </row>
    <row r="770" spans="1:21" hidden="1">
      <c r="A770" t="s">
        <v>1638</v>
      </c>
      <c r="B770" t="s">
        <v>5563</v>
      </c>
      <c r="C770" t="s">
        <v>4076</v>
      </c>
      <c r="D770" t="s">
        <v>17</v>
      </c>
      <c r="E770" t="s">
        <v>2</v>
      </c>
      <c r="F770" t="s">
        <v>50</v>
      </c>
      <c r="G770" t="s">
        <v>72</v>
      </c>
      <c r="H770" t="s">
        <v>5573</v>
      </c>
      <c r="I770" t="s">
        <v>52</v>
      </c>
      <c r="J770" t="s">
        <v>611</v>
      </c>
      <c r="K770" t="s">
        <v>54</v>
      </c>
      <c r="L770" t="s">
        <v>74</v>
      </c>
      <c r="O770" t="s">
        <v>75</v>
      </c>
      <c r="P770" t="s">
        <v>76</v>
      </c>
      <c r="Q770" t="s">
        <v>5574</v>
      </c>
      <c r="R770" t="s">
        <v>5575</v>
      </c>
      <c r="S770" t="s">
        <v>2895</v>
      </c>
      <c r="T770" t="s">
        <v>2896</v>
      </c>
      <c r="U770" t="s">
        <v>2897</v>
      </c>
    </row>
    <row r="771" spans="1:21" hidden="1">
      <c r="A771" t="s">
        <v>1640</v>
      </c>
      <c r="B771" t="s">
        <v>5563</v>
      </c>
      <c r="C771" t="s">
        <v>5576</v>
      </c>
      <c r="D771" t="s">
        <v>17</v>
      </c>
      <c r="E771" t="s">
        <v>2</v>
      </c>
      <c r="F771" t="s">
        <v>50</v>
      </c>
      <c r="G771" t="s">
        <v>100</v>
      </c>
      <c r="H771" t="s">
        <v>2969</v>
      </c>
      <c r="I771" t="s">
        <v>52</v>
      </c>
      <c r="J771" t="s">
        <v>101</v>
      </c>
      <c r="K771" t="s">
        <v>54</v>
      </c>
      <c r="L771" t="s">
        <v>102</v>
      </c>
      <c r="O771" t="s">
        <v>103</v>
      </c>
      <c r="P771" t="s">
        <v>104</v>
      </c>
      <c r="Q771" t="s">
        <v>5577</v>
      </c>
      <c r="R771" t="s">
        <v>2971</v>
      </c>
      <c r="S771" t="s">
        <v>2895</v>
      </c>
      <c r="T771" t="s">
        <v>2896</v>
      </c>
      <c r="U771" t="s">
        <v>2897</v>
      </c>
    </row>
    <row r="772" spans="1:21" hidden="1">
      <c r="A772" t="s">
        <v>1642</v>
      </c>
      <c r="B772" t="s">
        <v>5563</v>
      </c>
      <c r="C772" t="s">
        <v>3713</v>
      </c>
      <c r="D772" t="s">
        <v>17</v>
      </c>
      <c r="E772" t="s">
        <v>2</v>
      </c>
      <c r="F772" t="s">
        <v>50</v>
      </c>
      <c r="G772" t="s">
        <v>51</v>
      </c>
      <c r="H772" t="s">
        <v>5578</v>
      </c>
      <c r="I772" t="s">
        <v>52</v>
      </c>
      <c r="J772" t="s">
        <v>53</v>
      </c>
      <c r="K772" t="s">
        <v>54</v>
      </c>
      <c r="L772" t="s">
        <v>55</v>
      </c>
      <c r="O772" t="s">
        <v>56</v>
      </c>
      <c r="P772" t="s">
        <v>57</v>
      </c>
      <c r="Q772" t="s">
        <v>5579</v>
      </c>
      <c r="R772" t="s">
        <v>5580</v>
      </c>
      <c r="S772" t="s">
        <v>2895</v>
      </c>
      <c r="T772" t="s">
        <v>2896</v>
      </c>
      <c r="U772" t="s">
        <v>2897</v>
      </c>
    </row>
    <row r="773" spans="1:21" hidden="1">
      <c r="A773" t="s">
        <v>1644</v>
      </c>
      <c r="B773" t="s">
        <v>5563</v>
      </c>
      <c r="C773" t="s">
        <v>3640</v>
      </c>
      <c r="D773" t="s">
        <v>17</v>
      </c>
      <c r="E773" t="s">
        <v>2</v>
      </c>
      <c r="F773" t="s">
        <v>50</v>
      </c>
      <c r="G773" t="s">
        <v>51</v>
      </c>
      <c r="H773" t="s">
        <v>5581</v>
      </c>
      <c r="I773" t="s">
        <v>52</v>
      </c>
      <c r="J773" t="s">
        <v>81</v>
      </c>
      <c r="K773" t="s">
        <v>54</v>
      </c>
      <c r="L773" t="s">
        <v>55</v>
      </c>
      <c r="O773" t="s">
        <v>82</v>
      </c>
      <c r="P773" t="s">
        <v>83</v>
      </c>
      <c r="Q773" t="s">
        <v>5582</v>
      </c>
      <c r="R773" t="s">
        <v>5583</v>
      </c>
      <c r="S773" t="s">
        <v>2895</v>
      </c>
      <c r="T773" t="s">
        <v>2896</v>
      </c>
      <c r="U773" t="s">
        <v>2897</v>
      </c>
    </row>
    <row r="774" spans="1:21" hidden="1">
      <c r="A774" t="s">
        <v>1646</v>
      </c>
      <c r="B774" t="s">
        <v>5584</v>
      </c>
      <c r="C774" t="s">
        <v>5585</v>
      </c>
      <c r="D774" t="s">
        <v>17</v>
      </c>
      <c r="E774" t="s">
        <v>2</v>
      </c>
      <c r="F774" t="s">
        <v>50</v>
      </c>
      <c r="G774" t="s">
        <v>51</v>
      </c>
      <c r="H774" t="s">
        <v>5586</v>
      </c>
      <c r="I774" t="s">
        <v>52</v>
      </c>
      <c r="J774" t="s">
        <v>53</v>
      </c>
      <c r="K774" t="s">
        <v>54</v>
      </c>
      <c r="L774" t="s">
        <v>55</v>
      </c>
      <c r="O774" t="s">
        <v>56</v>
      </c>
      <c r="P774" t="s">
        <v>57</v>
      </c>
      <c r="Q774" t="s">
        <v>5587</v>
      </c>
      <c r="R774" t="s">
        <v>5588</v>
      </c>
      <c r="S774" t="s">
        <v>2895</v>
      </c>
      <c r="T774" t="s">
        <v>2896</v>
      </c>
      <c r="U774" t="s">
        <v>2897</v>
      </c>
    </row>
    <row r="775" spans="1:21" hidden="1">
      <c r="A775" t="s">
        <v>1648</v>
      </c>
      <c r="B775" t="s">
        <v>5584</v>
      </c>
      <c r="C775" t="s">
        <v>5585</v>
      </c>
      <c r="D775" t="s">
        <v>17</v>
      </c>
      <c r="E775" t="s">
        <v>2</v>
      </c>
      <c r="F775" t="s">
        <v>50</v>
      </c>
      <c r="G775" t="s">
        <v>100</v>
      </c>
      <c r="H775" t="s">
        <v>5589</v>
      </c>
      <c r="I775" t="s">
        <v>52</v>
      </c>
      <c r="J775" t="s">
        <v>114</v>
      </c>
      <c r="K775" t="s">
        <v>54</v>
      </c>
      <c r="L775" t="s">
        <v>102</v>
      </c>
      <c r="O775" t="s">
        <v>103</v>
      </c>
      <c r="P775" t="s">
        <v>104</v>
      </c>
      <c r="Q775" t="s">
        <v>5590</v>
      </c>
      <c r="R775" t="s">
        <v>5591</v>
      </c>
      <c r="S775" t="s">
        <v>2895</v>
      </c>
      <c r="T775" t="s">
        <v>2896</v>
      </c>
      <c r="U775" t="s">
        <v>2897</v>
      </c>
    </row>
    <row r="776" spans="1:21" hidden="1">
      <c r="A776" t="s">
        <v>1650</v>
      </c>
      <c r="B776" t="s">
        <v>5584</v>
      </c>
      <c r="C776" t="s">
        <v>5592</v>
      </c>
      <c r="D776" t="s">
        <v>17</v>
      </c>
      <c r="E776" t="s">
        <v>2</v>
      </c>
      <c r="F776" t="s">
        <v>50</v>
      </c>
      <c r="G776" t="s">
        <v>51</v>
      </c>
      <c r="H776" t="s">
        <v>5593</v>
      </c>
      <c r="I776" t="s">
        <v>52</v>
      </c>
      <c r="J776" t="s">
        <v>53</v>
      </c>
      <c r="K776" t="s">
        <v>54</v>
      </c>
      <c r="L776" t="s">
        <v>55</v>
      </c>
      <c r="O776" t="s">
        <v>56</v>
      </c>
      <c r="P776" t="s">
        <v>57</v>
      </c>
      <c r="Q776" t="s">
        <v>5594</v>
      </c>
      <c r="R776" t="s">
        <v>5595</v>
      </c>
      <c r="S776" t="s">
        <v>2895</v>
      </c>
      <c r="T776" t="s">
        <v>2896</v>
      </c>
      <c r="U776" t="s">
        <v>2897</v>
      </c>
    </row>
    <row r="777" spans="1:21" hidden="1">
      <c r="A777" t="s">
        <v>1652</v>
      </c>
      <c r="B777" t="s">
        <v>5584</v>
      </c>
      <c r="C777" t="s">
        <v>4171</v>
      </c>
      <c r="D777" t="s">
        <v>17</v>
      </c>
      <c r="E777" t="s">
        <v>2</v>
      </c>
      <c r="F777" t="s">
        <v>50</v>
      </c>
      <c r="G777" t="s">
        <v>51</v>
      </c>
      <c r="H777" t="s">
        <v>5596</v>
      </c>
      <c r="I777" t="s">
        <v>52</v>
      </c>
      <c r="J777" t="s">
        <v>81</v>
      </c>
      <c r="K777" t="s">
        <v>54</v>
      </c>
      <c r="L777" t="s">
        <v>55</v>
      </c>
      <c r="O777" t="s">
        <v>82</v>
      </c>
      <c r="P777" t="s">
        <v>83</v>
      </c>
      <c r="Q777" t="s">
        <v>5597</v>
      </c>
      <c r="R777" t="s">
        <v>5598</v>
      </c>
      <c r="S777" t="s">
        <v>2895</v>
      </c>
      <c r="T777" t="s">
        <v>2896</v>
      </c>
      <c r="U777" t="s">
        <v>2897</v>
      </c>
    </row>
    <row r="778" spans="1:21" hidden="1">
      <c r="A778" t="s">
        <v>1654</v>
      </c>
      <c r="B778" t="s">
        <v>5584</v>
      </c>
      <c r="C778" t="s">
        <v>5599</v>
      </c>
      <c r="D778" t="s">
        <v>17</v>
      </c>
      <c r="E778" t="s">
        <v>2</v>
      </c>
      <c r="F778" t="s">
        <v>50</v>
      </c>
      <c r="G778" t="s">
        <v>51</v>
      </c>
      <c r="H778" t="s">
        <v>5600</v>
      </c>
      <c r="I778" t="s">
        <v>52</v>
      </c>
      <c r="J778" t="s">
        <v>60</v>
      </c>
      <c r="K778" t="s">
        <v>54</v>
      </c>
      <c r="L778" t="s">
        <v>55</v>
      </c>
      <c r="O778" t="s">
        <v>61</v>
      </c>
      <c r="P778" t="s">
        <v>62</v>
      </c>
      <c r="Q778" t="s">
        <v>5601</v>
      </c>
      <c r="R778" t="s">
        <v>5602</v>
      </c>
      <c r="S778" t="s">
        <v>2895</v>
      </c>
      <c r="T778" t="s">
        <v>2896</v>
      </c>
      <c r="U778" t="s">
        <v>2897</v>
      </c>
    </row>
    <row r="779" spans="1:21" hidden="1">
      <c r="A779" t="s">
        <v>1656</v>
      </c>
      <c r="B779" t="s">
        <v>5584</v>
      </c>
      <c r="C779" t="s">
        <v>5355</v>
      </c>
      <c r="D779" t="s">
        <v>17</v>
      </c>
      <c r="E779" t="s">
        <v>2</v>
      </c>
      <c r="F779" t="s">
        <v>50</v>
      </c>
      <c r="G779" t="s">
        <v>51</v>
      </c>
      <c r="H779" t="s">
        <v>5603</v>
      </c>
      <c r="I779" t="s">
        <v>52</v>
      </c>
      <c r="J779" t="s">
        <v>81</v>
      </c>
      <c r="K779" t="s">
        <v>54</v>
      </c>
      <c r="L779" t="s">
        <v>55</v>
      </c>
      <c r="O779" t="s">
        <v>82</v>
      </c>
      <c r="P779" t="s">
        <v>83</v>
      </c>
      <c r="Q779" t="s">
        <v>5604</v>
      </c>
      <c r="R779" t="s">
        <v>5605</v>
      </c>
      <c r="S779" t="s">
        <v>2895</v>
      </c>
      <c r="T779" t="s">
        <v>2896</v>
      </c>
      <c r="U779" t="s">
        <v>2897</v>
      </c>
    </row>
    <row r="780" spans="1:21" hidden="1">
      <c r="A780" t="s">
        <v>1658</v>
      </c>
      <c r="B780" t="s">
        <v>5584</v>
      </c>
      <c r="C780" t="s">
        <v>4786</v>
      </c>
      <c r="D780" t="s">
        <v>17</v>
      </c>
      <c r="E780" t="s">
        <v>2</v>
      </c>
      <c r="F780" t="s">
        <v>50</v>
      </c>
      <c r="G780" t="s">
        <v>51</v>
      </c>
      <c r="H780" t="s">
        <v>5606</v>
      </c>
      <c r="I780" t="s">
        <v>52</v>
      </c>
      <c r="J780" t="s">
        <v>53</v>
      </c>
      <c r="K780" t="s">
        <v>54</v>
      </c>
      <c r="L780" t="s">
        <v>55</v>
      </c>
      <c r="O780" t="s">
        <v>56</v>
      </c>
      <c r="P780" t="s">
        <v>57</v>
      </c>
      <c r="Q780" t="s">
        <v>5607</v>
      </c>
      <c r="R780" t="s">
        <v>5608</v>
      </c>
      <c r="S780" t="s">
        <v>2895</v>
      </c>
      <c r="T780" t="s">
        <v>2896</v>
      </c>
      <c r="U780" t="s">
        <v>2897</v>
      </c>
    </row>
    <row r="781" spans="1:21" hidden="1">
      <c r="A781" t="s">
        <v>1660</v>
      </c>
      <c r="B781" t="s">
        <v>5584</v>
      </c>
      <c r="C781" t="s">
        <v>4136</v>
      </c>
      <c r="D781" t="s">
        <v>17</v>
      </c>
      <c r="E781" t="s">
        <v>2</v>
      </c>
      <c r="F781" t="s">
        <v>50</v>
      </c>
      <c r="G781" t="s">
        <v>51</v>
      </c>
      <c r="H781" t="s">
        <v>5609</v>
      </c>
      <c r="I781" t="s">
        <v>52</v>
      </c>
      <c r="J781" t="s">
        <v>121</v>
      </c>
      <c r="K781" t="s">
        <v>54</v>
      </c>
      <c r="L781" t="s">
        <v>55</v>
      </c>
      <c r="O781" t="s">
        <v>122</v>
      </c>
      <c r="P781" t="s">
        <v>123</v>
      </c>
      <c r="Q781" t="s">
        <v>5610</v>
      </c>
      <c r="R781" t="s">
        <v>5611</v>
      </c>
      <c r="S781" t="s">
        <v>2895</v>
      </c>
      <c r="T781" t="s">
        <v>2896</v>
      </c>
      <c r="U781" t="s">
        <v>2897</v>
      </c>
    </row>
    <row r="782" spans="1:21" hidden="1">
      <c r="A782" t="s">
        <v>1662</v>
      </c>
      <c r="B782" t="s">
        <v>5612</v>
      </c>
      <c r="C782" t="s">
        <v>3704</v>
      </c>
      <c r="D782" t="s">
        <v>17</v>
      </c>
      <c r="E782" t="s">
        <v>2</v>
      </c>
      <c r="F782" t="s">
        <v>50</v>
      </c>
      <c r="G782" t="s">
        <v>72</v>
      </c>
      <c r="H782" t="s">
        <v>5613</v>
      </c>
      <c r="I782" t="s">
        <v>52</v>
      </c>
      <c r="J782" t="s">
        <v>150</v>
      </c>
      <c r="K782" t="s">
        <v>54</v>
      </c>
      <c r="L782" t="s">
        <v>74</v>
      </c>
      <c r="O782" t="s">
        <v>75</v>
      </c>
      <c r="P782" t="s">
        <v>76</v>
      </c>
      <c r="Q782" t="s">
        <v>5614</v>
      </c>
      <c r="R782" t="s">
        <v>5615</v>
      </c>
      <c r="S782" t="s">
        <v>2895</v>
      </c>
      <c r="T782" t="s">
        <v>2896</v>
      </c>
      <c r="U782" t="s">
        <v>2897</v>
      </c>
    </row>
    <row r="783" spans="1:21" hidden="1">
      <c r="A783" t="s">
        <v>1664</v>
      </c>
      <c r="B783" t="s">
        <v>5612</v>
      </c>
      <c r="C783" t="s">
        <v>3932</v>
      </c>
      <c r="D783" t="s">
        <v>17</v>
      </c>
      <c r="E783" t="s">
        <v>2</v>
      </c>
      <c r="F783" t="s">
        <v>50</v>
      </c>
      <c r="G783" t="s">
        <v>51</v>
      </c>
      <c r="H783" t="s">
        <v>5616</v>
      </c>
      <c r="I783" t="s">
        <v>52</v>
      </c>
      <c r="J783" t="s">
        <v>126</v>
      </c>
      <c r="K783" t="s">
        <v>54</v>
      </c>
      <c r="L783" t="s">
        <v>55</v>
      </c>
      <c r="O783" t="s">
        <v>56</v>
      </c>
      <c r="P783" t="s">
        <v>57</v>
      </c>
      <c r="Q783" t="s">
        <v>5617</v>
      </c>
      <c r="R783" t="s">
        <v>5618</v>
      </c>
      <c r="S783" t="s">
        <v>2895</v>
      </c>
      <c r="T783" t="s">
        <v>2896</v>
      </c>
      <c r="U783" t="s">
        <v>2897</v>
      </c>
    </row>
    <row r="784" spans="1:21" hidden="1">
      <c r="A784" t="s">
        <v>1666</v>
      </c>
      <c r="B784" t="s">
        <v>5612</v>
      </c>
      <c r="C784" t="s">
        <v>3353</v>
      </c>
      <c r="D784" t="s">
        <v>17</v>
      </c>
      <c r="E784" t="s">
        <v>2</v>
      </c>
      <c r="F784" t="s">
        <v>50</v>
      </c>
      <c r="G784" t="s">
        <v>51</v>
      </c>
      <c r="H784" t="s">
        <v>5619</v>
      </c>
      <c r="I784" t="s">
        <v>52</v>
      </c>
      <c r="J784" t="s">
        <v>126</v>
      </c>
      <c r="K784" t="s">
        <v>54</v>
      </c>
      <c r="L784" t="s">
        <v>55</v>
      </c>
      <c r="O784" t="s">
        <v>56</v>
      </c>
      <c r="P784" t="s">
        <v>57</v>
      </c>
      <c r="Q784" t="s">
        <v>5620</v>
      </c>
      <c r="R784" t="s">
        <v>5621</v>
      </c>
      <c r="S784" t="s">
        <v>2895</v>
      </c>
      <c r="T784" t="s">
        <v>2896</v>
      </c>
      <c r="U784" t="s">
        <v>2897</v>
      </c>
    </row>
    <row r="785" spans="1:21" hidden="1">
      <c r="A785" t="s">
        <v>1668</v>
      </c>
      <c r="B785" t="s">
        <v>5612</v>
      </c>
      <c r="C785" t="s">
        <v>5622</v>
      </c>
      <c r="D785" t="s">
        <v>17</v>
      </c>
      <c r="E785" t="s">
        <v>2</v>
      </c>
      <c r="F785" t="s">
        <v>50</v>
      </c>
      <c r="G785" t="s">
        <v>51</v>
      </c>
      <c r="H785" t="s">
        <v>5623</v>
      </c>
      <c r="I785" t="s">
        <v>52</v>
      </c>
      <c r="J785" t="s">
        <v>53</v>
      </c>
      <c r="K785" t="s">
        <v>54</v>
      </c>
      <c r="L785" t="s">
        <v>55</v>
      </c>
      <c r="O785" t="s">
        <v>56</v>
      </c>
      <c r="P785" t="s">
        <v>57</v>
      </c>
      <c r="Q785" t="s">
        <v>5624</v>
      </c>
      <c r="R785" t="s">
        <v>5625</v>
      </c>
      <c r="S785" t="s">
        <v>2895</v>
      </c>
      <c r="T785" t="s">
        <v>2896</v>
      </c>
      <c r="U785" t="s">
        <v>2897</v>
      </c>
    </row>
    <row r="786" spans="1:21" hidden="1">
      <c r="A786" t="s">
        <v>1670</v>
      </c>
      <c r="B786" t="s">
        <v>5612</v>
      </c>
      <c r="C786" t="s">
        <v>3868</v>
      </c>
      <c r="D786" t="s">
        <v>17</v>
      </c>
      <c r="E786" t="s">
        <v>2</v>
      </c>
      <c r="F786" t="s">
        <v>50</v>
      </c>
      <c r="G786" t="s">
        <v>51</v>
      </c>
      <c r="H786" t="s">
        <v>5626</v>
      </c>
      <c r="I786" t="s">
        <v>52</v>
      </c>
      <c r="J786" t="s">
        <v>121</v>
      </c>
      <c r="K786" t="s">
        <v>54</v>
      </c>
      <c r="L786" t="s">
        <v>55</v>
      </c>
      <c r="O786" t="s">
        <v>122</v>
      </c>
      <c r="P786" t="s">
        <v>123</v>
      </c>
      <c r="Q786" t="s">
        <v>5627</v>
      </c>
      <c r="R786" t="s">
        <v>5628</v>
      </c>
      <c r="S786" t="s">
        <v>2895</v>
      </c>
      <c r="T786" t="s">
        <v>2896</v>
      </c>
      <c r="U786" t="s">
        <v>2897</v>
      </c>
    </row>
    <row r="787" spans="1:21" hidden="1">
      <c r="A787" t="s">
        <v>1672</v>
      </c>
      <c r="B787" t="s">
        <v>5612</v>
      </c>
      <c r="C787" t="s">
        <v>5629</v>
      </c>
      <c r="D787" t="s">
        <v>17</v>
      </c>
      <c r="E787" t="s">
        <v>2</v>
      </c>
      <c r="F787" t="s">
        <v>50</v>
      </c>
      <c r="G787" t="s">
        <v>51</v>
      </c>
      <c r="H787" t="s">
        <v>5630</v>
      </c>
      <c r="I787" t="s">
        <v>52</v>
      </c>
      <c r="J787" t="s">
        <v>81</v>
      </c>
      <c r="K787" t="s">
        <v>54</v>
      </c>
      <c r="L787" t="s">
        <v>55</v>
      </c>
      <c r="O787" t="s">
        <v>82</v>
      </c>
      <c r="P787" t="s">
        <v>83</v>
      </c>
      <c r="Q787" t="s">
        <v>5631</v>
      </c>
      <c r="R787" t="s">
        <v>5632</v>
      </c>
      <c r="S787" t="s">
        <v>2895</v>
      </c>
      <c r="T787" t="s">
        <v>2896</v>
      </c>
      <c r="U787" t="s">
        <v>2897</v>
      </c>
    </row>
    <row r="788" spans="1:21" hidden="1">
      <c r="A788" t="s">
        <v>1674</v>
      </c>
      <c r="B788" t="s">
        <v>5612</v>
      </c>
      <c r="C788" t="s">
        <v>5633</v>
      </c>
      <c r="D788" t="s">
        <v>17</v>
      </c>
      <c r="E788" t="s">
        <v>2</v>
      </c>
      <c r="F788" t="s">
        <v>50</v>
      </c>
      <c r="G788" t="s">
        <v>51</v>
      </c>
      <c r="H788" t="s">
        <v>5634</v>
      </c>
      <c r="I788" t="s">
        <v>52</v>
      </c>
      <c r="J788" t="s">
        <v>126</v>
      </c>
      <c r="K788" t="s">
        <v>54</v>
      </c>
      <c r="L788" t="s">
        <v>55</v>
      </c>
      <c r="O788" t="s">
        <v>56</v>
      </c>
      <c r="P788" t="s">
        <v>57</v>
      </c>
      <c r="Q788" t="s">
        <v>5635</v>
      </c>
      <c r="R788" t="s">
        <v>5636</v>
      </c>
      <c r="S788" t="s">
        <v>2895</v>
      </c>
      <c r="T788" t="s">
        <v>2896</v>
      </c>
      <c r="U788" t="s">
        <v>2897</v>
      </c>
    </row>
    <row r="789" spans="1:21" hidden="1">
      <c r="A789" t="s">
        <v>1676</v>
      </c>
      <c r="B789" t="s">
        <v>5637</v>
      </c>
      <c r="C789" t="s">
        <v>3215</v>
      </c>
      <c r="D789" t="s">
        <v>17</v>
      </c>
      <c r="E789" t="s">
        <v>2</v>
      </c>
      <c r="F789" t="s">
        <v>50</v>
      </c>
      <c r="G789" t="s">
        <v>51</v>
      </c>
      <c r="H789" t="s">
        <v>5638</v>
      </c>
      <c r="I789" t="s">
        <v>52</v>
      </c>
      <c r="J789" t="s">
        <v>53</v>
      </c>
      <c r="K789" t="s">
        <v>54</v>
      </c>
      <c r="L789" t="s">
        <v>55</v>
      </c>
      <c r="O789" t="s">
        <v>56</v>
      </c>
      <c r="P789" t="s">
        <v>57</v>
      </c>
      <c r="Q789" t="s">
        <v>5639</v>
      </c>
      <c r="R789" t="s">
        <v>5640</v>
      </c>
      <c r="S789" t="s">
        <v>2895</v>
      </c>
      <c r="T789" t="s">
        <v>2896</v>
      </c>
      <c r="U789" t="s">
        <v>2897</v>
      </c>
    </row>
    <row r="790" spans="1:21" hidden="1">
      <c r="A790" t="s">
        <v>1678</v>
      </c>
      <c r="B790" t="s">
        <v>5637</v>
      </c>
      <c r="C790" t="s">
        <v>2952</v>
      </c>
      <c r="D790" t="s">
        <v>17</v>
      </c>
      <c r="E790" t="s">
        <v>2</v>
      </c>
      <c r="F790" t="s">
        <v>50</v>
      </c>
      <c r="G790" t="s">
        <v>51</v>
      </c>
      <c r="H790" t="s">
        <v>5641</v>
      </c>
      <c r="I790" t="s">
        <v>52</v>
      </c>
      <c r="J790" t="s">
        <v>81</v>
      </c>
      <c r="K790" t="s">
        <v>54</v>
      </c>
      <c r="L790" t="s">
        <v>55</v>
      </c>
      <c r="O790" t="s">
        <v>82</v>
      </c>
      <c r="P790" t="s">
        <v>83</v>
      </c>
      <c r="Q790" t="s">
        <v>5642</v>
      </c>
      <c r="R790" t="s">
        <v>5643</v>
      </c>
      <c r="S790" t="s">
        <v>2895</v>
      </c>
      <c r="T790" t="s">
        <v>2896</v>
      </c>
      <c r="U790" t="s">
        <v>2897</v>
      </c>
    </row>
    <row r="791" spans="1:21" hidden="1">
      <c r="A791" t="s">
        <v>1680</v>
      </c>
      <c r="B791" t="s">
        <v>5637</v>
      </c>
      <c r="C791" t="s">
        <v>2935</v>
      </c>
      <c r="D791" t="s">
        <v>17</v>
      </c>
      <c r="E791" t="s">
        <v>2</v>
      </c>
      <c r="F791" t="s">
        <v>50</v>
      </c>
      <c r="G791" t="s">
        <v>51</v>
      </c>
      <c r="H791" t="s">
        <v>5644</v>
      </c>
      <c r="I791" t="s">
        <v>52</v>
      </c>
      <c r="J791" t="s">
        <v>65</v>
      </c>
      <c r="K791" t="s">
        <v>54</v>
      </c>
      <c r="L791" t="s">
        <v>55</v>
      </c>
      <c r="O791" t="s">
        <v>66</v>
      </c>
      <c r="P791" t="s">
        <v>67</v>
      </c>
      <c r="Q791" t="s">
        <v>5645</v>
      </c>
      <c r="R791" t="s">
        <v>5646</v>
      </c>
      <c r="S791" t="s">
        <v>2895</v>
      </c>
      <c r="T791" t="s">
        <v>2896</v>
      </c>
      <c r="U791" t="s">
        <v>2897</v>
      </c>
    </row>
    <row r="792" spans="1:21" hidden="1">
      <c r="A792" t="s">
        <v>1682</v>
      </c>
      <c r="B792" t="s">
        <v>5637</v>
      </c>
      <c r="C792" t="s">
        <v>5647</v>
      </c>
      <c r="D792" t="s">
        <v>17</v>
      </c>
      <c r="E792" t="s">
        <v>2</v>
      </c>
      <c r="F792" t="s">
        <v>50</v>
      </c>
      <c r="G792" t="s">
        <v>51</v>
      </c>
      <c r="H792" t="s">
        <v>5648</v>
      </c>
      <c r="I792" t="s">
        <v>52</v>
      </c>
      <c r="J792" t="s">
        <v>196</v>
      </c>
      <c r="K792" t="s">
        <v>54</v>
      </c>
      <c r="L792" t="s">
        <v>55</v>
      </c>
      <c r="O792" t="s">
        <v>197</v>
      </c>
      <c r="P792" t="s">
        <v>198</v>
      </c>
      <c r="Q792" t="s">
        <v>5649</v>
      </c>
      <c r="R792" t="s">
        <v>5650</v>
      </c>
      <c r="S792" t="s">
        <v>2895</v>
      </c>
      <c r="T792" t="s">
        <v>2896</v>
      </c>
      <c r="U792" t="s">
        <v>2897</v>
      </c>
    </row>
    <row r="793" spans="1:21" hidden="1">
      <c r="A793" t="s">
        <v>1684</v>
      </c>
      <c r="B793" t="s">
        <v>5637</v>
      </c>
      <c r="C793" t="s">
        <v>3584</v>
      </c>
      <c r="D793" t="s">
        <v>17</v>
      </c>
      <c r="E793" t="s">
        <v>2</v>
      </c>
      <c r="F793" t="s">
        <v>50</v>
      </c>
      <c r="G793" t="s">
        <v>51</v>
      </c>
      <c r="H793" t="s">
        <v>5651</v>
      </c>
      <c r="I793" t="s">
        <v>52</v>
      </c>
      <c r="J793" t="s">
        <v>126</v>
      </c>
      <c r="K793" t="s">
        <v>54</v>
      </c>
      <c r="L793" t="s">
        <v>55</v>
      </c>
      <c r="O793" t="s">
        <v>56</v>
      </c>
      <c r="P793" t="s">
        <v>57</v>
      </c>
      <c r="Q793" t="s">
        <v>5652</v>
      </c>
      <c r="R793" t="s">
        <v>5653</v>
      </c>
      <c r="S793" t="s">
        <v>2895</v>
      </c>
      <c r="T793" t="s">
        <v>2896</v>
      </c>
      <c r="U793" t="s">
        <v>2897</v>
      </c>
    </row>
    <row r="794" spans="1:21" hidden="1">
      <c r="A794" t="s">
        <v>1686</v>
      </c>
      <c r="B794" t="s">
        <v>5637</v>
      </c>
      <c r="C794" t="s">
        <v>3151</v>
      </c>
      <c r="D794" t="s">
        <v>17</v>
      </c>
      <c r="E794" t="s">
        <v>2</v>
      </c>
      <c r="F794" t="s">
        <v>50</v>
      </c>
      <c r="G794" t="s">
        <v>72</v>
      </c>
      <c r="H794" t="s">
        <v>5654</v>
      </c>
      <c r="I794" t="s">
        <v>52</v>
      </c>
      <c r="J794" t="s">
        <v>638</v>
      </c>
      <c r="K794" t="s">
        <v>54</v>
      </c>
      <c r="L794" t="s">
        <v>74</v>
      </c>
      <c r="O794" t="s">
        <v>75</v>
      </c>
      <c r="P794" t="s">
        <v>76</v>
      </c>
      <c r="Q794" t="s">
        <v>5655</v>
      </c>
      <c r="R794" t="s">
        <v>5656</v>
      </c>
      <c r="S794" t="s">
        <v>2895</v>
      </c>
      <c r="T794" t="s">
        <v>2896</v>
      </c>
      <c r="U794" t="s">
        <v>2897</v>
      </c>
    </row>
    <row r="795" spans="1:21" hidden="1">
      <c r="A795" t="s">
        <v>1688</v>
      </c>
      <c r="B795" t="s">
        <v>5637</v>
      </c>
      <c r="C795" t="s">
        <v>5657</v>
      </c>
      <c r="D795" t="s">
        <v>17</v>
      </c>
      <c r="E795" t="s">
        <v>2</v>
      </c>
      <c r="F795" t="s">
        <v>50</v>
      </c>
      <c r="G795" t="s">
        <v>100</v>
      </c>
      <c r="H795" t="s">
        <v>2969</v>
      </c>
      <c r="I795" t="s">
        <v>52</v>
      </c>
      <c r="J795" t="s">
        <v>101</v>
      </c>
      <c r="K795" t="s">
        <v>54</v>
      </c>
      <c r="L795" t="s">
        <v>102</v>
      </c>
      <c r="O795" t="s">
        <v>103</v>
      </c>
      <c r="P795" t="s">
        <v>104</v>
      </c>
      <c r="Q795" t="s">
        <v>5658</v>
      </c>
      <c r="R795" t="s">
        <v>2971</v>
      </c>
      <c r="S795" t="s">
        <v>2895</v>
      </c>
      <c r="T795" t="s">
        <v>2896</v>
      </c>
      <c r="U795" t="s">
        <v>2897</v>
      </c>
    </row>
    <row r="796" spans="1:21" hidden="1">
      <c r="A796" t="s">
        <v>1690</v>
      </c>
      <c r="B796" t="s">
        <v>5659</v>
      </c>
      <c r="C796" t="s">
        <v>3295</v>
      </c>
      <c r="D796" t="s">
        <v>17</v>
      </c>
      <c r="E796" t="s">
        <v>2</v>
      </c>
      <c r="F796" t="s">
        <v>50</v>
      </c>
      <c r="G796" t="s">
        <v>51</v>
      </c>
      <c r="H796" t="s">
        <v>5660</v>
      </c>
      <c r="I796" t="s">
        <v>52</v>
      </c>
      <c r="J796" t="s">
        <v>126</v>
      </c>
      <c r="K796" t="s">
        <v>54</v>
      </c>
      <c r="L796" t="s">
        <v>55</v>
      </c>
      <c r="O796" t="s">
        <v>56</v>
      </c>
      <c r="P796" t="s">
        <v>57</v>
      </c>
      <c r="Q796" t="s">
        <v>5661</v>
      </c>
      <c r="R796" t="s">
        <v>5662</v>
      </c>
      <c r="S796" t="s">
        <v>2895</v>
      </c>
      <c r="T796" t="s">
        <v>2896</v>
      </c>
      <c r="U796" t="s">
        <v>2897</v>
      </c>
    </row>
    <row r="797" spans="1:21" hidden="1">
      <c r="A797" t="s">
        <v>1692</v>
      </c>
      <c r="B797" t="s">
        <v>5659</v>
      </c>
      <c r="C797" t="s">
        <v>4514</v>
      </c>
      <c r="D797" t="s">
        <v>17</v>
      </c>
      <c r="E797" t="s">
        <v>2</v>
      </c>
      <c r="F797" t="s">
        <v>50</v>
      </c>
      <c r="G797" t="s">
        <v>51</v>
      </c>
      <c r="H797" t="s">
        <v>5663</v>
      </c>
      <c r="I797" t="s">
        <v>52</v>
      </c>
      <c r="J797" t="s">
        <v>65</v>
      </c>
      <c r="K797" t="s">
        <v>54</v>
      </c>
      <c r="L797" t="s">
        <v>55</v>
      </c>
      <c r="O797" t="s">
        <v>66</v>
      </c>
      <c r="P797" t="s">
        <v>67</v>
      </c>
      <c r="Q797" t="s">
        <v>5664</v>
      </c>
      <c r="R797" t="s">
        <v>5665</v>
      </c>
      <c r="S797" t="s">
        <v>2895</v>
      </c>
      <c r="T797" t="s">
        <v>2896</v>
      </c>
      <c r="U797" t="s">
        <v>2897</v>
      </c>
    </row>
    <row r="798" spans="1:21" hidden="1">
      <c r="A798" t="s">
        <v>1694</v>
      </c>
      <c r="B798" t="s">
        <v>5659</v>
      </c>
      <c r="C798" t="s">
        <v>3885</v>
      </c>
      <c r="D798" t="s">
        <v>17</v>
      </c>
      <c r="E798" t="s">
        <v>2</v>
      </c>
      <c r="F798" t="s">
        <v>50</v>
      </c>
      <c r="G798" t="s">
        <v>51</v>
      </c>
      <c r="H798" t="s">
        <v>5391</v>
      </c>
      <c r="I798" t="s">
        <v>52</v>
      </c>
      <c r="J798" t="s">
        <v>65</v>
      </c>
      <c r="K798" t="s">
        <v>54</v>
      </c>
      <c r="L798" t="s">
        <v>55</v>
      </c>
      <c r="O798" t="s">
        <v>66</v>
      </c>
      <c r="P798" t="s">
        <v>67</v>
      </c>
      <c r="Q798" t="s">
        <v>5666</v>
      </c>
      <c r="R798" t="s">
        <v>5393</v>
      </c>
      <c r="S798" t="s">
        <v>2895</v>
      </c>
      <c r="T798" t="s">
        <v>2896</v>
      </c>
      <c r="U798" t="s">
        <v>2897</v>
      </c>
    </row>
    <row r="799" spans="1:21" hidden="1">
      <c r="A799" t="s">
        <v>1696</v>
      </c>
      <c r="B799" t="s">
        <v>5659</v>
      </c>
      <c r="C799" t="s">
        <v>5667</v>
      </c>
      <c r="D799" t="s">
        <v>17</v>
      </c>
      <c r="E799" t="s">
        <v>2</v>
      </c>
      <c r="F799" t="s">
        <v>50</v>
      </c>
      <c r="G799" t="s">
        <v>51</v>
      </c>
      <c r="H799" t="s">
        <v>5668</v>
      </c>
      <c r="I799" t="s">
        <v>52</v>
      </c>
      <c r="J799" t="s">
        <v>121</v>
      </c>
      <c r="K799" t="s">
        <v>54</v>
      </c>
      <c r="L799" t="s">
        <v>55</v>
      </c>
      <c r="O799" t="s">
        <v>122</v>
      </c>
      <c r="P799" t="s">
        <v>123</v>
      </c>
      <c r="Q799" t="s">
        <v>5669</v>
      </c>
      <c r="R799" t="s">
        <v>5670</v>
      </c>
      <c r="S799" t="s">
        <v>2895</v>
      </c>
      <c r="T799" t="s">
        <v>2896</v>
      </c>
      <c r="U799" t="s">
        <v>2897</v>
      </c>
    </row>
    <row r="800" spans="1:21" hidden="1">
      <c r="A800" t="s">
        <v>1698</v>
      </c>
      <c r="B800" t="s">
        <v>5659</v>
      </c>
      <c r="C800" t="s">
        <v>3024</v>
      </c>
      <c r="D800" t="s">
        <v>17</v>
      </c>
      <c r="E800" t="s">
        <v>2</v>
      </c>
      <c r="F800" t="s">
        <v>50</v>
      </c>
      <c r="G800" t="s">
        <v>51</v>
      </c>
      <c r="H800" t="s">
        <v>4147</v>
      </c>
      <c r="I800" t="s">
        <v>52</v>
      </c>
      <c r="J800" t="s">
        <v>121</v>
      </c>
      <c r="K800" t="s">
        <v>54</v>
      </c>
      <c r="L800" t="s">
        <v>55</v>
      </c>
      <c r="O800" t="s">
        <v>122</v>
      </c>
      <c r="P800" t="s">
        <v>123</v>
      </c>
      <c r="Q800" t="s">
        <v>5671</v>
      </c>
      <c r="R800" t="s">
        <v>4149</v>
      </c>
      <c r="S800" t="s">
        <v>2895</v>
      </c>
      <c r="T800" t="s">
        <v>2896</v>
      </c>
      <c r="U800" t="s">
        <v>2897</v>
      </c>
    </row>
    <row r="801" spans="1:21" hidden="1">
      <c r="A801" t="s">
        <v>1700</v>
      </c>
      <c r="B801" t="s">
        <v>5672</v>
      </c>
      <c r="C801" t="s">
        <v>4533</v>
      </c>
      <c r="D801" t="s">
        <v>17</v>
      </c>
      <c r="E801" t="s">
        <v>2</v>
      </c>
      <c r="F801" t="s">
        <v>50</v>
      </c>
      <c r="G801" t="s">
        <v>51</v>
      </c>
      <c r="H801" t="s">
        <v>4677</v>
      </c>
      <c r="I801" t="s">
        <v>52</v>
      </c>
      <c r="J801" t="s">
        <v>121</v>
      </c>
      <c r="K801" t="s">
        <v>54</v>
      </c>
      <c r="L801" t="s">
        <v>55</v>
      </c>
      <c r="O801" t="s">
        <v>122</v>
      </c>
      <c r="P801" t="s">
        <v>123</v>
      </c>
      <c r="Q801" t="s">
        <v>5673</v>
      </c>
      <c r="R801" t="s">
        <v>4679</v>
      </c>
      <c r="S801" t="s">
        <v>2895</v>
      </c>
      <c r="T801" t="s">
        <v>2896</v>
      </c>
      <c r="U801" t="s">
        <v>2897</v>
      </c>
    </row>
    <row r="802" spans="1:21" hidden="1">
      <c r="A802" t="s">
        <v>1702</v>
      </c>
      <c r="B802" t="s">
        <v>5672</v>
      </c>
      <c r="C802" t="s">
        <v>3399</v>
      </c>
      <c r="D802" t="s">
        <v>17</v>
      </c>
      <c r="E802" t="s">
        <v>2</v>
      </c>
      <c r="F802" t="s">
        <v>50</v>
      </c>
      <c r="G802" t="s">
        <v>100</v>
      </c>
      <c r="H802" t="s">
        <v>2969</v>
      </c>
      <c r="I802" t="s">
        <v>52</v>
      </c>
      <c r="J802" t="s">
        <v>101</v>
      </c>
      <c r="K802" t="s">
        <v>54</v>
      </c>
      <c r="L802" t="s">
        <v>102</v>
      </c>
      <c r="O802" t="s">
        <v>103</v>
      </c>
      <c r="P802" t="s">
        <v>104</v>
      </c>
      <c r="Q802" t="s">
        <v>5674</v>
      </c>
      <c r="R802" t="s">
        <v>2971</v>
      </c>
      <c r="S802" t="s">
        <v>2895</v>
      </c>
      <c r="T802" t="s">
        <v>2896</v>
      </c>
      <c r="U802" t="s">
        <v>2897</v>
      </c>
    </row>
    <row r="803" spans="1:21" hidden="1">
      <c r="A803" t="s">
        <v>1704</v>
      </c>
      <c r="B803" t="s">
        <v>5672</v>
      </c>
      <c r="C803" t="s">
        <v>3730</v>
      </c>
      <c r="D803" t="s">
        <v>17</v>
      </c>
      <c r="E803" t="s">
        <v>2</v>
      </c>
      <c r="F803" t="s">
        <v>50</v>
      </c>
      <c r="G803" t="s">
        <v>51</v>
      </c>
      <c r="H803" t="s">
        <v>4444</v>
      </c>
      <c r="I803" t="s">
        <v>52</v>
      </c>
      <c r="J803" t="s">
        <v>65</v>
      </c>
      <c r="K803" t="s">
        <v>54</v>
      </c>
      <c r="L803" t="s">
        <v>55</v>
      </c>
      <c r="O803" t="s">
        <v>66</v>
      </c>
      <c r="P803" t="s">
        <v>67</v>
      </c>
      <c r="Q803" t="s">
        <v>5675</v>
      </c>
      <c r="R803" t="s">
        <v>4446</v>
      </c>
      <c r="S803" t="s">
        <v>2895</v>
      </c>
      <c r="T803" t="s">
        <v>2896</v>
      </c>
      <c r="U803" t="s">
        <v>2897</v>
      </c>
    </row>
    <row r="804" spans="1:21" hidden="1">
      <c r="A804" t="s">
        <v>1706</v>
      </c>
      <c r="B804" t="s">
        <v>5672</v>
      </c>
      <c r="C804" t="s">
        <v>5676</v>
      </c>
      <c r="D804" t="s">
        <v>17</v>
      </c>
      <c r="E804" t="s">
        <v>2</v>
      </c>
      <c r="F804" t="s">
        <v>50</v>
      </c>
      <c r="G804" t="s">
        <v>51</v>
      </c>
      <c r="H804" t="s">
        <v>5677</v>
      </c>
      <c r="I804" t="s">
        <v>52</v>
      </c>
      <c r="J804" t="s">
        <v>60</v>
      </c>
      <c r="K804" t="s">
        <v>54</v>
      </c>
      <c r="L804" t="s">
        <v>55</v>
      </c>
      <c r="O804" t="s">
        <v>61</v>
      </c>
      <c r="P804" t="s">
        <v>62</v>
      </c>
      <c r="Q804" t="s">
        <v>5678</v>
      </c>
      <c r="R804" t="s">
        <v>5679</v>
      </c>
      <c r="S804" t="s">
        <v>2895</v>
      </c>
      <c r="T804" t="s">
        <v>2896</v>
      </c>
      <c r="U804" t="s">
        <v>2897</v>
      </c>
    </row>
    <row r="805" spans="1:21" hidden="1">
      <c r="A805" t="s">
        <v>1708</v>
      </c>
      <c r="B805" t="s">
        <v>5672</v>
      </c>
      <c r="C805" t="s">
        <v>4063</v>
      </c>
      <c r="D805" t="s">
        <v>17</v>
      </c>
      <c r="E805" t="s">
        <v>2</v>
      </c>
      <c r="F805" t="s">
        <v>50</v>
      </c>
      <c r="G805" t="s">
        <v>51</v>
      </c>
      <c r="H805" t="s">
        <v>5215</v>
      </c>
      <c r="I805" t="s">
        <v>52</v>
      </c>
      <c r="J805" t="s">
        <v>126</v>
      </c>
      <c r="K805" t="s">
        <v>54</v>
      </c>
      <c r="L805" t="s">
        <v>55</v>
      </c>
      <c r="O805" t="s">
        <v>56</v>
      </c>
      <c r="P805" t="s">
        <v>57</v>
      </c>
      <c r="Q805" t="s">
        <v>5680</v>
      </c>
      <c r="R805" t="s">
        <v>5217</v>
      </c>
      <c r="S805" t="s">
        <v>2895</v>
      </c>
      <c r="T805" t="s">
        <v>2896</v>
      </c>
      <c r="U805" t="s">
        <v>2897</v>
      </c>
    </row>
    <row r="806" spans="1:21" hidden="1">
      <c r="A806" t="s">
        <v>1710</v>
      </c>
      <c r="B806" t="s">
        <v>5672</v>
      </c>
      <c r="C806" t="s">
        <v>5681</v>
      </c>
      <c r="D806" t="s">
        <v>17</v>
      </c>
      <c r="E806" t="s">
        <v>2</v>
      </c>
      <c r="F806" t="s">
        <v>50</v>
      </c>
      <c r="G806" t="s">
        <v>72</v>
      </c>
      <c r="H806" t="s">
        <v>5682</v>
      </c>
      <c r="I806" t="s">
        <v>52</v>
      </c>
      <c r="J806" t="s">
        <v>611</v>
      </c>
      <c r="K806" t="s">
        <v>54</v>
      </c>
      <c r="L806" t="s">
        <v>74</v>
      </c>
      <c r="O806" t="s">
        <v>75</v>
      </c>
      <c r="P806" t="s">
        <v>76</v>
      </c>
      <c r="Q806" t="s">
        <v>5683</v>
      </c>
      <c r="R806" t="s">
        <v>5684</v>
      </c>
      <c r="S806" t="s">
        <v>2895</v>
      </c>
      <c r="T806" t="s">
        <v>2896</v>
      </c>
      <c r="U806" t="s">
        <v>2897</v>
      </c>
    </row>
    <row r="807" spans="1:21" hidden="1">
      <c r="A807" t="s">
        <v>1712</v>
      </c>
      <c r="B807" t="s">
        <v>5672</v>
      </c>
      <c r="C807" t="s">
        <v>5633</v>
      </c>
      <c r="D807" t="s">
        <v>17</v>
      </c>
      <c r="E807" t="s">
        <v>2</v>
      </c>
      <c r="F807" t="s">
        <v>50</v>
      </c>
      <c r="G807" t="s">
        <v>51</v>
      </c>
      <c r="H807" t="s">
        <v>5685</v>
      </c>
      <c r="I807" t="s">
        <v>52</v>
      </c>
      <c r="J807" t="s">
        <v>196</v>
      </c>
      <c r="K807" t="s">
        <v>54</v>
      </c>
      <c r="L807" t="s">
        <v>55</v>
      </c>
      <c r="O807" t="s">
        <v>197</v>
      </c>
      <c r="P807" t="s">
        <v>198</v>
      </c>
      <c r="Q807" t="s">
        <v>5686</v>
      </c>
      <c r="R807" t="s">
        <v>5687</v>
      </c>
      <c r="S807" t="s">
        <v>2895</v>
      </c>
      <c r="T807" t="s">
        <v>2896</v>
      </c>
      <c r="U807" t="s">
        <v>2897</v>
      </c>
    </row>
    <row r="808" spans="1:21" hidden="1">
      <c r="A808" t="s">
        <v>1714</v>
      </c>
      <c r="B808" t="s">
        <v>5672</v>
      </c>
      <c r="C808" t="s">
        <v>3472</v>
      </c>
      <c r="D808" t="s">
        <v>17</v>
      </c>
      <c r="E808" t="s">
        <v>2</v>
      </c>
      <c r="F808" t="s">
        <v>50</v>
      </c>
      <c r="G808" t="s">
        <v>51</v>
      </c>
      <c r="H808" t="s">
        <v>5688</v>
      </c>
      <c r="I808" t="s">
        <v>52</v>
      </c>
      <c r="J808" t="s">
        <v>196</v>
      </c>
      <c r="K808" t="s">
        <v>54</v>
      </c>
      <c r="L808" t="s">
        <v>55</v>
      </c>
      <c r="O808" t="s">
        <v>197</v>
      </c>
      <c r="P808" t="s">
        <v>198</v>
      </c>
      <c r="Q808" t="s">
        <v>5689</v>
      </c>
      <c r="R808" t="s">
        <v>5690</v>
      </c>
      <c r="S808" t="s">
        <v>2895</v>
      </c>
      <c r="T808" t="s">
        <v>2896</v>
      </c>
      <c r="U808" t="s">
        <v>2897</v>
      </c>
    </row>
    <row r="809" spans="1:21" hidden="1">
      <c r="A809" t="s">
        <v>1716</v>
      </c>
      <c r="B809" t="s">
        <v>5691</v>
      </c>
      <c r="C809" t="s">
        <v>3932</v>
      </c>
      <c r="D809" t="s">
        <v>17</v>
      </c>
      <c r="E809" t="s">
        <v>2</v>
      </c>
      <c r="F809" t="s">
        <v>50</v>
      </c>
      <c r="G809" t="s">
        <v>51</v>
      </c>
      <c r="H809" t="s">
        <v>5692</v>
      </c>
      <c r="I809" t="s">
        <v>52</v>
      </c>
      <c r="J809" t="s">
        <v>60</v>
      </c>
      <c r="K809" t="s">
        <v>54</v>
      </c>
      <c r="L809" t="s">
        <v>55</v>
      </c>
      <c r="O809" t="s">
        <v>61</v>
      </c>
      <c r="P809" t="s">
        <v>62</v>
      </c>
      <c r="Q809" t="s">
        <v>5693</v>
      </c>
      <c r="R809" t="s">
        <v>5694</v>
      </c>
      <c r="S809" t="s">
        <v>2895</v>
      </c>
      <c r="T809" t="s">
        <v>2896</v>
      </c>
      <c r="U809" t="s">
        <v>2897</v>
      </c>
    </row>
    <row r="810" spans="1:21" hidden="1">
      <c r="A810" t="s">
        <v>1718</v>
      </c>
      <c r="B810" t="s">
        <v>5691</v>
      </c>
      <c r="C810" t="s">
        <v>5695</v>
      </c>
      <c r="D810" t="s">
        <v>17</v>
      </c>
      <c r="E810" t="s">
        <v>2</v>
      </c>
      <c r="F810" t="s">
        <v>50</v>
      </c>
      <c r="G810" t="s">
        <v>51</v>
      </c>
      <c r="H810" t="s">
        <v>5696</v>
      </c>
      <c r="I810" t="s">
        <v>52</v>
      </c>
      <c r="J810" t="s">
        <v>60</v>
      </c>
      <c r="K810" t="s">
        <v>54</v>
      </c>
      <c r="L810" t="s">
        <v>55</v>
      </c>
      <c r="O810" t="s">
        <v>61</v>
      </c>
      <c r="P810" t="s">
        <v>62</v>
      </c>
      <c r="Q810" t="s">
        <v>5697</v>
      </c>
      <c r="R810" t="s">
        <v>5698</v>
      </c>
      <c r="S810" t="s">
        <v>2895</v>
      </c>
      <c r="T810" t="s">
        <v>2896</v>
      </c>
      <c r="U810" t="s">
        <v>2897</v>
      </c>
    </row>
    <row r="811" spans="1:21" hidden="1">
      <c r="A811" t="s">
        <v>1720</v>
      </c>
      <c r="B811" t="s">
        <v>5691</v>
      </c>
      <c r="C811" t="s">
        <v>4276</v>
      </c>
      <c r="D811" t="s">
        <v>17</v>
      </c>
      <c r="E811" t="s">
        <v>2</v>
      </c>
      <c r="F811" t="s">
        <v>149</v>
      </c>
      <c r="G811" t="s">
        <v>1722</v>
      </c>
      <c r="H811" t="s">
        <v>5699</v>
      </c>
      <c r="I811" t="s">
        <v>52</v>
      </c>
      <c r="J811" t="s">
        <v>1723</v>
      </c>
      <c r="K811" t="s">
        <v>54</v>
      </c>
      <c r="L811" t="s">
        <v>102</v>
      </c>
      <c r="O811" t="s">
        <v>1724</v>
      </c>
      <c r="P811" t="s">
        <v>1725</v>
      </c>
      <c r="Q811" t="s">
        <v>5700</v>
      </c>
      <c r="R811" t="s">
        <v>5699</v>
      </c>
      <c r="S811" t="s">
        <v>2895</v>
      </c>
      <c r="T811" t="s">
        <v>2896</v>
      </c>
      <c r="U811" t="s">
        <v>2897</v>
      </c>
    </row>
    <row r="812" spans="1:21" hidden="1">
      <c r="A812" t="s">
        <v>1726</v>
      </c>
      <c r="B812" t="s">
        <v>5691</v>
      </c>
      <c r="C812" t="s">
        <v>4893</v>
      </c>
      <c r="D812" t="s">
        <v>17</v>
      </c>
      <c r="E812" t="s">
        <v>2</v>
      </c>
      <c r="F812" t="s">
        <v>50</v>
      </c>
      <c r="G812" t="s">
        <v>51</v>
      </c>
      <c r="H812" t="s">
        <v>4288</v>
      </c>
      <c r="I812" t="s">
        <v>52</v>
      </c>
      <c r="J812" t="s">
        <v>126</v>
      </c>
      <c r="K812" t="s">
        <v>54</v>
      </c>
      <c r="L812" t="s">
        <v>55</v>
      </c>
      <c r="O812" t="s">
        <v>56</v>
      </c>
      <c r="P812" t="s">
        <v>57</v>
      </c>
      <c r="Q812" t="s">
        <v>5701</v>
      </c>
      <c r="R812" t="s">
        <v>4290</v>
      </c>
      <c r="S812" t="s">
        <v>2895</v>
      </c>
      <c r="T812" t="s">
        <v>2896</v>
      </c>
      <c r="U812" t="s">
        <v>2897</v>
      </c>
    </row>
    <row r="813" spans="1:21" hidden="1">
      <c r="A813" t="s">
        <v>1728</v>
      </c>
      <c r="B813" t="s">
        <v>5691</v>
      </c>
      <c r="C813" t="s">
        <v>5233</v>
      </c>
      <c r="D813" t="s">
        <v>17</v>
      </c>
      <c r="E813" t="s">
        <v>2</v>
      </c>
      <c r="F813" t="s">
        <v>50</v>
      </c>
      <c r="G813" t="s">
        <v>100</v>
      </c>
      <c r="H813" t="s">
        <v>3451</v>
      </c>
      <c r="I813" t="s">
        <v>52</v>
      </c>
      <c r="J813" t="s">
        <v>384</v>
      </c>
      <c r="K813" t="s">
        <v>54</v>
      </c>
      <c r="L813" t="s">
        <v>102</v>
      </c>
      <c r="O813" t="s">
        <v>178</v>
      </c>
      <c r="P813" t="s">
        <v>385</v>
      </c>
      <c r="Q813" t="s">
        <v>5702</v>
      </c>
      <c r="R813" t="s">
        <v>3453</v>
      </c>
      <c r="S813" t="s">
        <v>2895</v>
      </c>
      <c r="T813" t="s">
        <v>2896</v>
      </c>
      <c r="U813" t="s">
        <v>2897</v>
      </c>
    </row>
    <row r="814" spans="1:21" hidden="1">
      <c r="A814" t="s">
        <v>1730</v>
      </c>
      <c r="B814" t="s">
        <v>5691</v>
      </c>
      <c r="C814" t="s">
        <v>5703</v>
      </c>
      <c r="D814" t="s">
        <v>17</v>
      </c>
      <c r="E814" t="s">
        <v>2</v>
      </c>
      <c r="F814" t="s">
        <v>50</v>
      </c>
      <c r="G814" t="s">
        <v>100</v>
      </c>
      <c r="H814" t="s">
        <v>2969</v>
      </c>
      <c r="I814" t="s">
        <v>52</v>
      </c>
      <c r="J814" t="s">
        <v>101</v>
      </c>
      <c r="K814" t="s">
        <v>54</v>
      </c>
      <c r="L814" t="s">
        <v>102</v>
      </c>
      <c r="O814" t="s">
        <v>103</v>
      </c>
      <c r="P814" t="s">
        <v>104</v>
      </c>
      <c r="Q814" t="s">
        <v>5704</v>
      </c>
      <c r="R814" t="s">
        <v>2971</v>
      </c>
      <c r="S814" t="s">
        <v>2895</v>
      </c>
      <c r="T814" t="s">
        <v>2896</v>
      </c>
      <c r="U814" t="s">
        <v>2897</v>
      </c>
    </row>
    <row r="815" spans="1:21" hidden="1">
      <c r="A815" t="s">
        <v>1732</v>
      </c>
      <c r="B815" t="s">
        <v>5691</v>
      </c>
      <c r="C815" t="s">
        <v>5705</v>
      </c>
      <c r="D815" t="s">
        <v>17</v>
      </c>
      <c r="E815" t="s">
        <v>2</v>
      </c>
      <c r="F815" t="s">
        <v>50</v>
      </c>
      <c r="G815" t="s">
        <v>51</v>
      </c>
      <c r="H815" t="s">
        <v>5706</v>
      </c>
      <c r="I815" t="s">
        <v>52</v>
      </c>
      <c r="J815" t="s">
        <v>81</v>
      </c>
      <c r="K815" t="s">
        <v>54</v>
      </c>
      <c r="L815" t="s">
        <v>55</v>
      </c>
      <c r="O815" t="s">
        <v>82</v>
      </c>
      <c r="P815" t="s">
        <v>83</v>
      </c>
      <c r="Q815" t="s">
        <v>5707</v>
      </c>
      <c r="R815" t="s">
        <v>5708</v>
      </c>
      <c r="S815" t="s">
        <v>2895</v>
      </c>
      <c r="T815" t="s">
        <v>2896</v>
      </c>
      <c r="U815" t="s">
        <v>2897</v>
      </c>
    </row>
    <row r="816" spans="1:21" hidden="1">
      <c r="A816" t="s">
        <v>1734</v>
      </c>
      <c r="B816" t="s">
        <v>5691</v>
      </c>
      <c r="C816" t="s">
        <v>5709</v>
      </c>
      <c r="D816" t="s">
        <v>17</v>
      </c>
      <c r="E816" t="s">
        <v>2</v>
      </c>
      <c r="F816" t="s">
        <v>50</v>
      </c>
      <c r="G816" t="s">
        <v>72</v>
      </c>
      <c r="H816" t="s">
        <v>5710</v>
      </c>
      <c r="I816" t="s">
        <v>52</v>
      </c>
      <c r="J816" t="s">
        <v>316</v>
      </c>
      <c r="K816" t="s">
        <v>54</v>
      </c>
      <c r="L816" t="s">
        <v>74</v>
      </c>
      <c r="O816" t="s">
        <v>75</v>
      </c>
      <c r="P816" t="s">
        <v>76</v>
      </c>
      <c r="Q816" t="s">
        <v>5711</v>
      </c>
      <c r="R816" t="s">
        <v>5712</v>
      </c>
      <c r="S816" t="s">
        <v>2895</v>
      </c>
      <c r="T816" t="s">
        <v>2896</v>
      </c>
      <c r="U816" t="s">
        <v>2897</v>
      </c>
    </row>
    <row r="817" spans="1:21" hidden="1">
      <c r="A817" t="s">
        <v>1736</v>
      </c>
      <c r="B817" t="s">
        <v>5713</v>
      </c>
      <c r="C817" t="s">
        <v>5714</v>
      </c>
      <c r="D817" t="s">
        <v>17</v>
      </c>
      <c r="E817" t="s">
        <v>2</v>
      </c>
      <c r="F817" t="s">
        <v>50</v>
      </c>
      <c r="G817" t="s">
        <v>51</v>
      </c>
      <c r="H817" t="s">
        <v>5715</v>
      </c>
      <c r="I817" t="s">
        <v>52</v>
      </c>
      <c r="J817" t="s">
        <v>121</v>
      </c>
      <c r="K817" t="s">
        <v>54</v>
      </c>
      <c r="L817" t="s">
        <v>55</v>
      </c>
      <c r="O817" t="s">
        <v>122</v>
      </c>
      <c r="P817" t="s">
        <v>123</v>
      </c>
      <c r="Q817" t="s">
        <v>5716</v>
      </c>
      <c r="R817" t="s">
        <v>5717</v>
      </c>
      <c r="S817" t="s">
        <v>2895</v>
      </c>
      <c r="T817" t="s">
        <v>2896</v>
      </c>
      <c r="U817" t="s">
        <v>2897</v>
      </c>
    </row>
    <row r="818" spans="1:21" hidden="1">
      <c r="A818" t="s">
        <v>1738</v>
      </c>
      <c r="B818" t="s">
        <v>5713</v>
      </c>
      <c r="C818" t="s">
        <v>5151</v>
      </c>
      <c r="D818" t="s">
        <v>17</v>
      </c>
      <c r="E818" t="s">
        <v>2</v>
      </c>
      <c r="F818" t="s">
        <v>50</v>
      </c>
      <c r="G818" t="s">
        <v>51</v>
      </c>
      <c r="H818" t="s">
        <v>5718</v>
      </c>
      <c r="I818" t="s">
        <v>52</v>
      </c>
      <c r="J818" t="s">
        <v>121</v>
      </c>
      <c r="K818" t="s">
        <v>54</v>
      </c>
      <c r="L818" t="s">
        <v>55</v>
      </c>
      <c r="O818" t="s">
        <v>122</v>
      </c>
      <c r="P818" t="s">
        <v>123</v>
      </c>
      <c r="Q818" t="s">
        <v>5719</v>
      </c>
      <c r="R818" t="s">
        <v>5720</v>
      </c>
      <c r="S818" t="s">
        <v>2895</v>
      </c>
      <c r="T818" t="s">
        <v>2896</v>
      </c>
      <c r="U818" t="s">
        <v>2897</v>
      </c>
    </row>
    <row r="819" spans="1:21" hidden="1">
      <c r="A819" t="s">
        <v>1740</v>
      </c>
      <c r="B819" t="s">
        <v>5713</v>
      </c>
      <c r="C819" t="s">
        <v>4693</v>
      </c>
      <c r="D819" t="s">
        <v>17</v>
      </c>
      <c r="E819" t="s">
        <v>2</v>
      </c>
      <c r="F819" t="s">
        <v>50</v>
      </c>
      <c r="G819" t="s">
        <v>51</v>
      </c>
      <c r="H819" t="s">
        <v>5721</v>
      </c>
      <c r="I819" t="s">
        <v>52</v>
      </c>
      <c r="J819" t="s">
        <v>65</v>
      </c>
      <c r="K819" t="s">
        <v>54</v>
      </c>
      <c r="L819" t="s">
        <v>55</v>
      </c>
      <c r="O819" t="s">
        <v>66</v>
      </c>
      <c r="P819" t="s">
        <v>67</v>
      </c>
      <c r="Q819" t="s">
        <v>5722</v>
      </c>
      <c r="R819" t="s">
        <v>5723</v>
      </c>
      <c r="S819" t="s">
        <v>2895</v>
      </c>
      <c r="T819" t="s">
        <v>2896</v>
      </c>
      <c r="U819" t="s">
        <v>2897</v>
      </c>
    </row>
    <row r="820" spans="1:21" hidden="1">
      <c r="A820" t="s">
        <v>1742</v>
      </c>
      <c r="B820" t="s">
        <v>5713</v>
      </c>
      <c r="C820" t="s">
        <v>5124</v>
      </c>
      <c r="D820" t="s">
        <v>17</v>
      </c>
      <c r="E820" t="s">
        <v>2</v>
      </c>
      <c r="F820" t="s">
        <v>50</v>
      </c>
      <c r="G820" t="s">
        <v>51</v>
      </c>
      <c r="H820" t="s">
        <v>2924</v>
      </c>
      <c r="I820" t="s">
        <v>52</v>
      </c>
      <c r="J820" t="s">
        <v>121</v>
      </c>
      <c r="K820" t="s">
        <v>54</v>
      </c>
      <c r="L820" t="s">
        <v>55</v>
      </c>
      <c r="O820" t="s">
        <v>122</v>
      </c>
      <c r="P820" t="s">
        <v>123</v>
      </c>
      <c r="Q820" t="s">
        <v>5724</v>
      </c>
      <c r="R820" t="s">
        <v>2926</v>
      </c>
      <c r="S820" t="s">
        <v>2895</v>
      </c>
      <c r="T820" t="s">
        <v>2896</v>
      </c>
      <c r="U820" t="s">
        <v>2897</v>
      </c>
    </row>
    <row r="821" spans="1:21" hidden="1">
      <c r="A821" t="s">
        <v>1744</v>
      </c>
      <c r="B821" t="s">
        <v>5713</v>
      </c>
      <c r="C821" t="s">
        <v>5725</v>
      </c>
      <c r="D821" t="s">
        <v>17</v>
      </c>
      <c r="E821" t="s">
        <v>2</v>
      </c>
      <c r="F821" t="s">
        <v>50</v>
      </c>
      <c r="G821" t="s">
        <v>51</v>
      </c>
      <c r="H821" t="s">
        <v>5726</v>
      </c>
      <c r="I821" t="s">
        <v>52</v>
      </c>
      <c r="J821" t="s">
        <v>196</v>
      </c>
      <c r="K821" t="s">
        <v>54</v>
      </c>
      <c r="L821" t="s">
        <v>55</v>
      </c>
      <c r="O821" t="s">
        <v>197</v>
      </c>
      <c r="P821" t="s">
        <v>198</v>
      </c>
      <c r="Q821" t="s">
        <v>5727</v>
      </c>
      <c r="R821" t="s">
        <v>5728</v>
      </c>
      <c r="S821" t="s">
        <v>2895</v>
      </c>
      <c r="T821" t="s">
        <v>2896</v>
      </c>
      <c r="U821" t="s">
        <v>2897</v>
      </c>
    </row>
    <row r="822" spans="1:21" hidden="1">
      <c r="A822" t="s">
        <v>1746</v>
      </c>
      <c r="B822" t="s">
        <v>5713</v>
      </c>
      <c r="C822" t="s">
        <v>5729</v>
      </c>
      <c r="D822" t="s">
        <v>17</v>
      </c>
      <c r="E822" t="s">
        <v>2</v>
      </c>
      <c r="F822" t="s">
        <v>50</v>
      </c>
      <c r="G822" t="s">
        <v>100</v>
      </c>
      <c r="H822" t="s">
        <v>2969</v>
      </c>
      <c r="I822" t="s">
        <v>52</v>
      </c>
      <c r="J822" t="s">
        <v>101</v>
      </c>
      <c r="K822" t="s">
        <v>54</v>
      </c>
      <c r="L822" t="s">
        <v>102</v>
      </c>
      <c r="O822" t="s">
        <v>103</v>
      </c>
      <c r="P822" t="s">
        <v>104</v>
      </c>
      <c r="Q822" t="s">
        <v>5730</v>
      </c>
      <c r="R822" t="s">
        <v>2971</v>
      </c>
      <c r="S822" t="s">
        <v>2895</v>
      </c>
      <c r="T822" t="s">
        <v>2896</v>
      </c>
      <c r="U822" t="s">
        <v>2897</v>
      </c>
    </row>
    <row r="823" spans="1:21" hidden="1">
      <c r="A823" t="s">
        <v>1748</v>
      </c>
      <c r="B823" t="s">
        <v>5713</v>
      </c>
      <c r="C823" t="s">
        <v>3515</v>
      </c>
      <c r="D823" t="s">
        <v>17</v>
      </c>
      <c r="E823" t="s">
        <v>2</v>
      </c>
      <c r="F823" t="s">
        <v>50</v>
      </c>
      <c r="G823" t="s">
        <v>51</v>
      </c>
      <c r="H823" t="s">
        <v>5731</v>
      </c>
      <c r="I823" t="s">
        <v>52</v>
      </c>
      <c r="J823" t="s">
        <v>126</v>
      </c>
      <c r="K823" t="s">
        <v>54</v>
      </c>
      <c r="L823" t="s">
        <v>55</v>
      </c>
      <c r="O823" t="s">
        <v>56</v>
      </c>
      <c r="P823" t="s">
        <v>57</v>
      </c>
      <c r="Q823" t="s">
        <v>5732</v>
      </c>
      <c r="R823" t="s">
        <v>5733</v>
      </c>
      <c r="S823" t="s">
        <v>2895</v>
      </c>
      <c r="T823" t="s">
        <v>2896</v>
      </c>
      <c r="U823" t="s">
        <v>2897</v>
      </c>
    </row>
    <row r="824" spans="1:21" hidden="1">
      <c r="A824" t="s">
        <v>1750</v>
      </c>
      <c r="B824" t="s">
        <v>5713</v>
      </c>
      <c r="C824" t="s">
        <v>5734</v>
      </c>
      <c r="D824" t="s">
        <v>17</v>
      </c>
      <c r="E824" t="s">
        <v>2</v>
      </c>
      <c r="F824" t="s">
        <v>50</v>
      </c>
      <c r="G824" t="s">
        <v>51</v>
      </c>
      <c r="H824" t="s">
        <v>5735</v>
      </c>
      <c r="I824" t="s">
        <v>52</v>
      </c>
      <c r="J824" t="s">
        <v>81</v>
      </c>
      <c r="K824" t="s">
        <v>54</v>
      </c>
      <c r="L824" t="s">
        <v>55</v>
      </c>
      <c r="O824" t="s">
        <v>82</v>
      </c>
      <c r="P824" t="s">
        <v>83</v>
      </c>
      <c r="Q824" t="s">
        <v>5736</v>
      </c>
      <c r="R824" t="s">
        <v>5737</v>
      </c>
      <c r="S824" t="s">
        <v>2895</v>
      </c>
      <c r="T824" t="s">
        <v>2896</v>
      </c>
      <c r="U824" t="s">
        <v>2897</v>
      </c>
    </row>
    <row r="825" spans="1:21" hidden="1">
      <c r="A825" t="s">
        <v>1752</v>
      </c>
      <c r="B825" t="s">
        <v>5738</v>
      </c>
      <c r="C825" t="s">
        <v>3932</v>
      </c>
      <c r="D825" t="s">
        <v>17</v>
      </c>
      <c r="E825" t="s">
        <v>2</v>
      </c>
      <c r="F825" t="s">
        <v>50</v>
      </c>
      <c r="G825" t="s">
        <v>100</v>
      </c>
      <c r="H825" t="s">
        <v>5739</v>
      </c>
      <c r="I825" t="s">
        <v>52</v>
      </c>
      <c r="J825" t="s">
        <v>114</v>
      </c>
      <c r="K825" t="s">
        <v>54</v>
      </c>
      <c r="L825" t="s">
        <v>102</v>
      </c>
      <c r="O825" t="s">
        <v>103</v>
      </c>
      <c r="P825" t="s">
        <v>104</v>
      </c>
      <c r="Q825" t="s">
        <v>5740</v>
      </c>
      <c r="R825" t="s">
        <v>5741</v>
      </c>
      <c r="S825" t="s">
        <v>2895</v>
      </c>
      <c r="T825" t="s">
        <v>2896</v>
      </c>
      <c r="U825" t="s">
        <v>2897</v>
      </c>
    </row>
    <row r="826" spans="1:21" hidden="1">
      <c r="A826" t="s">
        <v>1754</v>
      </c>
      <c r="B826" t="s">
        <v>5738</v>
      </c>
      <c r="C826" t="s">
        <v>5431</v>
      </c>
      <c r="D826" t="s">
        <v>17</v>
      </c>
      <c r="E826" t="s">
        <v>2</v>
      </c>
      <c r="F826" t="s">
        <v>50</v>
      </c>
      <c r="G826" t="s">
        <v>51</v>
      </c>
      <c r="H826" t="s">
        <v>5742</v>
      </c>
      <c r="I826" t="s">
        <v>52</v>
      </c>
      <c r="J826" t="s">
        <v>81</v>
      </c>
      <c r="K826" t="s">
        <v>54</v>
      </c>
      <c r="L826" t="s">
        <v>55</v>
      </c>
      <c r="O826" t="s">
        <v>82</v>
      </c>
      <c r="P826" t="s">
        <v>83</v>
      </c>
      <c r="Q826" t="s">
        <v>5743</v>
      </c>
      <c r="R826" t="s">
        <v>5744</v>
      </c>
      <c r="S826" t="s">
        <v>2895</v>
      </c>
      <c r="T826" t="s">
        <v>2896</v>
      </c>
      <c r="U826" t="s">
        <v>2897</v>
      </c>
    </row>
    <row r="827" spans="1:21" hidden="1">
      <c r="A827" t="s">
        <v>1756</v>
      </c>
      <c r="B827" t="s">
        <v>5738</v>
      </c>
      <c r="C827" t="s">
        <v>5745</v>
      </c>
      <c r="D827" t="s">
        <v>17</v>
      </c>
      <c r="E827" t="s">
        <v>2</v>
      </c>
      <c r="F827" t="s">
        <v>149</v>
      </c>
      <c r="G827" t="s">
        <v>1722</v>
      </c>
      <c r="H827" t="s">
        <v>5746</v>
      </c>
      <c r="I827" t="s">
        <v>52</v>
      </c>
      <c r="J827" t="s">
        <v>1758</v>
      </c>
      <c r="K827" t="s">
        <v>54</v>
      </c>
      <c r="L827" t="s">
        <v>102</v>
      </c>
      <c r="O827" t="s">
        <v>1724</v>
      </c>
      <c r="P827" t="s">
        <v>1725</v>
      </c>
      <c r="Q827" t="s">
        <v>5747</v>
      </c>
      <c r="R827" t="s">
        <v>5746</v>
      </c>
      <c r="S827" t="s">
        <v>2895</v>
      </c>
      <c r="T827" t="s">
        <v>2896</v>
      </c>
      <c r="U827" t="s">
        <v>2897</v>
      </c>
    </row>
    <row r="828" spans="1:21" hidden="1">
      <c r="A828" t="s">
        <v>1759</v>
      </c>
      <c r="B828" t="s">
        <v>5738</v>
      </c>
      <c r="C828" t="s">
        <v>5676</v>
      </c>
      <c r="D828" t="s">
        <v>17</v>
      </c>
      <c r="E828" t="s">
        <v>2</v>
      </c>
      <c r="F828" t="s">
        <v>50</v>
      </c>
      <c r="G828" t="s">
        <v>100</v>
      </c>
      <c r="H828" t="s">
        <v>2969</v>
      </c>
      <c r="I828" t="s">
        <v>52</v>
      </c>
      <c r="J828" t="s">
        <v>101</v>
      </c>
      <c r="K828" t="s">
        <v>54</v>
      </c>
      <c r="L828" t="s">
        <v>102</v>
      </c>
      <c r="O828" t="s">
        <v>103</v>
      </c>
      <c r="P828" t="s">
        <v>104</v>
      </c>
      <c r="Q828" t="s">
        <v>5748</v>
      </c>
      <c r="R828" t="s">
        <v>2971</v>
      </c>
      <c r="S828" t="s">
        <v>2895</v>
      </c>
      <c r="T828" t="s">
        <v>2896</v>
      </c>
      <c r="U828" t="s">
        <v>2897</v>
      </c>
    </row>
    <row r="829" spans="1:21" hidden="1">
      <c r="A829" t="s">
        <v>1761</v>
      </c>
      <c r="B829" t="s">
        <v>5738</v>
      </c>
      <c r="C829" t="s">
        <v>5749</v>
      </c>
      <c r="D829" t="s">
        <v>17</v>
      </c>
      <c r="E829" t="s">
        <v>2</v>
      </c>
      <c r="F829" t="s">
        <v>50</v>
      </c>
      <c r="G829" t="s">
        <v>51</v>
      </c>
      <c r="H829" t="s">
        <v>5750</v>
      </c>
      <c r="I829" t="s">
        <v>52</v>
      </c>
      <c r="J829" t="s">
        <v>196</v>
      </c>
      <c r="K829" t="s">
        <v>54</v>
      </c>
      <c r="L829" t="s">
        <v>55</v>
      </c>
      <c r="O829" t="s">
        <v>197</v>
      </c>
      <c r="P829" t="s">
        <v>198</v>
      </c>
      <c r="Q829" t="s">
        <v>5751</v>
      </c>
      <c r="R829" t="s">
        <v>5752</v>
      </c>
      <c r="S829" t="s">
        <v>2895</v>
      </c>
      <c r="T829" t="s">
        <v>2896</v>
      </c>
      <c r="U829" t="s">
        <v>2897</v>
      </c>
    </row>
    <row r="830" spans="1:21" hidden="1">
      <c r="A830" t="s">
        <v>1763</v>
      </c>
      <c r="B830" t="s">
        <v>5738</v>
      </c>
      <c r="C830" t="s">
        <v>4447</v>
      </c>
      <c r="D830" t="s">
        <v>17</v>
      </c>
      <c r="E830" t="s">
        <v>2</v>
      </c>
      <c r="F830" t="s">
        <v>50</v>
      </c>
      <c r="G830" t="s">
        <v>100</v>
      </c>
      <c r="H830" t="s">
        <v>4147</v>
      </c>
      <c r="I830" t="s">
        <v>52</v>
      </c>
      <c r="J830" t="s">
        <v>114</v>
      </c>
      <c r="K830" t="s">
        <v>54</v>
      </c>
      <c r="L830" t="s">
        <v>102</v>
      </c>
      <c r="O830" t="s">
        <v>103</v>
      </c>
      <c r="P830" t="s">
        <v>104</v>
      </c>
      <c r="Q830" t="s">
        <v>5753</v>
      </c>
      <c r="R830" t="s">
        <v>4149</v>
      </c>
      <c r="S830" t="s">
        <v>2895</v>
      </c>
      <c r="T830" t="s">
        <v>2896</v>
      </c>
      <c r="U830" t="s">
        <v>2897</v>
      </c>
    </row>
    <row r="831" spans="1:21" hidden="1">
      <c r="A831" t="s">
        <v>1765</v>
      </c>
      <c r="B831" t="s">
        <v>5738</v>
      </c>
      <c r="C831" t="s">
        <v>4265</v>
      </c>
      <c r="D831" t="s">
        <v>17</v>
      </c>
      <c r="E831" t="s">
        <v>2</v>
      </c>
      <c r="F831" t="s">
        <v>50</v>
      </c>
      <c r="G831" t="s">
        <v>51</v>
      </c>
      <c r="H831" t="s">
        <v>5754</v>
      </c>
      <c r="I831" t="s">
        <v>52</v>
      </c>
      <c r="J831" t="s">
        <v>60</v>
      </c>
      <c r="K831" t="s">
        <v>54</v>
      </c>
      <c r="L831" t="s">
        <v>55</v>
      </c>
      <c r="O831" t="s">
        <v>61</v>
      </c>
      <c r="P831" t="s">
        <v>62</v>
      </c>
      <c r="Q831" t="s">
        <v>5755</v>
      </c>
      <c r="R831" t="s">
        <v>5756</v>
      </c>
      <c r="S831" t="s">
        <v>2895</v>
      </c>
      <c r="T831" t="s">
        <v>2896</v>
      </c>
      <c r="U831" t="s">
        <v>2897</v>
      </c>
    </row>
    <row r="832" spans="1:21" hidden="1">
      <c r="A832" t="s">
        <v>1767</v>
      </c>
      <c r="B832" t="s">
        <v>5738</v>
      </c>
      <c r="C832" t="s">
        <v>4452</v>
      </c>
      <c r="D832" t="s">
        <v>17</v>
      </c>
      <c r="E832" t="s">
        <v>2</v>
      </c>
      <c r="F832" t="s">
        <v>50</v>
      </c>
      <c r="G832" t="s">
        <v>51</v>
      </c>
      <c r="H832" t="s">
        <v>3662</v>
      </c>
      <c r="I832" t="s">
        <v>52</v>
      </c>
      <c r="J832" t="s">
        <v>126</v>
      </c>
      <c r="K832" t="s">
        <v>54</v>
      </c>
      <c r="L832" t="s">
        <v>55</v>
      </c>
      <c r="O832" t="s">
        <v>56</v>
      </c>
      <c r="P832" t="s">
        <v>57</v>
      </c>
      <c r="Q832" t="s">
        <v>5757</v>
      </c>
      <c r="R832" t="s">
        <v>3664</v>
      </c>
      <c r="S832" t="s">
        <v>2895</v>
      </c>
      <c r="T832" t="s">
        <v>2896</v>
      </c>
      <c r="U832" t="s">
        <v>2897</v>
      </c>
    </row>
    <row r="833" spans="1:21" hidden="1">
      <c r="A833" t="s">
        <v>1769</v>
      </c>
      <c r="B833" t="s">
        <v>5738</v>
      </c>
      <c r="C833" t="s">
        <v>5426</v>
      </c>
      <c r="D833" t="s">
        <v>17</v>
      </c>
      <c r="E833" t="s">
        <v>2</v>
      </c>
      <c r="F833" t="s">
        <v>50</v>
      </c>
      <c r="G833" t="s">
        <v>51</v>
      </c>
      <c r="H833" t="s">
        <v>5758</v>
      </c>
      <c r="I833" t="s">
        <v>52</v>
      </c>
      <c r="J833" t="s">
        <v>126</v>
      </c>
      <c r="K833" t="s">
        <v>54</v>
      </c>
      <c r="L833" t="s">
        <v>55</v>
      </c>
      <c r="O833" t="s">
        <v>56</v>
      </c>
      <c r="P833" t="s">
        <v>57</v>
      </c>
      <c r="Q833" t="s">
        <v>5759</v>
      </c>
      <c r="R833" t="s">
        <v>5760</v>
      </c>
      <c r="S833" t="s">
        <v>2895</v>
      </c>
      <c r="T833" t="s">
        <v>2896</v>
      </c>
      <c r="U833" t="s">
        <v>2897</v>
      </c>
    </row>
    <row r="834" spans="1:21" hidden="1">
      <c r="A834" t="s">
        <v>1771</v>
      </c>
      <c r="B834" t="s">
        <v>5761</v>
      </c>
      <c r="C834" t="s">
        <v>5762</v>
      </c>
      <c r="D834" t="s">
        <v>17</v>
      </c>
      <c r="E834" t="s">
        <v>2</v>
      </c>
      <c r="F834" t="s">
        <v>50</v>
      </c>
      <c r="G834" t="s">
        <v>51</v>
      </c>
      <c r="H834" t="s">
        <v>5763</v>
      </c>
      <c r="I834" t="s">
        <v>52</v>
      </c>
      <c r="J834" t="s">
        <v>65</v>
      </c>
      <c r="K834" t="s">
        <v>54</v>
      </c>
      <c r="L834" t="s">
        <v>55</v>
      </c>
      <c r="O834" t="s">
        <v>66</v>
      </c>
      <c r="P834" t="s">
        <v>67</v>
      </c>
      <c r="Q834" t="s">
        <v>5764</v>
      </c>
      <c r="R834" t="s">
        <v>5765</v>
      </c>
      <c r="S834" t="s">
        <v>2895</v>
      </c>
      <c r="T834" t="s">
        <v>2896</v>
      </c>
      <c r="U834" t="s">
        <v>2897</v>
      </c>
    </row>
    <row r="835" spans="1:21" hidden="1">
      <c r="A835" t="s">
        <v>1773</v>
      </c>
      <c r="B835" t="s">
        <v>5761</v>
      </c>
      <c r="C835" t="s">
        <v>5766</v>
      </c>
      <c r="D835" t="s">
        <v>17</v>
      </c>
      <c r="E835" t="s">
        <v>2</v>
      </c>
      <c r="F835" t="s">
        <v>50</v>
      </c>
      <c r="G835" t="s">
        <v>51</v>
      </c>
      <c r="H835" t="s">
        <v>5767</v>
      </c>
      <c r="I835" t="s">
        <v>52</v>
      </c>
      <c r="J835" t="s">
        <v>81</v>
      </c>
      <c r="K835" t="s">
        <v>54</v>
      </c>
      <c r="L835" t="s">
        <v>55</v>
      </c>
      <c r="O835" t="s">
        <v>82</v>
      </c>
      <c r="P835" t="s">
        <v>83</v>
      </c>
      <c r="Q835" t="s">
        <v>5768</v>
      </c>
      <c r="R835" t="s">
        <v>5769</v>
      </c>
      <c r="S835" t="s">
        <v>2895</v>
      </c>
      <c r="T835" t="s">
        <v>2896</v>
      </c>
      <c r="U835" t="s">
        <v>2897</v>
      </c>
    </row>
    <row r="836" spans="1:21" hidden="1">
      <c r="A836" t="s">
        <v>1775</v>
      </c>
      <c r="B836" t="s">
        <v>5761</v>
      </c>
      <c r="C836" t="s">
        <v>3820</v>
      </c>
      <c r="D836" t="s">
        <v>17</v>
      </c>
      <c r="E836" t="s">
        <v>2</v>
      </c>
      <c r="F836" t="s">
        <v>50</v>
      </c>
      <c r="G836" t="s">
        <v>51</v>
      </c>
      <c r="H836" t="s">
        <v>5770</v>
      </c>
      <c r="I836" t="s">
        <v>52</v>
      </c>
      <c r="J836" t="s">
        <v>53</v>
      </c>
      <c r="K836" t="s">
        <v>54</v>
      </c>
      <c r="L836" t="s">
        <v>55</v>
      </c>
      <c r="O836" t="s">
        <v>56</v>
      </c>
      <c r="P836" t="s">
        <v>57</v>
      </c>
      <c r="Q836" t="s">
        <v>5771</v>
      </c>
      <c r="R836" t="s">
        <v>5772</v>
      </c>
      <c r="S836" t="s">
        <v>2895</v>
      </c>
      <c r="T836" t="s">
        <v>2896</v>
      </c>
      <c r="U836" t="s">
        <v>2897</v>
      </c>
    </row>
    <row r="837" spans="1:21" hidden="1">
      <c r="A837" t="s">
        <v>1777</v>
      </c>
      <c r="B837" t="s">
        <v>5761</v>
      </c>
      <c r="C837" t="s">
        <v>5773</v>
      </c>
      <c r="D837" t="s">
        <v>17</v>
      </c>
      <c r="E837" t="s">
        <v>2</v>
      </c>
      <c r="F837" t="s">
        <v>50</v>
      </c>
      <c r="G837" t="s">
        <v>51</v>
      </c>
      <c r="H837" t="s">
        <v>5774</v>
      </c>
      <c r="I837" t="s">
        <v>52</v>
      </c>
      <c r="J837" t="s">
        <v>60</v>
      </c>
      <c r="K837" t="s">
        <v>54</v>
      </c>
      <c r="L837" t="s">
        <v>55</v>
      </c>
      <c r="O837" t="s">
        <v>61</v>
      </c>
      <c r="P837" t="s">
        <v>62</v>
      </c>
      <c r="Q837" t="s">
        <v>5775</v>
      </c>
      <c r="R837" t="s">
        <v>5776</v>
      </c>
      <c r="S837" t="s">
        <v>2895</v>
      </c>
      <c r="T837" t="s">
        <v>2896</v>
      </c>
      <c r="U837" t="s">
        <v>2897</v>
      </c>
    </row>
    <row r="838" spans="1:21" hidden="1">
      <c r="A838" t="s">
        <v>1779</v>
      </c>
      <c r="B838" t="s">
        <v>5761</v>
      </c>
      <c r="C838" t="s">
        <v>3274</v>
      </c>
      <c r="D838" t="s">
        <v>17</v>
      </c>
      <c r="E838" t="s">
        <v>2</v>
      </c>
      <c r="F838" t="s">
        <v>50</v>
      </c>
      <c r="G838" t="s">
        <v>51</v>
      </c>
      <c r="H838" t="s">
        <v>5777</v>
      </c>
      <c r="I838" t="s">
        <v>52</v>
      </c>
      <c r="J838" t="s">
        <v>81</v>
      </c>
      <c r="K838" t="s">
        <v>54</v>
      </c>
      <c r="L838" t="s">
        <v>55</v>
      </c>
      <c r="O838" t="s">
        <v>82</v>
      </c>
      <c r="P838" t="s">
        <v>83</v>
      </c>
      <c r="Q838" t="s">
        <v>5778</v>
      </c>
      <c r="R838" t="s">
        <v>5779</v>
      </c>
      <c r="S838" t="s">
        <v>2895</v>
      </c>
      <c r="T838" t="s">
        <v>2896</v>
      </c>
      <c r="U838" t="s">
        <v>2897</v>
      </c>
    </row>
    <row r="839" spans="1:21" hidden="1">
      <c r="A839" t="s">
        <v>1781</v>
      </c>
      <c r="B839" t="s">
        <v>5761</v>
      </c>
      <c r="C839" t="s">
        <v>4360</v>
      </c>
      <c r="D839" t="s">
        <v>17</v>
      </c>
      <c r="E839" t="s">
        <v>2</v>
      </c>
      <c r="F839" t="s">
        <v>50</v>
      </c>
      <c r="G839" t="s">
        <v>51</v>
      </c>
      <c r="H839" t="s">
        <v>5780</v>
      </c>
      <c r="I839" t="s">
        <v>52</v>
      </c>
      <c r="J839" t="s">
        <v>196</v>
      </c>
      <c r="K839" t="s">
        <v>54</v>
      </c>
      <c r="L839" t="s">
        <v>55</v>
      </c>
      <c r="O839" t="s">
        <v>197</v>
      </c>
      <c r="P839" t="s">
        <v>198</v>
      </c>
      <c r="Q839" t="s">
        <v>5781</v>
      </c>
      <c r="R839" t="s">
        <v>5782</v>
      </c>
      <c r="S839" t="s">
        <v>2895</v>
      </c>
      <c r="T839" t="s">
        <v>2896</v>
      </c>
      <c r="U839" t="s">
        <v>2897</v>
      </c>
    </row>
    <row r="840" spans="1:21" hidden="1">
      <c r="A840" t="s">
        <v>1783</v>
      </c>
      <c r="B840" t="s">
        <v>5761</v>
      </c>
      <c r="C840" t="s">
        <v>5783</v>
      </c>
      <c r="D840" t="s">
        <v>17</v>
      </c>
      <c r="E840" t="s">
        <v>2</v>
      </c>
      <c r="F840" t="s">
        <v>50</v>
      </c>
      <c r="G840" t="s">
        <v>100</v>
      </c>
      <c r="H840" t="s">
        <v>2969</v>
      </c>
      <c r="I840" t="s">
        <v>52</v>
      </c>
      <c r="J840" t="s">
        <v>101</v>
      </c>
      <c r="K840" t="s">
        <v>54</v>
      </c>
      <c r="L840" t="s">
        <v>102</v>
      </c>
      <c r="O840" t="s">
        <v>103</v>
      </c>
      <c r="P840" t="s">
        <v>104</v>
      </c>
      <c r="Q840" t="s">
        <v>5784</v>
      </c>
      <c r="R840" t="s">
        <v>2971</v>
      </c>
      <c r="S840" t="s">
        <v>2895</v>
      </c>
      <c r="T840" t="s">
        <v>2896</v>
      </c>
      <c r="U840" t="s">
        <v>2897</v>
      </c>
    </row>
    <row r="841" spans="1:21" hidden="1">
      <c r="A841" t="s">
        <v>1785</v>
      </c>
      <c r="B841" t="s">
        <v>5761</v>
      </c>
      <c r="C841" t="s">
        <v>5785</v>
      </c>
      <c r="D841" t="s">
        <v>17</v>
      </c>
      <c r="E841" t="s">
        <v>2</v>
      </c>
      <c r="F841" t="s">
        <v>50</v>
      </c>
      <c r="G841" t="s">
        <v>100</v>
      </c>
      <c r="H841" t="s">
        <v>2969</v>
      </c>
      <c r="I841" t="s">
        <v>52</v>
      </c>
      <c r="J841" t="s">
        <v>101</v>
      </c>
      <c r="K841" t="s">
        <v>54</v>
      </c>
      <c r="L841" t="s">
        <v>102</v>
      </c>
      <c r="O841" t="s">
        <v>103</v>
      </c>
      <c r="P841" t="s">
        <v>104</v>
      </c>
      <c r="Q841" t="s">
        <v>5786</v>
      </c>
      <c r="R841" t="s">
        <v>2971</v>
      </c>
      <c r="S841" t="s">
        <v>2895</v>
      </c>
      <c r="T841" t="s">
        <v>2896</v>
      </c>
      <c r="U841" t="s">
        <v>2897</v>
      </c>
    </row>
    <row r="842" spans="1:21" hidden="1">
      <c r="A842" t="s">
        <v>1787</v>
      </c>
      <c r="B842" t="s">
        <v>5787</v>
      </c>
      <c r="C842" t="s">
        <v>5788</v>
      </c>
      <c r="D842" t="s">
        <v>17</v>
      </c>
      <c r="E842" t="s">
        <v>2</v>
      </c>
      <c r="F842" t="s">
        <v>50</v>
      </c>
      <c r="G842" t="s">
        <v>51</v>
      </c>
      <c r="H842" t="s">
        <v>5789</v>
      </c>
      <c r="I842" t="s">
        <v>52</v>
      </c>
      <c r="J842" t="s">
        <v>60</v>
      </c>
      <c r="K842" t="s">
        <v>54</v>
      </c>
      <c r="L842" t="s">
        <v>55</v>
      </c>
      <c r="O842" t="s">
        <v>61</v>
      </c>
      <c r="P842" t="s">
        <v>62</v>
      </c>
      <c r="Q842" t="s">
        <v>5790</v>
      </c>
      <c r="R842" t="s">
        <v>5791</v>
      </c>
      <c r="S842" t="s">
        <v>2895</v>
      </c>
      <c r="T842" t="s">
        <v>2896</v>
      </c>
      <c r="U842" t="s">
        <v>2897</v>
      </c>
    </row>
    <row r="843" spans="1:21" hidden="1">
      <c r="A843" t="s">
        <v>1789</v>
      </c>
      <c r="B843" t="s">
        <v>5787</v>
      </c>
      <c r="C843" t="s">
        <v>5792</v>
      </c>
      <c r="D843" t="s">
        <v>17</v>
      </c>
      <c r="E843" t="s">
        <v>2</v>
      </c>
      <c r="F843" t="s">
        <v>50</v>
      </c>
      <c r="G843" t="s">
        <v>51</v>
      </c>
      <c r="H843" t="s">
        <v>5793</v>
      </c>
      <c r="I843" t="s">
        <v>52</v>
      </c>
      <c r="J843" t="s">
        <v>126</v>
      </c>
      <c r="K843" t="s">
        <v>54</v>
      </c>
      <c r="L843" t="s">
        <v>55</v>
      </c>
      <c r="O843" t="s">
        <v>56</v>
      </c>
      <c r="P843" t="s">
        <v>57</v>
      </c>
      <c r="Q843" t="s">
        <v>5794</v>
      </c>
      <c r="R843" t="s">
        <v>5795</v>
      </c>
      <c r="S843" t="s">
        <v>2895</v>
      </c>
      <c r="T843" t="s">
        <v>2896</v>
      </c>
      <c r="U843" t="s">
        <v>2897</v>
      </c>
    </row>
    <row r="844" spans="1:21" hidden="1">
      <c r="A844" t="s">
        <v>1791</v>
      </c>
      <c r="B844" t="s">
        <v>5787</v>
      </c>
      <c r="C844" t="s">
        <v>5796</v>
      </c>
      <c r="D844" t="s">
        <v>17</v>
      </c>
      <c r="E844" t="s">
        <v>2</v>
      </c>
      <c r="F844" t="s">
        <v>149</v>
      </c>
      <c r="G844" t="s">
        <v>1722</v>
      </c>
      <c r="H844" t="s">
        <v>5797</v>
      </c>
      <c r="I844" t="s">
        <v>52</v>
      </c>
      <c r="J844" t="s">
        <v>1793</v>
      </c>
      <c r="K844" t="s">
        <v>54</v>
      </c>
      <c r="L844" t="s">
        <v>102</v>
      </c>
      <c r="O844" t="s">
        <v>1724</v>
      </c>
      <c r="P844" t="s">
        <v>1725</v>
      </c>
      <c r="Q844" t="s">
        <v>5798</v>
      </c>
      <c r="R844" t="s">
        <v>5797</v>
      </c>
      <c r="S844" t="s">
        <v>2895</v>
      </c>
      <c r="T844" t="s">
        <v>2896</v>
      </c>
      <c r="U844" t="s">
        <v>2897</v>
      </c>
    </row>
    <row r="845" spans="1:21" hidden="1">
      <c r="A845" t="s">
        <v>1794</v>
      </c>
      <c r="B845" t="s">
        <v>5787</v>
      </c>
      <c r="C845" t="s">
        <v>5799</v>
      </c>
      <c r="D845" t="s">
        <v>17</v>
      </c>
      <c r="E845" t="s">
        <v>2</v>
      </c>
      <c r="F845" t="s">
        <v>50</v>
      </c>
      <c r="G845" t="s">
        <v>100</v>
      </c>
      <c r="H845" t="s">
        <v>2969</v>
      </c>
      <c r="I845" t="s">
        <v>52</v>
      </c>
      <c r="J845" t="s">
        <v>101</v>
      </c>
      <c r="K845" t="s">
        <v>54</v>
      </c>
      <c r="L845" t="s">
        <v>102</v>
      </c>
      <c r="O845" t="s">
        <v>103</v>
      </c>
      <c r="P845" t="s">
        <v>104</v>
      </c>
      <c r="Q845" t="s">
        <v>5800</v>
      </c>
      <c r="R845" t="s">
        <v>2971</v>
      </c>
      <c r="S845" t="s">
        <v>2895</v>
      </c>
      <c r="T845" t="s">
        <v>2896</v>
      </c>
      <c r="U845" t="s">
        <v>2897</v>
      </c>
    </row>
    <row r="846" spans="1:21" hidden="1">
      <c r="A846" t="s">
        <v>1796</v>
      </c>
      <c r="B846" t="s">
        <v>5787</v>
      </c>
      <c r="C846" t="s">
        <v>5801</v>
      </c>
      <c r="D846" t="s">
        <v>17</v>
      </c>
      <c r="E846" t="s">
        <v>2</v>
      </c>
      <c r="F846" t="s">
        <v>50</v>
      </c>
      <c r="G846" t="s">
        <v>51</v>
      </c>
      <c r="H846" t="s">
        <v>5802</v>
      </c>
      <c r="I846" t="s">
        <v>52</v>
      </c>
      <c r="J846" t="s">
        <v>60</v>
      </c>
      <c r="K846" t="s">
        <v>54</v>
      </c>
      <c r="L846" t="s">
        <v>55</v>
      </c>
      <c r="O846" t="s">
        <v>61</v>
      </c>
      <c r="P846" t="s">
        <v>62</v>
      </c>
      <c r="Q846" t="s">
        <v>5803</v>
      </c>
      <c r="R846" t="s">
        <v>5804</v>
      </c>
      <c r="S846" t="s">
        <v>2895</v>
      </c>
      <c r="T846" t="s">
        <v>2896</v>
      </c>
      <c r="U846" t="s">
        <v>2897</v>
      </c>
    </row>
    <row r="847" spans="1:21" hidden="1">
      <c r="A847" t="s">
        <v>1798</v>
      </c>
      <c r="B847" t="s">
        <v>5787</v>
      </c>
      <c r="C847" t="s">
        <v>4537</v>
      </c>
      <c r="D847" t="s">
        <v>17</v>
      </c>
      <c r="E847" t="s">
        <v>2</v>
      </c>
      <c r="F847" t="s">
        <v>50</v>
      </c>
      <c r="G847" t="s">
        <v>51</v>
      </c>
      <c r="H847" t="s">
        <v>5805</v>
      </c>
      <c r="I847" t="s">
        <v>52</v>
      </c>
      <c r="J847" t="s">
        <v>121</v>
      </c>
      <c r="K847" t="s">
        <v>54</v>
      </c>
      <c r="L847" t="s">
        <v>55</v>
      </c>
      <c r="O847" t="s">
        <v>122</v>
      </c>
      <c r="P847" t="s">
        <v>123</v>
      </c>
      <c r="Q847" t="s">
        <v>5806</v>
      </c>
      <c r="R847" t="s">
        <v>5807</v>
      </c>
      <c r="S847" t="s">
        <v>2895</v>
      </c>
      <c r="T847" t="s">
        <v>2896</v>
      </c>
      <c r="U847" t="s">
        <v>2897</v>
      </c>
    </row>
    <row r="848" spans="1:21" hidden="1">
      <c r="A848" t="s">
        <v>1800</v>
      </c>
      <c r="B848" t="s">
        <v>5787</v>
      </c>
      <c r="C848" t="s">
        <v>3202</v>
      </c>
      <c r="D848" t="s">
        <v>17</v>
      </c>
      <c r="E848" t="s">
        <v>2</v>
      </c>
      <c r="F848" t="s">
        <v>50</v>
      </c>
      <c r="G848" t="s">
        <v>51</v>
      </c>
      <c r="H848" t="s">
        <v>5808</v>
      </c>
      <c r="I848" t="s">
        <v>52</v>
      </c>
      <c r="J848" t="s">
        <v>65</v>
      </c>
      <c r="K848" t="s">
        <v>54</v>
      </c>
      <c r="L848" t="s">
        <v>55</v>
      </c>
      <c r="O848" t="s">
        <v>66</v>
      </c>
      <c r="P848" t="s">
        <v>67</v>
      </c>
      <c r="Q848" t="s">
        <v>5809</v>
      </c>
      <c r="R848" t="s">
        <v>5810</v>
      </c>
      <c r="S848" t="s">
        <v>2895</v>
      </c>
      <c r="T848" t="s">
        <v>2896</v>
      </c>
      <c r="U848" t="s">
        <v>2897</v>
      </c>
    </row>
    <row r="849" spans="1:21" hidden="1">
      <c r="A849" t="s">
        <v>1802</v>
      </c>
      <c r="B849" t="s">
        <v>5787</v>
      </c>
      <c r="C849" t="s">
        <v>5811</v>
      </c>
      <c r="D849" t="s">
        <v>17</v>
      </c>
      <c r="E849" t="s">
        <v>2</v>
      </c>
      <c r="F849" t="s">
        <v>50</v>
      </c>
      <c r="G849" t="s">
        <v>51</v>
      </c>
      <c r="H849" t="s">
        <v>5812</v>
      </c>
      <c r="I849" t="s">
        <v>52</v>
      </c>
      <c r="J849" t="s">
        <v>60</v>
      </c>
      <c r="K849" t="s">
        <v>54</v>
      </c>
      <c r="L849" t="s">
        <v>55</v>
      </c>
      <c r="O849" t="s">
        <v>61</v>
      </c>
      <c r="P849" t="s">
        <v>62</v>
      </c>
      <c r="Q849" t="s">
        <v>5813</v>
      </c>
      <c r="R849" t="s">
        <v>5814</v>
      </c>
      <c r="S849" t="s">
        <v>2895</v>
      </c>
      <c r="T849" t="s">
        <v>2896</v>
      </c>
      <c r="U849" t="s">
        <v>2897</v>
      </c>
    </row>
    <row r="850" spans="1:21" hidden="1">
      <c r="A850" t="s">
        <v>1804</v>
      </c>
      <c r="B850" t="s">
        <v>5787</v>
      </c>
      <c r="C850" t="s">
        <v>5815</v>
      </c>
      <c r="D850" t="s">
        <v>17</v>
      </c>
      <c r="E850" t="s">
        <v>2</v>
      </c>
      <c r="F850" t="s">
        <v>50</v>
      </c>
      <c r="G850" t="s">
        <v>100</v>
      </c>
      <c r="H850" t="s">
        <v>5816</v>
      </c>
      <c r="I850" t="s">
        <v>52</v>
      </c>
      <c r="J850" t="s">
        <v>114</v>
      </c>
      <c r="K850" t="s">
        <v>54</v>
      </c>
      <c r="L850" t="s">
        <v>102</v>
      </c>
      <c r="O850" t="s">
        <v>103</v>
      </c>
      <c r="P850" t="s">
        <v>104</v>
      </c>
      <c r="Q850" t="s">
        <v>5817</v>
      </c>
      <c r="R850" t="s">
        <v>5818</v>
      </c>
      <c r="S850" t="s">
        <v>2895</v>
      </c>
      <c r="T850" t="s">
        <v>2896</v>
      </c>
      <c r="U850" t="s">
        <v>2897</v>
      </c>
    </row>
    <row r="851" spans="1:21" hidden="1">
      <c r="A851" t="s">
        <v>1806</v>
      </c>
      <c r="B851" t="s">
        <v>5819</v>
      </c>
      <c r="C851" t="s">
        <v>3357</v>
      </c>
      <c r="D851" t="s">
        <v>17</v>
      </c>
      <c r="E851" t="s">
        <v>2</v>
      </c>
      <c r="F851" t="s">
        <v>50</v>
      </c>
      <c r="G851" t="s">
        <v>51</v>
      </c>
      <c r="H851" t="s">
        <v>5820</v>
      </c>
      <c r="I851" t="s">
        <v>52</v>
      </c>
      <c r="J851" t="s">
        <v>53</v>
      </c>
      <c r="K851" t="s">
        <v>54</v>
      </c>
      <c r="L851" t="s">
        <v>55</v>
      </c>
      <c r="O851" t="s">
        <v>56</v>
      </c>
      <c r="P851" t="s">
        <v>57</v>
      </c>
      <c r="Q851" t="s">
        <v>5821</v>
      </c>
      <c r="R851" t="s">
        <v>5822</v>
      </c>
      <c r="S851" t="s">
        <v>2895</v>
      </c>
      <c r="T851" t="s">
        <v>2896</v>
      </c>
      <c r="U851" t="s">
        <v>2897</v>
      </c>
    </row>
    <row r="852" spans="1:21" hidden="1">
      <c r="A852" t="s">
        <v>1808</v>
      </c>
      <c r="B852" t="s">
        <v>5819</v>
      </c>
      <c r="C852" t="s">
        <v>5801</v>
      </c>
      <c r="D852" t="s">
        <v>17</v>
      </c>
      <c r="E852" t="s">
        <v>2</v>
      </c>
      <c r="F852" t="s">
        <v>50</v>
      </c>
      <c r="G852" t="s">
        <v>100</v>
      </c>
      <c r="H852" t="s">
        <v>3009</v>
      </c>
      <c r="I852" t="s">
        <v>52</v>
      </c>
      <c r="J852" t="s">
        <v>114</v>
      </c>
      <c r="K852" t="s">
        <v>54</v>
      </c>
      <c r="L852" t="s">
        <v>102</v>
      </c>
      <c r="O852" t="s">
        <v>103</v>
      </c>
      <c r="P852" t="s">
        <v>104</v>
      </c>
      <c r="Q852" t="s">
        <v>5823</v>
      </c>
      <c r="R852" t="s">
        <v>3011</v>
      </c>
      <c r="S852" t="s">
        <v>2895</v>
      </c>
      <c r="T852" t="s">
        <v>2896</v>
      </c>
      <c r="U852" t="s">
        <v>2897</v>
      </c>
    </row>
    <row r="853" spans="1:21" hidden="1">
      <c r="A853" t="s">
        <v>1810</v>
      </c>
      <c r="B853" t="s">
        <v>5819</v>
      </c>
      <c r="C853" t="s">
        <v>5824</v>
      </c>
      <c r="D853" t="s">
        <v>17</v>
      </c>
      <c r="E853" t="s">
        <v>2</v>
      </c>
      <c r="F853" t="s">
        <v>50</v>
      </c>
      <c r="G853" t="s">
        <v>51</v>
      </c>
      <c r="H853" t="s">
        <v>5825</v>
      </c>
      <c r="I853" t="s">
        <v>52</v>
      </c>
      <c r="J853" t="s">
        <v>196</v>
      </c>
      <c r="K853" t="s">
        <v>54</v>
      </c>
      <c r="L853" t="s">
        <v>55</v>
      </c>
      <c r="O853" t="s">
        <v>197</v>
      </c>
      <c r="P853" t="s">
        <v>198</v>
      </c>
      <c r="Q853" t="s">
        <v>5826</v>
      </c>
      <c r="R853" t="s">
        <v>5827</v>
      </c>
      <c r="S853" t="s">
        <v>2895</v>
      </c>
      <c r="T853" t="s">
        <v>2896</v>
      </c>
      <c r="U853" t="s">
        <v>2897</v>
      </c>
    </row>
    <row r="854" spans="1:21" hidden="1">
      <c r="A854" t="s">
        <v>1812</v>
      </c>
      <c r="B854" t="s">
        <v>5819</v>
      </c>
      <c r="C854" t="s">
        <v>4031</v>
      </c>
      <c r="D854" t="s">
        <v>17</v>
      </c>
      <c r="E854" t="s">
        <v>2</v>
      </c>
      <c r="F854" t="s">
        <v>50</v>
      </c>
      <c r="G854" t="s">
        <v>51</v>
      </c>
      <c r="H854" t="s">
        <v>5828</v>
      </c>
      <c r="I854" t="s">
        <v>52</v>
      </c>
      <c r="J854" t="s">
        <v>126</v>
      </c>
      <c r="K854" t="s">
        <v>54</v>
      </c>
      <c r="L854" t="s">
        <v>55</v>
      </c>
      <c r="O854" t="s">
        <v>56</v>
      </c>
      <c r="P854" t="s">
        <v>57</v>
      </c>
      <c r="Q854" t="s">
        <v>5829</v>
      </c>
      <c r="R854" t="s">
        <v>5830</v>
      </c>
      <c r="S854" t="s">
        <v>2895</v>
      </c>
      <c r="T854" t="s">
        <v>2896</v>
      </c>
      <c r="U854" t="s">
        <v>2897</v>
      </c>
    </row>
    <row r="855" spans="1:21" hidden="1">
      <c r="A855" t="s">
        <v>1814</v>
      </c>
      <c r="B855" t="s">
        <v>5819</v>
      </c>
      <c r="C855" t="s">
        <v>5831</v>
      </c>
      <c r="D855" t="s">
        <v>17</v>
      </c>
      <c r="E855" t="s">
        <v>2</v>
      </c>
      <c r="F855" t="s">
        <v>50</v>
      </c>
      <c r="G855" t="s">
        <v>1816</v>
      </c>
      <c r="H855" t="s">
        <v>5832</v>
      </c>
      <c r="I855" t="s">
        <v>52</v>
      </c>
      <c r="J855" t="s">
        <v>1817</v>
      </c>
      <c r="K855" t="s">
        <v>1818</v>
      </c>
      <c r="L855" t="s">
        <v>1819</v>
      </c>
      <c r="O855" t="s">
        <v>1820</v>
      </c>
      <c r="P855" t="s">
        <v>1821</v>
      </c>
      <c r="Q855" t="s">
        <v>5833</v>
      </c>
      <c r="R855" t="s">
        <v>5834</v>
      </c>
      <c r="S855" t="s">
        <v>2898</v>
      </c>
      <c r="T855" t="s">
        <v>2896</v>
      </c>
      <c r="U855" t="s">
        <v>2897</v>
      </c>
    </row>
    <row r="856" spans="1:21" hidden="1">
      <c r="A856" t="s">
        <v>1822</v>
      </c>
      <c r="B856" t="s">
        <v>5819</v>
      </c>
      <c r="C856" t="s">
        <v>3032</v>
      </c>
      <c r="D856" t="s">
        <v>17</v>
      </c>
      <c r="E856" t="s">
        <v>2</v>
      </c>
      <c r="F856" t="s">
        <v>50</v>
      </c>
      <c r="G856" t="s">
        <v>100</v>
      </c>
      <c r="H856" t="s">
        <v>5835</v>
      </c>
      <c r="I856" t="s">
        <v>52</v>
      </c>
      <c r="J856" t="s">
        <v>114</v>
      </c>
      <c r="K856" t="s">
        <v>54</v>
      </c>
      <c r="L856" t="s">
        <v>102</v>
      </c>
      <c r="O856" t="s">
        <v>103</v>
      </c>
      <c r="P856" t="s">
        <v>104</v>
      </c>
      <c r="Q856" t="s">
        <v>5836</v>
      </c>
      <c r="R856" t="s">
        <v>5837</v>
      </c>
      <c r="S856" t="s">
        <v>2895</v>
      </c>
      <c r="T856" t="s">
        <v>2896</v>
      </c>
      <c r="U856" t="s">
        <v>2897</v>
      </c>
    </row>
    <row r="857" spans="1:21" hidden="1">
      <c r="A857" t="s">
        <v>1824</v>
      </c>
      <c r="B857" t="s">
        <v>5819</v>
      </c>
      <c r="C857" t="s">
        <v>5838</v>
      </c>
      <c r="D857" t="s">
        <v>17</v>
      </c>
      <c r="E857" t="s">
        <v>2</v>
      </c>
      <c r="F857" t="s">
        <v>50</v>
      </c>
      <c r="G857" t="s">
        <v>51</v>
      </c>
      <c r="H857" t="s">
        <v>5839</v>
      </c>
      <c r="I857" t="s">
        <v>52</v>
      </c>
      <c r="J857" t="s">
        <v>81</v>
      </c>
      <c r="K857" t="s">
        <v>54</v>
      </c>
      <c r="L857" t="s">
        <v>55</v>
      </c>
      <c r="O857" t="s">
        <v>82</v>
      </c>
      <c r="P857" t="s">
        <v>83</v>
      </c>
      <c r="Q857" t="s">
        <v>5840</v>
      </c>
      <c r="R857" t="s">
        <v>5841</v>
      </c>
      <c r="S857" t="s">
        <v>2895</v>
      </c>
      <c r="T857" t="s">
        <v>2896</v>
      </c>
      <c r="U857" t="s">
        <v>2897</v>
      </c>
    </row>
    <row r="858" spans="1:21" hidden="1">
      <c r="A858" t="s">
        <v>1826</v>
      </c>
      <c r="B858" t="s">
        <v>5819</v>
      </c>
      <c r="C858" t="s">
        <v>3851</v>
      </c>
      <c r="D858" t="s">
        <v>17</v>
      </c>
      <c r="E858" t="s">
        <v>2</v>
      </c>
      <c r="F858" t="s">
        <v>50</v>
      </c>
      <c r="G858" t="s">
        <v>51</v>
      </c>
      <c r="H858" t="s">
        <v>5842</v>
      </c>
      <c r="I858" t="s">
        <v>52</v>
      </c>
      <c r="J858" t="s">
        <v>126</v>
      </c>
      <c r="K858" t="s">
        <v>54</v>
      </c>
      <c r="L858" t="s">
        <v>55</v>
      </c>
      <c r="O858" t="s">
        <v>56</v>
      </c>
      <c r="P858" t="s">
        <v>57</v>
      </c>
      <c r="Q858" t="s">
        <v>5843</v>
      </c>
      <c r="R858" t="s">
        <v>5844</v>
      </c>
      <c r="S858" t="s">
        <v>2895</v>
      </c>
      <c r="T858" t="s">
        <v>2896</v>
      </c>
      <c r="U858" t="s">
        <v>2897</v>
      </c>
    </row>
    <row r="859" spans="1:21" hidden="1">
      <c r="A859" t="s">
        <v>1828</v>
      </c>
      <c r="B859" t="s">
        <v>5845</v>
      </c>
      <c r="C859" t="s">
        <v>5297</v>
      </c>
      <c r="D859" t="s">
        <v>17</v>
      </c>
      <c r="E859" t="s">
        <v>2</v>
      </c>
      <c r="F859" t="s">
        <v>50</v>
      </c>
      <c r="G859" t="s">
        <v>51</v>
      </c>
      <c r="H859" t="s">
        <v>5846</v>
      </c>
      <c r="I859" t="s">
        <v>52</v>
      </c>
      <c r="J859" t="s">
        <v>65</v>
      </c>
      <c r="K859" t="s">
        <v>54</v>
      </c>
      <c r="L859" t="s">
        <v>55</v>
      </c>
      <c r="O859" t="s">
        <v>66</v>
      </c>
      <c r="P859" t="s">
        <v>67</v>
      </c>
      <c r="Q859" t="s">
        <v>5847</v>
      </c>
      <c r="R859" t="s">
        <v>5848</v>
      </c>
      <c r="S859" t="s">
        <v>2895</v>
      </c>
      <c r="T859" t="s">
        <v>2896</v>
      </c>
      <c r="U859" t="s">
        <v>2897</v>
      </c>
    </row>
    <row r="860" spans="1:21" hidden="1">
      <c r="A860" t="s">
        <v>1830</v>
      </c>
      <c r="B860" t="s">
        <v>5845</v>
      </c>
      <c r="C860" t="s">
        <v>5788</v>
      </c>
      <c r="D860" t="s">
        <v>17</v>
      </c>
      <c r="E860" t="s">
        <v>2</v>
      </c>
      <c r="F860" t="s">
        <v>50</v>
      </c>
      <c r="G860" t="s">
        <v>51</v>
      </c>
      <c r="H860" t="s">
        <v>5849</v>
      </c>
      <c r="I860" t="s">
        <v>52</v>
      </c>
      <c r="J860" t="s">
        <v>53</v>
      </c>
      <c r="K860" t="s">
        <v>54</v>
      </c>
      <c r="L860" t="s">
        <v>55</v>
      </c>
      <c r="O860" t="s">
        <v>56</v>
      </c>
      <c r="P860" t="s">
        <v>57</v>
      </c>
      <c r="Q860" t="s">
        <v>5850</v>
      </c>
      <c r="R860" t="s">
        <v>5851</v>
      </c>
      <c r="S860" t="s">
        <v>2895</v>
      </c>
      <c r="T860" t="s">
        <v>2896</v>
      </c>
      <c r="U860" t="s">
        <v>2897</v>
      </c>
    </row>
    <row r="861" spans="1:21" hidden="1">
      <c r="A861" t="s">
        <v>1832</v>
      </c>
      <c r="B861" t="s">
        <v>5845</v>
      </c>
      <c r="C861" t="s">
        <v>5852</v>
      </c>
      <c r="D861" t="s">
        <v>17</v>
      </c>
      <c r="E861" t="s">
        <v>2</v>
      </c>
      <c r="F861" t="s">
        <v>50</v>
      </c>
      <c r="G861" t="s">
        <v>51</v>
      </c>
      <c r="H861" t="s">
        <v>5853</v>
      </c>
      <c r="I861" t="s">
        <v>52</v>
      </c>
      <c r="J861" t="s">
        <v>65</v>
      </c>
      <c r="K861" t="s">
        <v>54</v>
      </c>
      <c r="L861" t="s">
        <v>55</v>
      </c>
      <c r="O861" t="s">
        <v>66</v>
      </c>
      <c r="P861" t="s">
        <v>67</v>
      </c>
      <c r="Q861" t="s">
        <v>5854</v>
      </c>
      <c r="R861" t="s">
        <v>5855</v>
      </c>
      <c r="S861" t="s">
        <v>2895</v>
      </c>
      <c r="T861" t="s">
        <v>2896</v>
      </c>
      <c r="U861" t="s">
        <v>2897</v>
      </c>
    </row>
    <row r="862" spans="1:21" hidden="1">
      <c r="A862" t="s">
        <v>1834</v>
      </c>
      <c r="B862" t="s">
        <v>5845</v>
      </c>
      <c r="C862" t="s">
        <v>5856</v>
      </c>
      <c r="D862" t="s">
        <v>17</v>
      </c>
      <c r="E862" t="s">
        <v>2</v>
      </c>
      <c r="F862" t="s">
        <v>50</v>
      </c>
      <c r="G862" t="s">
        <v>51</v>
      </c>
      <c r="H862" t="s">
        <v>5857</v>
      </c>
      <c r="I862" t="s">
        <v>52</v>
      </c>
      <c r="J862" t="s">
        <v>126</v>
      </c>
      <c r="K862" t="s">
        <v>54</v>
      </c>
      <c r="L862" t="s">
        <v>55</v>
      </c>
      <c r="O862" t="s">
        <v>56</v>
      </c>
      <c r="P862" t="s">
        <v>57</v>
      </c>
      <c r="Q862" t="s">
        <v>5858</v>
      </c>
      <c r="R862" t="s">
        <v>5859</v>
      </c>
      <c r="S862" t="s">
        <v>2895</v>
      </c>
      <c r="T862" t="s">
        <v>2896</v>
      </c>
      <c r="U862" t="s">
        <v>2897</v>
      </c>
    </row>
    <row r="863" spans="1:21" hidden="1">
      <c r="A863" t="s">
        <v>1836</v>
      </c>
      <c r="B863" t="s">
        <v>5845</v>
      </c>
      <c r="C863" t="s">
        <v>5098</v>
      </c>
      <c r="D863" t="s">
        <v>17</v>
      </c>
      <c r="E863" t="s">
        <v>2</v>
      </c>
      <c r="F863" t="s">
        <v>50</v>
      </c>
      <c r="G863" t="s">
        <v>51</v>
      </c>
      <c r="H863" t="s">
        <v>5860</v>
      </c>
      <c r="I863" t="s">
        <v>52</v>
      </c>
      <c r="J863" t="s">
        <v>65</v>
      </c>
      <c r="K863" t="s">
        <v>54</v>
      </c>
      <c r="L863" t="s">
        <v>55</v>
      </c>
      <c r="O863" t="s">
        <v>66</v>
      </c>
      <c r="P863" t="s">
        <v>67</v>
      </c>
      <c r="Q863" t="s">
        <v>5861</v>
      </c>
      <c r="R863" t="s">
        <v>5862</v>
      </c>
      <c r="S863" t="s">
        <v>2895</v>
      </c>
      <c r="T863" t="s">
        <v>2896</v>
      </c>
      <c r="U863" t="s">
        <v>2897</v>
      </c>
    </row>
    <row r="864" spans="1:21" hidden="1">
      <c r="A864" t="s">
        <v>1838</v>
      </c>
      <c r="B864" t="s">
        <v>5845</v>
      </c>
      <c r="C864" t="s">
        <v>4360</v>
      </c>
      <c r="D864" t="s">
        <v>17</v>
      </c>
      <c r="E864" t="s">
        <v>2</v>
      </c>
      <c r="F864" t="s">
        <v>50</v>
      </c>
      <c r="G864" t="s">
        <v>51</v>
      </c>
      <c r="H864" t="s">
        <v>3140</v>
      </c>
      <c r="I864" t="s">
        <v>52</v>
      </c>
      <c r="J864" t="s">
        <v>121</v>
      </c>
      <c r="K864" t="s">
        <v>54</v>
      </c>
      <c r="L864" t="s">
        <v>55</v>
      </c>
      <c r="O864" t="s">
        <v>122</v>
      </c>
      <c r="P864" t="s">
        <v>123</v>
      </c>
      <c r="Q864" t="s">
        <v>5863</v>
      </c>
      <c r="R864" t="s">
        <v>3142</v>
      </c>
      <c r="S864" t="s">
        <v>2895</v>
      </c>
      <c r="T864" t="s">
        <v>2896</v>
      </c>
      <c r="U864" t="s">
        <v>2897</v>
      </c>
    </row>
    <row r="865" spans="1:21" hidden="1">
      <c r="A865" t="s">
        <v>1840</v>
      </c>
      <c r="B865" t="s">
        <v>5845</v>
      </c>
      <c r="C865" t="s">
        <v>5864</v>
      </c>
      <c r="D865" t="s">
        <v>17</v>
      </c>
      <c r="E865" t="s">
        <v>2</v>
      </c>
      <c r="F865" t="s">
        <v>50</v>
      </c>
      <c r="G865" t="s">
        <v>100</v>
      </c>
      <c r="H865" t="s">
        <v>5865</v>
      </c>
      <c r="I865" t="s">
        <v>52</v>
      </c>
      <c r="J865" t="s">
        <v>114</v>
      </c>
      <c r="K865" t="s">
        <v>54</v>
      </c>
      <c r="L865" t="s">
        <v>102</v>
      </c>
      <c r="O865" t="s">
        <v>103</v>
      </c>
      <c r="P865" t="s">
        <v>104</v>
      </c>
      <c r="Q865" t="s">
        <v>5866</v>
      </c>
      <c r="R865" t="s">
        <v>5867</v>
      </c>
      <c r="S865" t="s">
        <v>2895</v>
      </c>
      <c r="T865" t="s">
        <v>2896</v>
      </c>
      <c r="U865" t="s">
        <v>2897</v>
      </c>
    </row>
    <row r="866" spans="1:21" hidden="1">
      <c r="A866" t="s">
        <v>1842</v>
      </c>
      <c r="B866" t="s">
        <v>5845</v>
      </c>
      <c r="C866" t="s">
        <v>3679</v>
      </c>
      <c r="D866" t="s">
        <v>17</v>
      </c>
      <c r="E866" t="s">
        <v>2</v>
      </c>
      <c r="F866" t="s">
        <v>50</v>
      </c>
      <c r="G866" t="s">
        <v>100</v>
      </c>
      <c r="H866" t="s">
        <v>5868</v>
      </c>
      <c r="I866" t="s">
        <v>52</v>
      </c>
      <c r="J866" t="s">
        <v>114</v>
      </c>
      <c r="K866" t="s">
        <v>54</v>
      </c>
      <c r="L866" t="s">
        <v>102</v>
      </c>
      <c r="O866" t="s">
        <v>103</v>
      </c>
      <c r="P866" t="s">
        <v>104</v>
      </c>
      <c r="Q866" t="s">
        <v>5869</v>
      </c>
      <c r="R866" t="s">
        <v>5870</v>
      </c>
      <c r="S866" t="s">
        <v>2895</v>
      </c>
      <c r="T866" t="s">
        <v>2896</v>
      </c>
      <c r="U866" t="s">
        <v>2897</v>
      </c>
    </row>
    <row r="867" spans="1:21" hidden="1">
      <c r="A867" t="s">
        <v>1844</v>
      </c>
      <c r="B867" t="s">
        <v>5845</v>
      </c>
      <c r="C867" t="s">
        <v>5871</v>
      </c>
      <c r="D867" t="s">
        <v>17</v>
      </c>
      <c r="E867" t="s">
        <v>2</v>
      </c>
      <c r="F867" t="s">
        <v>50</v>
      </c>
      <c r="G867" t="s">
        <v>72</v>
      </c>
      <c r="H867" t="s">
        <v>5872</v>
      </c>
      <c r="I867" t="s">
        <v>52</v>
      </c>
      <c r="J867" t="s">
        <v>233</v>
      </c>
      <c r="K867" t="s">
        <v>54</v>
      </c>
      <c r="L867" t="s">
        <v>74</v>
      </c>
      <c r="O867" t="s">
        <v>75</v>
      </c>
      <c r="P867" t="s">
        <v>76</v>
      </c>
      <c r="Q867" t="s">
        <v>5873</v>
      </c>
      <c r="R867" t="s">
        <v>5874</v>
      </c>
      <c r="S867" t="s">
        <v>2895</v>
      </c>
      <c r="T867" t="s">
        <v>2896</v>
      </c>
      <c r="U867" t="s">
        <v>2897</v>
      </c>
    </row>
    <row r="868" spans="1:21" hidden="1">
      <c r="A868" t="s">
        <v>1846</v>
      </c>
      <c r="B868" t="s">
        <v>5875</v>
      </c>
      <c r="C868" t="s">
        <v>5592</v>
      </c>
      <c r="D868" t="s">
        <v>17</v>
      </c>
      <c r="E868" t="s">
        <v>2</v>
      </c>
      <c r="F868" t="s">
        <v>50</v>
      </c>
      <c r="G868" t="s">
        <v>51</v>
      </c>
      <c r="H868" t="s">
        <v>5876</v>
      </c>
      <c r="I868" t="s">
        <v>52</v>
      </c>
      <c r="J868" t="s">
        <v>196</v>
      </c>
      <c r="K868" t="s">
        <v>54</v>
      </c>
      <c r="L868" t="s">
        <v>55</v>
      </c>
      <c r="O868" t="s">
        <v>197</v>
      </c>
      <c r="P868" t="s">
        <v>198</v>
      </c>
      <c r="Q868" t="s">
        <v>5877</v>
      </c>
      <c r="R868" t="s">
        <v>5878</v>
      </c>
      <c r="S868" t="s">
        <v>2895</v>
      </c>
      <c r="T868" t="s">
        <v>2896</v>
      </c>
      <c r="U868" t="s">
        <v>2897</v>
      </c>
    </row>
    <row r="869" spans="1:21" hidden="1">
      <c r="A869" t="s">
        <v>1848</v>
      </c>
      <c r="B869" t="s">
        <v>5875</v>
      </c>
      <c r="C869" t="s">
        <v>5879</v>
      </c>
      <c r="D869" t="s">
        <v>17</v>
      </c>
      <c r="E869" t="s">
        <v>2</v>
      </c>
      <c r="F869" t="s">
        <v>149</v>
      </c>
      <c r="G869" t="s">
        <v>321</v>
      </c>
      <c r="H869" t="s">
        <v>5880</v>
      </c>
      <c r="I869" t="s">
        <v>52</v>
      </c>
      <c r="J869" t="s">
        <v>9</v>
      </c>
      <c r="K869" t="s">
        <v>54</v>
      </c>
      <c r="L869" t="s">
        <v>102</v>
      </c>
      <c r="O869" t="s">
        <v>322</v>
      </c>
      <c r="P869" t="s">
        <v>323</v>
      </c>
      <c r="Q869" t="s">
        <v>5881</v>
      </c>
      <c r="R869" t="s">
        <v>5880</v>
      </c>
      <c r="S869" t="s">
        <v>2895</v>
      </c>
      <c r="T869" t="s">
        <v>2896</v>
      </c>
      <c r="U869" t="s">
        <v>2897</v>
      </c>
    </row>
    <row r="870" spans="1:21" hidden="1">
      <c r="A870" t="s">
        <v>1850</v>
      </c>
      <c r="B870" t="s">
        <v>5875</v>
      </c>
      <c r="C870" t="s">
        <v>5882</v>
      </c>
      <c r="D870" t="s">
        <v>17</v>
      </c>
      <c r="E870" t="s">
        <v>2</v>
      </c>
      <c r="F870" t="s">
        <v>50</v>
      </c>
      <c r="G870" t="s">
        <v>100</v>
      </c>
      <c r="H870" t="s">
        <v>5883</v>
      </c>
      <c r="I870" t="s">
        <v>52</v>
      </c>
      <c r="J870" t="s">
        <v>114</v>
      </c>
      <c r="K870" t="s">
        <v>54</v>
      </c>
      <c r="L870" t="s">
        <v>102</v>
      </c>
      <c r="O870" t="s">
        <v>103</v>
      </c>
      <c r="P870" t="s">
        <v>104</v>
      </c>
      <c r="Q870" t="s">
        <v>5884</v>
      </c>
      <c r="R870" t="s">
        <v>5885</v>
      </c>
      <c r="S870" t="s">
        <v>2895</v>
      </c>
      <c r="T870" t="s">
        <v>2896</v>
      </c>
      <c r="U870" t="s">
        <v>2897</v>
      </c>
    </row>
    <row r="871" spans="1:21" hidden="1">
      <c r="A871" t="s">
        <v>1852</v>
      </c>
      <c r="B871" t="s">
        <v>5875</v>
      </c>
      <c r="C871" t="s">
        <v>4287</v>
      </c>
      <c r="D871" t="s">
        <v>17</v>
      </c>
      <c r="E871" t="s">
        <v>2</v>
      </c>
      <c r="F871" t="s">
        <v>50</v>
      </c>
      <c r="G871" t="s">
        <v>51</v>
      </c>
      <c r="H871" t="s">
        <v>5886</v>
      </c>
      <c r="I871" t="s">
        <v>52</v>
      </c>
      <c r="J871" t="s">
        <v>65</v>
      </c>
      <c r="K871" t="s">
        <v>54</v>
      </c>
      <c r="L871" t="s">
        <v>55</v>
      </c>
      <c r="O871" t="s">
        <v>66</v>
      </c>
      <c r="P871" t="s">
        <v>67</v>
      </c>
      <c r="Q871" t="s">
        <v>5887</v>
      </c>
      <c r="R871" t="s">
        <v>5888</v>
      </c>
      <c r="S871" t="s">
        <v>2895</v>
      </c>
      <c r="T871" t="s">
        <v>2896</v>
      </c>
      <c r="U871" t="s">
        <v>2897</v>
      </c>
    </row>
    <row r="872" spans="1:21" hidden="1">
      <c r="A872" t="s">
        <v>1854</v>
      </c>
      <c r="B872" t="s">
        <v>5875</v>
      </c>
      <c r="C872" t="s">
        <v>3576</v>
      </c>
      <c r="D872" t="s">
        <v>17</v>
      </c>
      <c r="E872" t="s">
        <v>2</v>
      </c>
      <c r="F872" t="s">
        <v>50</v>
      </c>
      <c r="G872" t="s">
        <v>51</v>
      </c>
      <c r="H872" t="s">
        <v>5889</v>
      </c>
      <c r="I872" t="s">
        <v>52</v>
      </c>
      <c r="J872" t="s">
        <v>126</v>
      </c>
      <c r="K872" t="s">
        <v>54</v>
      </c>
      <c r="L872" t="s">
        <v>55</v>
      </c>
      <c r="O872" t="s">
        <v>56</v>
      </c>
      <c r="P872" t="s">
        <v>57</v>
      </c>
      <c r="Q872" t="s">
        <v>5890</v>
      </c>
      <c r="R872" t="s">
        <v>5891</v>
      </c>
      <c r="S872" t="s">
        <v>2895</v>
      </c>
      <c r="T872" t="s">
        <v>2896</v>
      </c>
      <c r="U872" t="s">
        <v>2897</v>
      </c>
    </row>
    <row r="873" spans="1:21" hidden="1">
      <c r="A873" t="s">
        <v>1856</v>
      </c>
      <c r="B873" t="s">
        <v>5875</v>
      </c>
      <c r="C873" t="s">
        <v>4161</v>
      </c>
      <c r="D873" t="s">
        <v>17</v>
      </c>
      <c r="E873" t="s">
        <v>2</v>
      </c>
      <c r="F873" t="s">
        <v>50</v>
      </c>
      <c r="G873" t="s">
        <v>51</v>
      </c>
      <c r="H873" t="s">
        <v>5892</v>
      </c>
      <c r="I873" t="s">
        <v>52</v>
      </c>
      <c r="J873" t="s">
        <v>53</v>
      </c>
      <c r="K873" t="s">
        <v>54</v>
      </c>
      <c r="L873" t="s">
        <v>55</v>
      </c>
      <c r="O873" t="s">
        <v>56</v>
      </c>
      <c r="P873" t="s">
        <v>57</v>
      </c>
      <c r="Q873" t="s">
        <v>5893</v>
      </c>
      <c r="R873" t="s">
        <v>5894</v>
      </c>
      <c r="S873" t="s">
        <v>2895</v>
      </c>
      <c r="T873" t="s">
        <v>2896</v>
      </c>
      <c r="U873" t="s">
        <v>2897</v>
      </c>
    </row>
    <row r="874" spans="1:21" hidden="1">
      <c r="A874" t="s">
        <v>1858</v>
      </c>
      <c r="B874" t="s">
        <v>5875</v>
      </c>
      <c r="C874" t="s">
        <v>5895</v>
      </c>
      <c r="D874" t="s">
        <v>17</v>
      </c>
      <c r="E874" t="s">
        <v>2</v>
      </c>
      <c r="F874" t="s">
        <v>50</v>
      </c>
      <c r="G874" t="s">
        <v>51</v>
      </c>
      <c r="H874" t="s">
        <v>5896</v>
      </c>
      <c r="I874" t="s">
        <v>52</v>
      </c>
      <c r="J874" t="s">
        <v>53</v>
      </c>
      <c r="K874" t="s">
        <v>54</v>
      </c>
      <c r="L874" t="s">
        <v>55</v>
      </c>
      <c r="O874" t="s">
        <v>56</v>
      </c>
      <c r="P874" t="s">
        <v>57</v>
      </c>
      <c r="Q874" t="s">
        <v>5897</v>
      </c>
      <c r="R874" t="s">
        <v>5898</v>
      </c>
      <c r="S874" t="s">
        <v>2895</v>
      </c>
      <c r="T874" t="s">
        <v>2896</v>
      </c>
      <c r="U874" t="s">
        <v>2897</v>
      </c>
    </row>
    <row r="875" spans="1:21" hidden="1">
      <c r="A875" t="s">
        <v>1860</v>
      </c>
      <c r="B875" t="s">
        <v>5875</v>
      </c>
      <c r="C875" t="s">
        <v>3290</v>
      </c>
      <c r="D875" t="s">
        <v>17</v>
      </c>
      <c r="E875" t="s">
        <v>2</v>
      </c>
      <c r="F875" t="s">
        <v>50</v>
      </c>
      <c r="G875" t="s">
        <v>51</v>
      </c>
      <c r="H875" t="s">
        <v>5899</v>
      </c>
      <c r="I875" t="s">
        <v>52</v>
      </c>
      <c r="J875" t="s">
        <v>126</v>
      </c>
      <c r="K875" t="s">
        <v>54</v>
      </c>
      <c r="L875" t="s">
        <v>55</v>
      </c>
      <c r="O875" t="s">
        <v>56</v>
      </c>
      <c r="P875" t="s">
        <v>57</v>
      </c>
      <c r="Q875" t="s">
        <v>5900</v>
      </c>
      <c r="R875" t="s">
        <v>5901</v>
      </c>
      <c r="S875" t="s">
        <v>2895</v>
      </c>
      <c r="T875" t="s">
        <v>2896</v>
      </c>
      <c r="U875" t="s">
        <v>2897</v>
      </c>
    </row>
    <row r="876" spans="1:21" hidden="1">
      <c r="A876" t="s">
        <v>1861</v>
      </c>
      <c r="B876" t="s">
        <v>5902</v>
      </c>
      <c r="C876" t="s">
        <v>5903</v>
      </c>
      <c r="D876" t="s">
        <v>17</v>
      </c>
      <c r="E876" t="s">
        <v>2</v>
      </c>
      <c r="F876" t="s">
        <v>50</v>
      </c>
      <c r="G876" t="s">
        <v>100</v>
      </c>
      <c r="H876" t="s">
        <v>5904</v>
      </c>
      <c r="I876" t="s">
        <v>52</v>
      </c>
      <c r="J876" t="s">
        <v>114</v>
      </c>
      <c r="K876" t="s">
        <v>54</v>
      </c>
      <c r="L876" t="s">
        <v>102</v>
      </c>
      <c r="O876" t="s">
        <v>103</v>
      </c>
      <c r="P876" t="s">
        <v>104</v>
      </c>
      <c r="Q876" t="s">
        <v>5905</v>
      </c>
      <c r="R876" t="s">
        <v>5906</v>
      </c>
      <c r="S876" t="s">
        <v>2895</v>
      </c>
      <c r="T876" t="s">
        <v>2896</v>
      </c>
      <c r="U876" t="s">
        <v>2897</v>
      </c>
    </row>
    <row r="877" spans="1:21" hidden="1">
      <c r="A877" t="s">
        <v>1863</v>
      </c>
      <c r="B877" t="s">
        <v>5902</v>
      </c>
      <c r="C877" t="s">
        <v>4786</v>
      </c>
      <c r="D877" t="s">
        <v>17</v>
      </c>
      <c r="E877" t="s">
        <v>2</v>
      </c>
      <c r="F877" t="s">
        <v>50</v>
      </c>
      <c r="G877" t="s">
        <v>51</v>
      </c>
      <c r="H877" t="s">
        <v>5907</v>
      </c>
      <c r="I877" t="s">
        <v>52</v>
      </c>
      <c r="J877" t="s">
        <v>196</v>
      </c>
      <c r="K877" t="s">
        <v>54</v>
      </c>
      <c r="L877" t="s">
        <v>55</v>
      </c>
      <c r="O877" t="s">
        <v>197</v>
      </c>
      <c r="P877" t="s">
        <v>198</v>
      </c>
      <c r="Q877" t="s">
        <v>5908</v>
      </c>
      <c r="R877" t="s">
        <v>5909</v>
      </c>
      <c r="S877" t="s">
        <v>2895</v>
      </c>
      <c r="T877" t="s">
        <v>2896</v>
      </c>
      <c r="U877" t="s">
        <v>2897</v>
      </c>
    </row>
    <row r="878" spans="1:21" hidden="1">
      <c r="A878" t="s">
        <v>1865</v>
      </c>
      <c r="B878" t="s">
        <v>5902</v>
      </c>
      <c r="C878" t="s">
        <v>3864</v>
      </c>
      <c r="D878" t="s">
        <v>17</v>
      </c>
      <c r="E878" t="s">
        <v>2</v>
      </c>
      <c r="F878" t="s">
        <v>50</v>
      </c>
      <c r="G878" t="s">
        <v>51</v>
      </c>
      <c r="H878" t="s">
        <v>5910</v>
      </c>
      <c r="I878" t="s">
        <v>52</v>
      </c>
      <c r="J878" t="s">
        <v>196</v>
      </c>
      <c r="K878" t="s">
        <v>54</v>
      </c>
      <c r="L878" t="s">
        <v>55</v>
      </c>
      <c r="O878" t="s">
        <v>197</v>
      </c>
      <c r="P878" t="s">
        <v>198</v>
      </c>
      <c r="Q878" t="s">
        <v>5911</v>
      </c>
      <c r="R878" t="s">
        <v>5912</v>
      </c>
      <c r="S878" t="s">
        <v>2895</v>
      </c>
      <c r="T878" t="s">
        <v>2896</v>
      </c>
      <c r="U878" t="s">
        <v>2897</v>
      </c>
    </row>
    <row r="879" spans="1:21" hidden="1">
      <c r="A879" t="s">
        <v>1867</v>
      </c>
      <c r="B879" t="s">
        <v>5902</v>
      </c>
      <c r="C879" t="s">
        <v>3088</v>
      </c>
      <c r="D879" t="s">
        <v>17</v>
      </c>
      <c r="E879" t="s">
        <v>2</v>
      </c>
      <c r="F879" t="s">
        <v>50</v>
      </c>
      <c r="G879" t="s">
        <v>51</v>
      </c>
      <c r="H879" t="s">
        <v>5913</v>
      </c>
      <c r="I879" t="s">
        <v>52</v>
      </c>
      <c r="J879" t="s">
        <v>65</v>
      </c>
      <c r="K879" t="s">
        <v>54</v>
      </c>
      <c r="L879" t="s">
        <v>55</v>
      </c>
      <c r="O879" t="s">
        <v>66</v>
      </c>
      <c r="P879" t="s">
        <v>67</v>
      </c>
      <c r="Q879" t="s">
        <v>5914</v>
      </c>
      <c r="R879" t="s">
        <v>5915</v>
      </c>
      <c r="S879" t="s">
        <v>2895</v>
      </c>
      <c r="T879" t="s">
        <v>2896</v>
      </c>
      <c r="U879" t="s">
        <v>2897</v>
      </c>
    </row>
    <row r="880" spans="1:21" hidden="1">
      <c r="A880" t="s">
        <v>1869</v>
      </c>
      <c r="B880" t="s">
        <v>5902</v>
      </c>
      <c r="C880" t="s">
        <v>3151</v>
      </c>
      <c r="D880" t="s">
        <v>17</v>
      </c>
      <c r="E880" t="s">
        <v>2</v>
      </c>
      <c r="F880" t="s">
        <v>50</v>
      </c>
      <c r="G880" t="s">
        <v>100</v>
      </c>
      <c r="H880" t="s">
        <v>5916</v>
      </c>
      <c r="I880" t="s">
        <v>52</v>
      </c>
      <c r="J880" t="s">
        <v>114</v>
      </c>
      <c r="K880" t="s">
        <v>54</v>
      </c>
      <c r="L880" t="s">
        <v>102</v>
      </c>
      <c r="O880" t="s">
        <v>103</v>
      </c>
      <c r="P880" t="s">
        <v>104</v>
      </c>
      <c r="Q880" t="s">
        <v>5917</v>
      </c>
      <c r="R880" t="s">
        <v>5918</v>
      </c>
      <c r="S880" t="s">
        <v>2895</v>
      </c>
      <c r="T880" t="s">
        <v>2896</v>
      </c>
      <c r="U880" t="s">
        <v>2897</v>
      </c>
    </row>
    <row r="881" spans="1:21" hidden="1">
      <c r="A881" t="s">
        <v>1871</v>
      </c>
      <c r="B881" t="s">
        <v>5902</v>
      </c>
      <c r="C881" t="s">
        <v>3318</v>
      </c>
      <c r="D881" t="s">
        <v>17</v>
      </c>
      <c r="E881" t="s">
        <v>2</v>
      </c>
      <c r="F881" t="s">
        <v>50</v>
      </c>
      <c r="G881" t="s">
        <v>51</v>
      </c>
      <c r="H881" t="s">
        <v>5919</v>
      </c>
      <c r="I881" t="s">
        <v>52</v>
      </c>
      <c r="J881" t="s">
        <v>196</v>
      </c>
      <c r="K881" t="s">
        <v>54</v>
      </c>
      <c r="L881" t="s">
        <v>55</v>
      </c>
      <c r="O881" t="s">
        <v>197</v>
      </c>
      <c r="P881" t="s">
        <v>198</v>
      </c>
      <c r="Q881" t="s">
        <v>5920</v>
      </c>
      <c r="R881" t="s">
        <v>5921</v>
      </c>
      <c r="S881" t="s">
        <v>2895</v>
      </c>
      <c r="T881" t="s">
        <v>2896</v>
      </c>
      <c r="U881" t="s">
        <v>2897</v>
      </c>
    </row>
    <row r="882" spans="1:21" hidden="1">
      <c r="A882" t="s">
        <v>1873</v>
      </c>
      <c r="B882" t="s">
        <v>5922</v>
      </c>
      <c r="C882" t="s">
        <v>3378</v>
      </c>
      <c r="D882" t="s">
        <v>17</v>
      </c>
      <c r="E882" t="s">
        <v>2</v>
      </c>
      <c r="F882" t="s">
        <v>50</v>
      </c>
      <c r="G882" t="s">
        <v>100</v>
      </c>
      <c r="H882" t="s">
        <v>5923</v>
      </c>
      <c r="I882" t="s">
        <v>52</v>
      </c>
      <c r="J882" t="s">
        <v>114</v>
      </c>
      <c r="K882" t="s">
        <v>54</v>
      </c>
      <c r="L882" t="s">
        <v>102</v>
      </c>
      <c r="O882" t="s">
        <v>103</v>
      </c>
      <c r="P882" t="s">
        <v>104</v>
      </c>
      <c r="Q882" t="s">
        <v>5924</v>
      </c>
      <c r="R882" t="s">
        <v>5925</v>
      </c>
      <c r="S882" t="s">
        <v>2895</v>
      </c>
      <c r="T882" t="s">
        <v>2896</v>
      </c>
      <c r="U882" t="s">
        <v>2897</v>
      </c>
    </row>
    <row r="883" spans="1:21" hidden="1">
      <c r="A883" t="s">
        <v>1875</v>
      </c>
      <c r="B883" t="s">
        <v>5922</v>
      </c>
      <c r="C883" t="s">
        <v>5926</v>
      </c>
      <c r="D883" t="s">
        <v>17</v>
      </c>
      <c r="E883" t="s">
        <v>2</v>
      </c>
      <c r="F883" t="s">
        <v>50</v>
      </c>
      <c r="G883" t="s">
        <v>100</v>
      </c>
      <c r="H883" t="s">
        <v>4570</v>
      </c>
      <c r="I883" t="s">
        <v>52</v>
      </c>
      <c r="J883" t="s">
        <v>114</v>
      </c>
      <c r="K883" t="s">
        <v>54</v>
      </c>
      <c r="L883" t="s">
        <v>102</v>
      </c>
      <c r="O883" t="s">
        <v>103</v>
      </c>
      <c r="P883" t="s">
        <v>104</v>
      </c>
      <c r="Q883" t="s">
        <v>5927</v>
      </c>
      <c r="R883" t="s">
        <v>4572</v>
      </c>
      <c r="S883" t="s">
        <v>2895</v>
      </c>
      <c r="T883" t="s">
        <v>2896</v>
      </c>
      <c r="U883" t="s">
        <v>2897</v>
      </c>
    </row>
    <row r="884" spans="1:21" hidden="1">
      <c r="A884" t="s">
        <v>1877</v>
      </c>
      <c r="B884" t="s">
        <v>5922</v>
      </c>
      <c r="C884" t="s">
        <v>4283</v>
      </c>
      <c r="D884" t="s">
        <v>17</v>
      </c>
      <c r="E884" t="s">
        <v>2</v>
      </c>
      <c r="F884" t="s">
        <v>50</v>
      </c>
      <c r="G884" t="s">
        <v>51</v>
      </c>
      <c r="H884" t="s">
        <v>5928</v>
      </c>
      <c r="I884" t="s">
        <v>52</v>
      </c>
      <c r="J884" t="s">
        <v>60</v>
      </c>
      <c r="K884" t="s">
        <v>54</v>
      </c>
      <c r="L884" t="s">
        <v>55</v>
      </c>
      <c r="O884" t="s">
        <v>61</v>
      </c>
      <c r="P884" t="s">
        <v>62</v>
      </c>
      <c r="Q884" t="s">
        <v>5929</v>
      </c>
      <c r="R884" t="s">
        <v>5930</v>
      </c>
      <c r="S884" t="s">
        <v>2895</v>
      </c>
      <c r="T884" t="s">
        <v>2896</v>
      </c>
      <c r="U884" t="s">
        <v>2897</v>
      </c>
    </row>
    <row r="885" spans="1:21" hidden="1">
      <c r="A885" t="s">
        <v>1879</v>
      </c>
      <c r="B885" t="s">
        <v>5922</v>
      </c>
      <c r="C885" t="s">
        <v>5931</v>
      </c>
      <c r="D885" t="s">
        <v>17</v>
      </c>
      <c r="E885" t="s">
        <v>2</v>
      </c>
      <c r="F885" t="s">
        <v>50</v>
      </c>
      <c r="G885" t="s">
        <v>51</v>
      </c>
      <c r="H885" t="s">
        <v>5932</v>
      </c>
      <c r="I885" t="s">
        <v>52</v>
      </c>
      <c r="J885" t="s">
        <v>65</v>
      </c>
      <c r="K885" t="s">
        <v>54</v>
      </c>
      <c r="L885" t="s">
        <v>55</v>
      </c>
      <c r="O885" t="s">
        <v>66</v>
      </c>
      <c r="P885" t="s">
        <v>67</v>
      </c>
      <c r="Q885" t="s">
        <v>5933</v>
      </c>
      <c r="R885" t="s">
        <v>5934</v>
      </c>
      <c r="S885" t="s">
        <v>2895</v>
      </c>
      <c r="T885" t="s">
        <v>2896</v>
      </c>
      <c r="U885" t="s">
        <v>2897</v>
      </c>
    </row>
    <row r="886" spans="1:21" hidden="1">
      <c r="A886" t="s">
        <v>1881</v>
      </c>
      <c r="B886" t="s">
        <v>5922</v>
      </c>
      <c r="C886" t="s">
        <v>4733</v>
      </c>
      <c r="D886" t="s">
        <v>17</v>
      </c>
      <c r="E886" t="s">
        <v>2</v>
      </c>
      <c r="F886" t="s">
        <v>50</v>
      </c>
      <c r="G886" t="s">
        <v>51</v>
      </c>
      <c r="H886" t="s">
        <v>5935</v>
      </c>
      <c r="I886" t="s">
        <v>52</v>
      </c>
      <c r="J886" t="s">
        <v>196</v>
      </c>
      <c r="K886" t="s">
        <v>54</v>
      </c>
      <c r="L886" t="s">
        <v>55</v>
      </c>
      <c r="O886" t="s">
        <v>197</v>
      </c>
      <c r="P886" t="s">
        <v>198</v>
      </c>
      <c r="Q886" t="s">
        <v>5936</v>
      </c>
      <c r="R886" t="s">
        <v>5937</v>
      </c>
      <c r="S886" t="s">
        <v>2895</v>
      </c>
      <c r="T886" t="s">
        <v>2896</v>
      </c>
      <c r="U886" t="s">
        <v>2897</v>
      </c>
    </row>
    <row r="887" spans="1:21" hidden="1">
      <c r="A887" t="s">
        <v>1883</v>
      </c>
      <c r="B887" t="s">
        <v>5922</v>
      </c>
      <c r="C887" t="s">
        <v>3202</v>
      </c>
      <c r="D887" t="s">
        <v>17</v>
      </c>
      <c r="E887" t="s">
        <v>2</v>
      </c>
      <c r="F887" t="s">
        <v>50</v>
      </c>
      <c r="G887" t="s">
        <v>51</v>
      </c>
      <c r="H887" t="s">
        <v>5938</v>
      </c>
      <c r="I887" t="s">
        <v>52</v>
      </c>
      <c r="J887" t="s">
        <v>196</v>
      </c>
      <c r="K887" t="s">
        <v>54</v>
      </c>
      <c r="L887" t="s">
        <v>55</v>
      </c>
      <c r="O887" t="s">
        <v>197</v>
      </c>
      <c r="P887" t="s">
        <v>198</v>
      </c>
      <c r="Q887" t="s">
        <v>5939</v>
      </c>
      <c r="R887" t="s">
        <v>5940</v>
      </c>
      <c r="S887" t="s">
        <v>2895</v>
      </c>
      <c r="T887" t="s">
        <v>2896</v>
      </c>
      <c r="U887" t="s">
        <v>2897</v>
      </c>
    </row>
    <row r="888" spans="1:21" hidden="1">
      <c r="A888" t="s">
        <v>1885</v>
      </c>
      <c r="B888" t="s">
        <v>5922</v>
      </c>
      <c r="C888" t="s">
        <v>4375</v>
      </c>
      <c r="D888" t="s">
        <v>17</v>
      </c>
      <c r="E888" t="s">
        <v>2</v>
      </c>
      <c r="F888" t="s">
        <v>50</v>
      </c>
      <c r="G888" t="s">
        <v>51</v>
      </c>
      <c r="H888" t="s">
        <v>3844</v>
      </c>
      <c r="I888" t="s">
        <v>52</v>
      </c>
      <c r="J888" t="s">
        <v>81</v>
      </c>
      <c r="K888" t="s">
        <v>54</v>
      </c>
      <c r="L888" t="s">
        <v>55</v>
      </c>
      <c r="O888" t="s">
        <v>82</v>
      </c>
      <c r="P888" t="s">
        <v>83</v>
      </c>
      <c r="Q888" t="s">
        <v>5941</v>
      </c>
      <c r="R888" t="s">
        <v>3846</v>
      </c>
      <c r="S888" t="s">
        <v>2895</v>
      </c>
      <c r="T888" t="s">
        <v>2896</v>
      </c>
      <c r="U888" t="s">
        <v>2897</v>
      </c>
    </row>
    <row r="889" spans="1:21" hidden="1">
      <c r="A889" t="s">
        <v>1887</v>
      </c>
      <c r="B889" t="s">
        <v>5942</v>
      </c>
      <c r="C889" t="s">
        <v>5297</v>
      </c>
      <c r="D889" t="s">
        <v>17</v>
      </c>
      <c r="E889" t="s">
        <v>2</v>
      </c>
      <c r="F889" t="s">
        <v>50</v>
      </c>
      <c r="G889" t="s">
        <v>51</v>
      </c>
      <c r="H889" t="s">
        <v>5943</v>
      </c>
      <c r="I889" t="s">
        <v>52</v>
      </c>
      <c r="J889" t="s">
        <v>121</v>
      </c>
      <c r="K889" t="s">
        <v>54</v>
      </c>
      <c r="L889" t="s">
        <v>55</v>
      </c>
      <c r="O889" t="s">
        <v>122</v>
      </c>
      <c r="P889" t="s">
        <v>123</v>
      </c>
      <c r="Q889" t="s">
        <v>5944</v>
      </c>
      <c r="R889" t="s">
        <v>5945</v>
      </c>
      <c r="S889" t="s">
        <v>2895</v>
      </c>
      <c r="T889" t="s">
        <v>2896</v>
      </c>
      <c r="U889" t="s">
        <v>2897</v>
      </c>
    </row>
    <row r="890" spans="1:21" hidden="1">
      <c r="A890" t="s">
        <v>1889</v>
      </c>
      <c r="B890" t="s">
        <v>5942</v>
      </c>
      <c r="C890" t="s">
        <v>5903</v>
      </c>
      <c r="D890" t="s">
        <v>17</v>
      </c>
      <c r="E890" t="s">
        <v>2</v>
      </c>
      <c r="F890" t="s">
        <v>50</v>
      </c>
      <c r="G890" t="s">
        <v>51</v>
      </c>
      <c r="H890" t="s">
        <v>5946</v>
      </c>
      <c r="I890" t="s">
        <v>52</v>
      </c>
      <c r="J890" t="s">
        <v>65</v>
      </c>
      <c r="K890" t="s">
        <v>54</v>
      </c>
      <c r="L890" t="s">
        <v>55</v>
      </c>
      <c r="O890" t="s">
        <v>66</v>
      </c>
      <c r="P890" t="s">
        <v>67</v>
      </c>
      <c r="Q890" t="s">
        <v>5947</v>
      </c>
      <c r="R890" t="s">
        <v>5948</v>
      </c>
      <c r="S890" t="s">
        <v>2895</v>
      </c>
      <c r="T890" t="s">
        <v>2896</v>
      </c>
      <c r="U890" t="s">
        <v>2897</v>
      </c>
    </row>
    <row r="891" spans="1:21" hidden="1">
      <c r="A891" t="s">
        <v>1891</v>
      </c>
      <c r="B891" t="s">
        <v>5942</v>
      </c>
      <c r="C891" t="s">
        <v>5949</v>
      </c>
      <c r="D891" t="s">
        <v>17</v>
      </c>
      <c r="E891" t="s">
        <v>2</v>
      </c>
      <c r="F891" t="s">
        <v>50</v>
      </c>
      <c r="G891" t="s">
        <v>51</v>
      </c>
      <c r="H891" t="s">
        <v>5950</v>
      </c>
      <c r="I891" t="s">
        <v>52</v>
      </c>
      <c r="J891" t="s">
        <v>60</v>
      </c>
      <c r="K891" t="s">
        <v>54</v>
      </c>
      <c r="L891" t="s">
        <v>55</v>
      </c>
      <c r="O891" t="s">
        <v>61</v>
      </c>
      <c r="P891" t="s">
        <v>62</v>
      </c>
      <c r="Q891" t="s">
        <v>5951</v>
      </c>
      <c r="R891" t="s">
        <v>5952</v>
      </c>
      <c r="S891" t="s">
        <v>2895</v>
      </c>
      <c r="T891" t="s">
        <v>2896</v>
      </c>
      <c r="U891" t="s">
        <v>2897</v>
      </c>
    </row>
    <row r="892" spans="1:21" hidden="1">
      <c r="A892" t="s">
        <v>1893</v>
      </c>
      <c r="B892" t="s">
        <v>5942</v>
      </c>
      <c r="C892" t="s">
        <v>5953</v>
      </c>
      <c r="D892" t="s">
        <v>17</v>
      </c>
      <c r="E892" t="s">
        <v>2</v>
      </c>
      <c r="F892" t="s">
        <v>50</v>
      </c>
      <c r="G892" t="s">
        <v>51</v>
      </c>
      <c r="H892" t="s">
        <v>5954</v>
      </c>
      <c r="I892" t="s">
        <v>52</v>
      </c>
      <c r="J892" t="s">
        <v>60</v>
      </c>
      <c r="K892" t="s">
        <v>54</v>
      </c>
      <c r="L892" t="s">
        <v>55</v>
      </c>
      <c r="O892" t="s">
        <v>61</v>
      </c>
      <c r="P892" t="s">
        <v>62</v>
      </c>
      <c r="Q892" t="s">
        <v>5955</v>
      </c>
      <c r="R892" t="s">
        <v>5956</v>
      </c>
      <c r="S892" t="s">
        <v>2895</v>
      </c>
      <c r="T892" t="s">
        <v>2896</v>
      </c>
      <c r="U892" t="s">
        <v>2897</v>
      </c>
    </row>
    <row r="893" spans="1:21" hidden="1">
      <c r="A893" t="s">
        <v>1895</v>
      </c>
      <c r="B893" t="s">
        <v>5942</v>
      </c>
      <c r="C893" t="s">
        <v>5957</v>
      </c>
      <c r="D893" t="s">
        <v>17</v>
      </c>
      <c r="E893" t="s">
        <v>2</v>
      </c>
      <c r="F893" t="s">
        <v>50</v>
      </c>
      <c r="G893" t="s">
        <v>51</v>
      </c>
      <c r="H893" t="s">
        <v>5958</v>
      </c>
      <c r="I893" t="s">
        <v>52</v>
      </c>
      <c r="J893" t="s">
        <v>65</v>
      </c>
      <c r="K893" t="s">
        <v>54</v>
      </c>
      <c r="L893" t="s">
        <v>55</v>
      </c>
      <c r="O893" t="s">
        <v>66</v>
      </c>
      <c r="P893" t="s">
        <v>67</v>
      </c>
      <c r="Q893" t="s">
        <v>5959</v>
      </c>
      <c r="R893" t="s">
        <v>5960</v>
      </c>
      <c r="S893" t="s">
        <v>2895</v>
      </c>
      <c r="T893" t="s">
        <v>2896</v>
      </c>
      <c r="U893" t="s">
        <v>2897</v>
      </c>
    </row>
    <row r="894" spans="1:21" hidden="1">
      <c r="A894" t="s">
        <v>1897</v>
      </c>
      <c r="B894" t="s">
        <v>5942</v>
      </c>
      <c r="C894" t="s">
        <v>3373</v>
      </c>
      <c r="D894" t="s">
        <v>17</v>
      </c>
      <c r="E894" t="s">
        <v>2</v>
      </c>
      <c r="F894" t="s">
        <v>50</v>
      </c>
      <c r="G894" t="s">
        <v>51</v>
      </c>
      <c r="H894" t="s">
        <v>5961</v>
      </c>
      <c r="I894" t="s">
        <v>52</v>
      </c>
      <c r="J894" t="s">
        <v>196</v>
      </c>
      <c r="K894" t="s">
        <v>54</v>
      </c>
      <c r="L894" t="s">
        <v>55</v>
      </c>
      <c r="O894" t="s">
        <v>197</v>
      </c>
      <c r="P894" t="s">
        <v>198</v>
      </c>
      <c r="Q894" t="s">
        <v>5962</v>
      </c>
      <c r="R894" t="s">
        <v>5963</v>
      </c>
      <c r="S894" t="s">
        <v>2895</v>
      </c>
      <c r="T894" t="s">
        <v>2896</v>
      </c>
      <c r="U894" t="s">
        <v>2897</v>
      </c>
    </row>
    <row r="895" spans="1:21" hidden="1">
      <c r="A895" t="s">
        <v>1899</v>
      </c>
      <c r="B895" t="s">
        <v>5964</v>
      </c>
      <c r="C895" t="s">
        <v>3932</v>
      </c>
      <c r="D895" t="s">
        <v>17</v>
      </c>
      <c r="E895" t="s">
        <v>2</v>
      </c>
      <c r="F895" t="s">
        <v>50</v>
      </c>
      <c r="G895" t="s">
        <v>100</v>
      </c>
      <c r="H895" t="s">
        <v>5965</v>
      </c>
      <c r="I895" t="s">
        <v>52</v>
      </c>
      <c r="J895" t="s">
        <v>114</v>
      </c>
      <c r="K895" t="s">
        <v>54</v>
      </c>
      <c r="L895" t="s">
        <v>102</v>
      </c>
      <c r="O895" t="s">
        <v>103</v>
      </c>
      <c r="P895" t="s">
        <v>104</v>
      </c>
      <c r="Q895" t="s">
        <v>5966</v>
      </c>
      <c r="R895" t="s">
        <v>5967</v>
      </c>
      <c r="S895" t="s">
        <v>2895</v>
      </c>
      <c r="T895" t="s">
        <v>2896</v>
      </c>
      <c r="U895" t="s">
        <v>2897</v>
      </c>
    </row>
    <row r="896" spans="1:21" hidden="1">
      <c r="A896" t="s">
        <v>1901</v>
      </c>
      <c r="B896" t="s">
        <v>5964</v>
      </c>
      <c r="C896" t="s">
        <v>5113</v>
      </c>
      <c r="D896" t="s">
        <v>17</v>
      </c>
      <c r="E896" t="s">
        <v>2</v>
      </c>
      <c r="F896" t="s">
        <v>50</v>
      </c>
      <c r="G896" t="s">
        <v>51</v>
      </c>
      <c r="H896" t="s">
        <v>5968</v>
      </c>
      <c r="I896" t="s">
        <v>52</v>
      </c>
      <c r="J896" t="s">
        <v>121</v>
      </c>
      <c r="K896" t="s">
        <v>54</v>
      </c>
      <c r="L896" t="s">
        <v>55</v>
      </c>
      <c r="O896" t="s">
        <v>122</v>
      </c>
      <c r="P896" t="s">
        <v>123</v>
      </c>
      <c r="Q896" t="s">
        <v>5969</v>
      </c>
      <c r="R896" t="s">
        <v>5970</v>
      </c>
      <c r="S896" t="s">
        <v>2895</v>
      </c>
      <c r="T896" t="s">
        <v>2896</v>
      </c>
      <c r="U896" t="s">
        <v>2897</v>
      </c>
    </row>
    <row r="897" spans="1:21" hidden="1">
      <c r="A897" t="s">
        <v>1903</v>
      </c>
      <c r="B897" t="s">
        <v>5964</v>
      </c>
      <c r="C897" t="s">
        <v>4157</v>
      </c>
      <c r="D897" t="s">
        <v>17</v>
      </c>
      <c r="E897" t="s">
        <v>2</v>
      </c>
      <c r="F897" t="s">
        <v>149</v>
      </c>
      <c r="G897" t="s">
        <v>72</v>
      </c>
      <c r="H897" t="s">
        <v>5971</v>
      </c>
      <c r="I897" t="s">
        <v>52</v>
      </c>
      <c r="J897" t="s">
        <v>606</v>
      </c>
      <c r="K897" t="s">
        <v>54</v>
      </c>
      <c r="L897" t="s">
        <v>74</v>
      </c>
      <c r="O897" t="s">
        <v>75</v>
      </c>
      <c r="P897" t="s">
        <v>76</v>
      </c>
      <c r="Q897" t="s">
        <v>5972</v>
      </c>
      <c r="R897" t="s">
        <v>5971</v>
      </c>
      <c r="S897" t="s">
        <v>2895</v>
      </c>
      <c r="T897" t="s">
        <v>2896</v>
      </c>
      <c r="U897" t="s">
        <v>2897</v>
      </c>
    </row>
    <row r="898" spans="1:21" hidden="1">
      <c r="A898" t="s">
        <v>1905</v>
      </c>
      <c r="B898" t="s">
        <v>5964</v>
      </c>
      <c r="C898" t="s">
        <v>3411</v>
      </c>
      <c r="D898" t="s">
        <v>17</v>
      </c>
      <c r="E898" t="s">
        <v>2</v>
      </c>
      <c r="F898" t="s">
        <v>50</v>
      </c>
      <c r="G898" t="s">
        <v>51</v>
      </c>
      <c r="H898" t="s">
        <v>5973</v>
      </c>
      <c r="I898" t="s">
        <v>52</v>
      </c>
      <c r="J898" t="s">
        <v>65</v>
      </c>
      <c r="K898" t="s">
        <v>54</v>
      </c>
      <c r="L898" t="s">
        <v>55</v>
      </c>
      <c r="O898" t="s">
        <v>66</v>
      </c>
      <c r="P898" t="s">
        <v>67</v>
      </c>
      <c r="Q898" t="s">
        <v>5974</v>
      </c>
      <c r="R898" t="s">
        <v>5975</v>
      </c>
      <c r="S898" t="s">
        <v>2895</v>
      </c>
      <c r="T898" t="s">
        <v>2896</v>
      </c>
      <c r="U898" t="s">
        <v>2897</v>
      </c>
    </row>
    <row r="899" spans="1:21" hidden="1">
      <c r="A899" t="s">
        <v>1907</v>
      </c>
      <c r="B899" t="s">
        <v>5964</v>
      </c>
      <c r="C899" t="s">
        <v>4131</v>
      </c>
      <c r="D899" t="s">
        <v>17</v>
      </c>
      <c r="E899" t="s">
        <v>2</v>
      </c>
      <c r="F899" t="s">
        <v>50</v>
      </c>
      <c r="G899" t="s">
        <v>100</v>
      </c>
      <c r="H899" t="s">
        <v>2973</v>
      </c>
      <c r="I899" t="s">
        <v>52</v>
      </c>
      <c r="J899" t="s">
        <v>107</v>
      </c>
      <c r="K899" t="s">
        <v>54</v>
      </c>
      <c r="L899" t="s">
        <v>102</v>
      </c>
      <c r="O899" t="s">
        <v>108</v>
      </c>
      <c r="P899" t="s">
        <v>109</v>
      </c>
      <c r="Q899" t="s">
        <v>5976</v>
      </c>
      <c r="R899" t="s">
        <v>2975</v>
      </c>
      <c r="S899" t="s">
        <v>2895</v>
      </c>
      <c r="T899" t="s">
        <v>2896</v>
      </c>
      <c r="U899" t="s">
        <v>2897</v>
      </c>
    </row>
    <row r="900" spans="1:21" hidden="1">
      <c r="A900" t="s">
        <v>1909</v>
      </c>
      <c r="B900" t="s">
        <v>5964</v>
      </c>
      <c r="C900" t="s">
        <v>3717</v>
      </c>
      <c r="D900" t="s">
        <v>17</v>
      </c>
      <c r="E900" t="s">
        <v>2</v>
      </c>
      <c r="F900" t="s">
        <v>50</v>
      </c>
      <c r="G900" t="s">
        <v>51</v>
      </c>
      <c r="H900" t="s">
        <v>5977</v>
      </c>
      <c r="I900" t="s">
        <v>52</v>
      </c>
      <c r="J900" t="s">
        <v>121</v>
      </c>
      <c r="K900" t="s">
        <v>54</v>
      </c>
      <c r="L900" t="s">
        <v>55</v>
      </c>
      <c r="O900" t="s">
        <v>122</v>
      </c>
      <c r="P900" t="s">
        <v>123</v>
      </c>
      <c r="Q900" t="s">
        <v>5978</v>
      </c>
      <c r="R900" t="s">
        <v>5979</v>
      </c>
      <c r="S900" t="s">
        <v>2895</v>
      </c>
      <c r="T900" t="s">
        <v>2896</v>
      </c>
      <c r="U900" t="s">
        <v>2897</v>
      </c>
    </row>
    <row r="901" spans="1:21" hidden="1">
      <c r="A901" t="s">
        <v>1911</v>
      </c>
      <c r="B901" t="s">
        <v>5964</v>
      </c>
      <c r="C901" t="s">
        <v>5980</v>
      </c>
      <c r="D901" t="s">
        <v>17</v>
      </c>
      <c r="E901" t="s">
        <v>2</v>
      </c>
      <c r="F901" t="s">
        <v>50</v>
      </c>
      <c r="G901" t="s">
        <v>51</v>
      </c>
      <c r="H901" t="s">
        <v>5981</v>
      </c>
      <c r="I901" t="s">
        <v>52</v>
      </c>
      <c r="J901" t="s">
        <v>53</v>
      </c>
      <c r="K901" t="s">
        <v>54</v>
      </c>
      <c r="L901" t="s">
        <v>55</v>
      </c>
      <c r="O901" t="s">
        <v>56</v>
      </c>
      <c r="P901" t="s">
        <v>57</v>
      </c>
      <c r="Q901" t="s">
        <v>5982</v>
      </c>
      <c r="R901" t="s">
        <v>5983</v>
      </c>
      <c r="S901" t="s">
        <v>2895</v>
      </c>
      <c r="T901" t="s">
        <v>2896</v>
      </c>
      <c r="U901" t="s">
        <v>2897</v>
      </c>
    </row>
    <row r="902" spans="1:21" hidden="1">
      <c r="A902" t="s">
        <v>1913</v>
      </c>
      <c r="B902" t="s">
        <v>5964</v>
      </c>
      <c r="C902" t="s">
        <v>5984</v>
      </c>
      <c r="D902" t="s">
        <v>17</v>
      </c>
      <c r="E902" t="s">
        <v>2</v>
      </c>
      <c r="F902" t="s">
        <v>50</v>
      </c>
      <c r="G902" t="s">
        <v>51</v>
      </c>
      <c r="H902" t="s">
        <v>5985</v>
      </c>
      <c r="I902" t="s">
        <v>52</v>
      </c>
      <c r="J902" t="s">
        <v>60</v>
      </c>
      <c r="K902" t="s">
        <v>54</v>
      </c>
      <c r="L902" t="s">
        <v>55</v>
      </c>
      <c r="O902" t="s">
        <v>61</v>
      </c>
      <c r="P902" t="s">
        <v>62</v>
      </c>
      <c r="Q902" t="s">
        <v>5986</v>
      </c>
      <c r="R902" t="s">
        <v>5987</v>
      </c>
      <c r="S902" t="s">
        <v>2895</v>
      </c>
      <c r="T902" t="s">
        <v>2896</v>
      </c>
      <c r="U902" t="s">
        <v>2897</v>
      </c>
    </row>
    <row r="903" spans="1:21" hidden="1">
      <c r="A903" t="s">
        <v>1915</v>
      </c>
      <c r="B903" t="s">
        <v>5964</v>
      </c>
      <c r="C903" t="s">
        <v>5988</v>
      </c>
      <c r="D903" t="s">
        <v>17</v>
      </c>
      <c r="E903" t="s">
        <v>2</v>
      </c>
      <c r="F903" t="s">
        <v>50</v>
      </c>
      <c r="G903" t="s">
        <v>51</v>
      </c>
      <c r="H903" t="s">
        <v>5989</v>
      </c>
      <c r="I903" t="s">
        <v>52</v>
      </c>
      <c r="J903" t="s">
        <v>81</v>
      </c>
      <c r="K903" t="s">
        <v>54</v>
      </c>
      <c r="L903" t="s">
        <v>55</v>
      </c>
      <c r="O903" t="s">
        <v>82</v>
      </c>
      <c r="P903" t="s">
        <v>83</v>
      </c>
      <c r="Q903" t="s">
        <v>5990</v>
      </c>
      <c r="R903" t="s">
        <v>5991</v>
      </c>
      <c r="S903" t="s">
        <v>2895</v>
      </c>
      <c r="T903" t="s">
        <v>2896</v>
      </c>
      <c r="U903" t="s">
        <v>2897</v>
      </c>
    </row>
    <row r="904" spans="1:21" hidden="1">
      <c r="A904" t="s">
        <v>1917</v>
      </c>
      <c r="B904" t="s">
        <v>5992</v>
      </c>
      <c r="C904" t="s">
        <v>5993</v>
      </c>
      <c r="D904" t="s">
        <v>17</v>
      </c>
      <c r="E904" t="s">
        <v>2</v>
      </c>
      <c r="F904" t="s">
        <v>50</v>
      </c>
      <c r="G904" t="s">
        <v>100</v>
      </c>
      <c r="H904" t="s">
        <v>5994</v>
      </c>
      <c r="I904" t="s">
        <v>52</v>
      </c>
      <c r="J904" t="s">
        <v>114</v>
      </c>
      <c r="K904" t="s">
        <v>54</v>
      </c>
      <c r="L904" t="s">
        <v>102</v>
      </c>
      <c r="O904" t="s">
        <v>103</v>
      </c>
      <c r="P904" t="s">
        <v>104</v>
      </c>
      <c r="Q904" t="s">
        <v>5995</v>
      </c>
      <c r="R904" t="s">
        <v>5996</v>
      </c>
      <c r="S904" t="s">
        <v>2895</v>
      </c>
      <c r="T904" t="s">
        <v>2896</v>
      </c>
      <c r="U904" t="s">
        <v>2897</v>
      </c>
    </row>
    <row r="905" spans="1:21" hidden="1">
      <c r="A905" t="s">
        <v>1919</v>
      </c>
      <c r="B905" t="s">
        <v>5992</v>
      </c>
      <c r="C905" t="s">
        <v>5997</v>
      </c>
      <c r="D905" t="s">
        <v>17</v>
      </c>
      <c r="E905" t="s">
        <v>2</v>
      </c>
      <c r="F905" t="s">
        <v>50</v>
      </c>
      <c r="G905" t="s">
        <v>51</v>
      </c>
      <c r="H905" t="s">
        <v>5998</v>
      </c>
      <c r="I905" t="s">
        <v>52</v>
      </c>
      <c r="J905" t="s">
        <v>196</v>
      </c>
      <c r="K905" t="s">
        <v>54</v>
      </c>
      <c r="L905" t="s">
        <v>55</v>
      </c>
      <c r="O905" t="s">
        <v>197</v>
      </c>
      <c r="P905" t="s">
        <v>198</v>
      </c>
      <c r="Q905" t="s">
        <v>5999</v>
      </c>
      <c r="R905" t="s">
        <v>6000</v>
      </c>
      <c r="S905" t="s">
        <v>2895</v>
      </c>
      <c r="T905" t="s">
        <v>2896</v>
      </c>
      <c r="U905" t="s">
        <v>2897</v>
      </c>
    </row>
    <row r="906" spans="1:21" hidden="1">
      <c r="A906" t="s">
        <v>1921</v>
      </c>
      <c r="B906" t="s">
        <v>5992</v>
      </c>
      <c r="C906" t="s">
        <v>6001</v>
      </c>
      <c r="D906" t="s">
        <v>17</v>
      </c>
      <c r="E906" t="s">
        <v>2</v>
      </c>
      <c r="F906" t="s">
        <v>50</v>
      </c>
      <c r="G906" t="s">
        <v>51</v>
      </c>
      <c r="H906" t="s">
        <v>4288</v>
      </c>
      <c r="I906" t="s">
        <v>52</v>
      </c>
      <c r="J906" t="s">
        <v>60</v>
      </c>
      <c r="K906" t="s">
        <v>54</v>
      </c>
      <c r="L906" t="s">
        <v>55</v>
      </c>
      <c r="O906" t="s">
        <v>61</v>
      </c>
      <c r="P906" t="s">
        <v>62</v>
      </c>
      <c r="Q906" t="s">
        <v>6002</v>
      </c>
      <c r="R906" t="s">
        <v>4290</v>
      </c>
      <c r="S906" t="s">
        <v>2895</v>
      </c>
      <c r="T906" t="s">
        <v>2896</v>
      </c>
      <c r="U906" t="s">
        <v>2897</v>
      </c>
    </row>
    <row r="907" spans="1:21" hidden="1">
      <c r="A907" t="s">
        <v>1923</v>
      </c>
      <c r="B907" t="s">
        <v>5992</v>
      </c>
      <c r="C907" t="s">
        <v>3613</v>
      </c>
      <c r="D907" t="s">
        <v>17</v>
      </c>
      <c r="E907" t="s">
        <v>2</v>
      </c>
      <c r="F907" t="s">
        <v>50</v>
      </c>
      <c r="G907" t="s">
        <v>88</v>
      </c>
      <c r="H907" t="s">
        <v>5186</v>
      </c>
      <c r="I907" t="s">
        <v>52</v>
      </c>
      <c r="J907" t="s">
        <v>89</v>
      </c>
      <c r="K907" t="s">
        <v>54</v>
      </c>
      <c r="L907" t="s">
        <v>90</v>
      </c>
      <c r="M907" t="s">
        <v>91</v>
      </c>
      <c r="N907" t="s">
        <v>12</v>
      </c>
      <c r="O907" t="s">
        <v>92</v>
      </c>
      <c r="P907" t="s">
        <v>93</v>
      </c>
      <c r="Q907" t="s">
        <v>6003</v>
      </c>
      <c r="R907" t="s">
        <v>5188</v>
      </c>
      <c r="S907" t="s">
        <v>2895</v>
      </c>
      <c r="T907" t="s">
        <v>2896</v>
      </c>
      <c r="U907" t="s">
        <v>2897</v>
      </c>
    </row>
    <row r="908" spans="1:21" hidden="1">
      <c r="A908" t="s">
        <v>1925</v>
      </c>
      <c r="B908" t="s">
        <v>5992</v>
      </c>
      <c r="C908" t="s">
        <v>5705</v>
      </c>
      <c r="D908" t="s">
        <v>17</v>
      </c>
      <c r="E908" t="s">
        <v>2</v>
      </c>
      <c r="F908" t="s">
        <v>50</v>
      </c>
      <c r="G908" t="s">
        <v>72</v>
      </c>
      <c r="H908" t="s">
        <v>6004</v>
      </c>
      <c r="I908" t="s">
        <v>52</v>
      </c>
      <c r="J908" t="s">
        <v>606</v>
      </c>
      <c r="K908" t="s">
        <v>54</v>
      </c>
      <c r="L908" t="s">
        <v>74</v>
      </c>
      <c r="O908" t="s">
        <v>75</v>
      </c>
      <c r="P908" t="s">
        <v>76</v>
      </c>
      <c r="Q908" t="s">
        <v>6005</v>
      </c>
      <c r="R908" t="s">
        <v>6006</v>
      </c>
      <c r="S908" t="s">
        <v>2895</v>
      </c>
      <c r="T908" t="s">
        <v>2896</v>
      </c>
      <c r="U908" t="s">
        <v>2897</v>
      </c>
    </row>
    <row r="909" spans="1:21" hidden="1">
      <c r="A909" t="s">
        <v>1927</v>
      </c>
      <c r="B909" t="s">
        <v>5992</v>
      </c>
      <c r="C909" t="s">
        <v>3278</v>
      </c>
      <c r="D909" t="s">
        <v>17</v>
      </c>
      <c r="E909" t="s">
        <v>2</v>
      </c>
      <c r="F909" t="s">
        <v>50</v>
      </c>
      <c r="G909" t="s">
        <v>51</v>
      </c>
      <c r="H909" t="s">
        <v>6007</v>
      </c>
      <c r="I909" t="s">
        <v>52</v>
      </c>
      <c r="J909" t="s">
        <v>81</v>
      </c>
      <c r="K909" t="s">
        <v>54</v>
      </c>
      <c r="L909" t="s">
        <v>55</v>
      </c>
      <c r="O909" t="s">
        <v>82</v>
      </c>
      <c r="P909" t="s">
        <v>83</v>
      </c>
      <c r="Q909" t="s">
        <v>6008</v>
      </c>
      <c r="R909" t="s">
        <v>6009</v>
      </c>
      <c r="S909" t="s">
        <v>2895</v>
      </c>
      <c r="T909" t="s">
        <v>2896</v>
      </c>
      <c r="U909" t="s">
        <v>2897</v>
      </c>
    </row>
    <row r="910" spans="1:21" hidden="1">
      <c r="A910" t="s">
        <v>1929</v>
      </c>
      <c r="B910" t="s">
        <v>5992</v>
      </c>
      <c r="C910" t="s">
        <v>6010</v>
      </c>
      <c r="D910" t="s">
        <v>17</v>
      </c>
      <c r="E910" t="s">
        <v>2</v>
      </c>
      <c r="F910" t="s">
        <v>50</v>
      </c>
      <c r="G910" t="s">
        <v>100</v>
      </c>
      <c r="H910" t="s">
        <v>2969</v>
      </c>
      <c r="I910" t="s">
        <v>52</v>
      </c>
      <c r="J910" t="s">
        <v>101</v>
      </c>
      <c r="K910" t="s">
        <v>54</v>
      </c>
      <c r="L910" t="s">
        <v>102</v>
      </c>
      <c r="O910" t="s">
        <v>103</v>
      </c>
      <c r="P910" t="s">
        <v>104</v>
      </c>
      <c r="Q910" t="s">
        <v>6011</v>
      </c>
      <c r="R910" t="s">
        <v>2971</v>
      </c>
      <c r="S910" t="s">
        <v>2895</v>
      </c>
      <c r="T910" t="s">
        <v>2896</v>
      </c>
      <c r="U910" t="s">
        <v>2897</v>
      </c>
    </row>
    <row r="911" spans="1:21" hidden="1">
      <c r="A911" t="s">
        <v>1931</v>
      </c>
      <c r="B911" t="s">
        <v>6012</v>
      </c>
      <c r="C911" t="s">
        <v>5762</v>
      </c>
      <c r="D911" t="s">
        <v>17</v>
      </c>
      <c r="E911" t="s">
        <v>2</v>
      </c>
      <c r="F911" t="s">
        <v>50</v>
      </c>
      <c r="G911" t="s">
        <v>51</v>
      </c>
      <c r="H911" t="s">
        <v>6013</v>
      </c>
      <c r="I911" t="s">
        <v>52</v>
      </c>
      <c r="J911" t="s">
        <v>65</v>
      </c>
      <c r="K911" t="s">
        <v>54</v>
      </c>
      <c r="L911" t="s">
        <v>55</v>
      </c>
      <c r="O911" t="s">
        <v>66</v>
      </c>
      <c r="P911" t="s">
        <v>67</v>
      </c>
      <c r="Q911" t="s">
        <v>6014</v>
      </c>
      <c r="R911" t="s">
        <v>6015</v>
      </c>
      <c r="S911" t="s">
        <v>2895</v>
      </c>
      <c r="T911" t="s">
        <v>2896</v>
      </c>
      <c r="U911" t="s">
        <v>2897</v>
      </c>
    </row>
    <row r="912" spans="1:21" hidden="1">
      <c r="A912" t="s">
        <v>1933</v>
      </c>
      <c r="B912" t="s">
        <v>6012</v>
      </c>
      <c r="C912" t="s">
        <v>4191</v>
      </c>
      <c r="D912" t="s">
        <v>17</v>
      </c>
      <c r="E912" t="s">
        <v>2</v>
      </c>
      <c r="F912" t="s">
        <v>50</v>
      </c>
      <c r="G912" t="s">
        <v>51</v>
      </c>
      <c r="H912" t="s">
        <v>6016</v>
      </c>
      <c r="I912" t="s">
        <v>52</v>
      </c>
      <c r="J912" t="s">
        <v>196</v>
      </c>
      <c r="K912" t="s">
        <v>54</v>
      </c>
      <c r="L912" t="s">
        <v>55</v>
      </c>
      <c r="O912" t="s">
        <v>197</v>
      </c>
      <c r="P912" t="s">
        <v>198</v>
      </c>
      <c r="Q912" t="s">
        <v>6017</v>
      </c>
      <c r="R912" t="s">
        <v>6018</v>
      </c>
      <c r="S912" t="s">
        <v>2895</v>
      </c>
      <c r="T912" t="s">
        <v>2896</v>
      </c>
      <c r="U912" t="s">
        <v>2897</v>
      </c>
    </row>
    <row r="913" spans="1:21" hidden="1">
      <c r="A913" t="s">
        <v>1935</v>
      </c>
      <c r="B913" t="s">
        <v>6012</v>
      </c>
      <c r="C913" t="s">
        <v>6019</v>
      </c>
      <c r="D913" t="s">
        <v>17</v>
      </c>
      <c r="E913" t="s">
        <v>2</v>
      </c>
      <c r="F913" t="s">
        <v>50</v>
      </c>
      <c r="G913" t="s">
        <v>51</v>
      </c>
      <c r="H913" t="s">
        <v>6020</v>
      </c>
      <c r="I913" t="s">
        <v>52</v>
      </c>
      <c r="J913" t="s">
        <v>53</v>
      </c>
      <c r="K913" t="s">
        <v>54</v>
      </c>
      <c r="L913" t="s">
        <v>55</v>
      </c>
      <c r="O913" t="s">
        <v>56</v>
      </c>
      <c r="P913" t="s">
        <v>57</v>
      </c>
      <c r="Q913" t="s">
        <v>6021</v>
      </c>
      <c r="R913" t="s">
        <v>6022</v>
      </c>
      <c r="S913" t="s">
        <v>2895</v>
      </c>
      <c r="T913" t="s">
        <v>2896</v>
      </c>
      <c r="U913" t="s">
        <v>2897</v>
      </c>
    </row>
    <row r="914" spans="1:21" hidden="1">
      <c r="A914" t="s">
        <v>1937</v>
      </c>
      <c r="B914" t="s">
        <v>6012</v>
      </c>
      <c r="C914" t="s">
        <v>6023</v>
      </c>
      <c r="D914" t="s">
        <v>17</v>
      </c>
      <c r="E914" t="s">
        <v>2</v>
      </c>
      <c r="F914" t="s">
        <v>50</v>
      </c>
      <c r="G914" t="s">
        <v>51</v>
      </c>
      <c r="H914" t="s">
        <v>6024</v>
      </c>
      <c r="I914" t="s">
        <v>52</v>
      </c>
      <c r="J914" t="s">
        <v>53</v>
      </c>
      <c r="K914" t="s">
        <v>54</v>
      </c>
      <c r="L914" t="s">
        <v>55</v>
      </c>
      <c r="O914" t="s">
        <v>56</v>
      </c>
      <c r="P914" t="s">
        <v>57</v>
      </c>
      <c r="Q914" t="s">
        <v>6025</v>
      </c>
      <c r="R914" t="s">
        <v>6026</v>
      </c>
      <c r="S914" t="s">
        <v>2895</v>
      </c>
      <c r="T914" t="s">
        <v>2896</v>
      </c>
      <c r="U914" t="s">
        <v>2897</v>
      </c>
    </row>
    <row r="915" spans="1:21" hidden="1">
      <c r="A915" t="s">
        <v>1939</v>
      </c>
      <c r="B915" t="s">
        <v>6012</v>
      </c>
      <c r="C915" t="s">
        <v>6027</v>
      </c>
      <c r="D915" t="s">
        <v>17</v>
      </c>
      <c r="E915" t="s">
        <v>2</v>
      </c>
      <c r="F915" t="s">
        <v>50</v>
      </c>
      <c r="G915" t="s">
        <v>51</v>
      </c>
      <c r="H915" t="s">
        <v>6028</v>
      </c>
      <c r="I915" t="s">
        <v>52</v>
      </c>
      <c r="J915" t="s">
        <v>60</v>
      </c>
      <c r="K915" t="s">
        <v>54</v>
      </c>
      <c r="L915" t="s">
        <v>55</v>
      </c>
      <c r="O915" t="s">
        <v>61</v>
      </c>
      <c r="P915" t="s">
        <v>62</v>
      </c>
      <c r="Q915" t="s">
        <v>6029</v>
      </c>
      <c r="R915" t="s">
        <v>6030</v>
      </c>
      <c r="S915" t="s">
        <v>2895</v>
      </c>
      <c r="T915" t="s">
        <v>2896</v>
      </c>
      <c r="U915" t="s">
        <v>2897</v>
      </c>
    </row>
    <row r="916" spans="1:21" hidden="1">
      <c r="A916" t="s">
        <v>1941</v>
      </c>
      <c r="B916" t="s">
        <v>6012</v>
      </c>
      <c r="C916" t="s">
        <v>2991</v>
      </c>
      <c r="D916" t="s">
        <v>17</v>
      </c>
      <c r="E916" t="s">
        <v>2</v>
      </c>
      <c r="F916" t="s">
        <v>50</v>
      </c>
      <c r="G916" t="s">
        <v>51</v>
      </c>
      <c r="H916" t="s">
        <v>4165</v>
      </c>
      <c r="I916" t="s">
        <v>52</v>
      </c>
      <c r="J916" t="s">
        <v>121</v>
      </c>
      <c r="K916" t="s">
        <v>54</v>
      </c>
      <c r="L916" t="s">
        <v>55</v>
      </c>
      <c r="O916" t="s">
        <v>122</v>
      </c>
      <c r="P916" t="s">
        <v>123</v>
      </c>
      <c r="Q916" t="s">
        <v>6031</v>
      </c>
      <c r="R916" t="s">
        <v>4167</v>
      </c>
      <c r="S916" t="s">
        <v>2895</v>
      </c>
      <c r="T916" t="s">
        <v>2896</v>
      </c>
      <c r="U916" t="s">
        <v>2897</v>
      </c>
    </row>
    <row r="917" spans="1:21" hidden="1">
      <c r="A917" t="s">
        <v>1943</v>
      </c>
      <c r="B917" t="s">
        <v>6012</v>
      </c>
      <c r="C917" t="s">
        <v>4946</v>
      </c>
      <c r="D917" t="s">
        <v>17</v>
      </c>
      <c r="E917" t="s">
        <v>2</v>
      </c>
      <c r="F917" t="s">
        <v>50</v>
      </c>
      <c r="G917" t="s">
        <v>72</v>
      </c>
      <c r="H917" t="s">
        <v>6032</v>
      </c>
      <c r="I917" t="s">
        <v>52</v>
      </c>
      <c r="J917" t="s">
        <v>73</v>
      </c>
      <c r="K917" t="s">
        <v>54</v>
      </c>
      <c r="L917" t="s">
        <v>74</v>
      </c>
      <c r="O917" t="s">
        <v>75</v>
      </c>
      <c r="P917" t="s">
        <v>76</v>
      </c>
      <c r="Q917" t="s">
        <v>6033</v>
      </c>
      <c r="R917" t="s">
        <v>6034</v>
      </c>
      <c r="S917" t="s">
        <v>2895</v>
      </c>
      <c r="T917" t="s">
        <v>2896</v>
      </c>
      <c r="U917" t="s">
        <v>2897</v>
      </c>
    </row>
    <row r="918" spans="1:21" hidden="1">
      <c r="A918" t="s">
        <v>1945</v>
      </c>
      <c r="B918" t="s">
        <v>6012</v>
      </c>
      <c r="C918" t="s">
        <v>6035</v>
      </c>
      <c r="D918" t="s">
        <v>17</v>
      </c>
      <c r="E918" t="s">
        <v>2</v>
      </c>
      <c r="F918" t="s">
        <v>50</v>
      </c>
      <c r="G918" t="s">
        <v>51</v>
      </c>
      <c r="H918" t="s">
        <v>6036</v>
      </c>
      <c r="I918" t="s">
        <v>52</v>
      </c>
      <c r="J918" t="s">
        <v>81</v>
      </c>
      <c r="K918" t="s">
        <v>54</v>
      </c>
      <c r="L918" t="s">
        <v>55</v>
      </c>
      <c r="O918" t="s">
        <v>82</v>
      </c>
      <c r="P918" t="s">
        <v>83</v>
      </c>
      <c r="Q918" t="s">
        <v>6037</v>
      </c>
      <c r="R918" t="s">
        <v>6038</v>
      </c>
      <c r="S918" t="s">
        <v>2895</v>
      </c>
      <c r="T918" t="s">
        <v>2896</v>
      </c>
      <c r="U918" t="s">
        <v>2897</v>
      </c>
    </row>
    <row r="919" spans="1:21" hidden="1">
      <c r="A919" t="s">
        <v>1947</v>
      </c>
      <c r="B919" t="s">
        <v>6012</v>
      </c>
      <c r="C919" t="s">
        <v>3468</v>
      </c>
      <c r="D919" t="s">
        <v>17</v>
      </c>
      <c r="E919" t="s">
        <v>2</v>
      </c>
      <c r="F919" t="s">
        <v>50</v>
      </c>
      <c r="G919" t="s">
        <v>100</v>
      </c>
      <c r="H919" t="s">
        <v>6039</v>
      </c>
      <c r="I919" t="s">
        <v>52</v>
      </c>
      <c r="J919" t="s">
        <v>114</v>
      </c>
      <c r="K919" t="s">
        <v>54</v>
      </c>
      <c r="L919" t="s">
        <v>102</v>
      </c>
      <c r="O919" t="s">
        <v>103</v>
      </c>
      <c r="P919" t="s">
        <v>104</v>
      </c>
      <c r="Q919" t="s">
        <v>6040</v>
      </c>
      <c r="R919" t="s">
        <v>6041</v>
      </c>
      <c r="S919" t="s">
        <v>2895</v>
      </c>
      <c r="T919" t="s">
        <v>2896</v>
      </c>
      <c r="U919" t="s">
        <v>2897</v>
      </c>
    </row>
    <row r="920" spans="1:21" hidden="1">
      <c r="A920" t="s">
        <v>1949</v>
      </c>
      <c r="B920" t="s">
        <v>6042</v>
      </c>
      <c r="C920" t="s">
        <v>3591</v>
      </c>
      <c r="D920" t="s">
        <v>17</v>
      </c>
      <c r="E920" t="s">
        <v>2</v>
      </c>
      <c r="F920" t="s">
        <v>50</v>
      </c>
      <c r="G920" t="s">
        <v>51</v>
      </c>
      <c r="H920" t="s">
        <v>6043</v>
      </c>
      <c r="I920" t="s">
        <v>52</v>
      </c>
      <c r="J920" t="s">
        <v>121</v>
      </c>
      <c r="K920" t="s">
        <v>54</v>
      </c>
      <c r="L920" t="s">
        <v>55</v>
      </c>
      <c r="O920" t="s">
        <v>122</v>
      </c>
      <c r="P920" t="s">
        <v>123</v>
      </c>
      <c r="Q920" t="s">
        <v>6044</v>
      </c>
      <c r="R920" t="s">
        <v>6045</v>
      </c>
      <c r="S920" t="s">
        <v>2895</v>
      </c>
      <c r="T920" t="s">
        <v>2896</v>
      </c>
      <c r="U920" t="s">
        <v>2897</v>
      </c>
    </row>
    <row r="921" spans="1:21" hidden="1">
      <c r="A921" t="s">
        <v>1951</v>
      </c>
      <c r="B921" t="s">
        <v>6042</v>
      </c>
      <c r="C921" t="s">
        <v>3069</v>
      </c>
      <c r="D921" t="s">
        <v>17</v>
      </c>
      <c r="E921" t="s">
        <v>2</v>
      </c>
      <c r="F921" t="s">
        <v>50</v>
      </c>
      <c r="G921" t="s">
        <v>100</v>
      </c>
      <c r="H921" t="s">
        <v>2969</v>
      </c>
      <c r="I921" t="s">
        <v>52</v>
      </c>
      <c r="J921" t="s">
        <v>101</v>
      </c>
      <c r="K921" t="s">
        <v>54</v>
      </c>
      <c r="L921" t="s">
        <v>102</v>
      </c>
      <c r="O921" t="s">
        <v>103</v>
      </c>
      <c r="P921" t="s">
        <v>104</v>
      </c>
      <c r="Q921" t="s">
        <v>6046</v>
      </c>
      <c r="R921" t="s">
        <v>2971</v>
      </c>
      <c r="S921" t="s">
        <v>2895</v>
      </c>
      <c r="T921" t="s">
        <v>2896</v>
      </c>
      <c r="U921" t="s">
        <v>2897</v>
      </c>
    </row>
    <row r="922" spans="1:21" hidden="1">
      <c r="A922" t="s">
        <v>1953</v>
      </c>
      <c r="B922" t="s">
        <v>6042</v>
      </c>
      <c r="C922" t="s">
        <v>5796</v>
      </c>
      <c r="D922" t="s">
        <v>17</v>
      </c>
      <c r="E922" t="s">
        <v>2</v>
      </c>
      <c r="F922" t="s">
        <v>50</v>
      </c>
      <c r="G922" t="s">
        <v>51</v>
      </c>
      <c r="H922" t="s">
        <v>6047</v>
      </c>
      <c r="I922" t="s">
        <v>52</v>
      </c>
      <c r="J922" t="s">
        <v>126</v>
      </c>
      <c r="K922" t="s">
        <v>54</v>
      </c>
      <c r="L922" t="s">
        <v>55</v>
      </c>
      <c r="O922" t="s">
        <v>56</v>
      </c>
      <c r="P922" t="s">
        <v>57</v>
      </c>
      <c r="Q922" t="s">
        <v>6048</v>
      </c>
      <c r="R922" t="s">
        <v>6049</v>
      </c>
      <c r="S922" t="s">
        <v>2895</v>
      </c>
      <c r="T922" t="s">
        <v>2896</v>
      </c>
      <c r="U922" t="s">
        <v>2897</v>
      </c>
    </row>
    <row r="923" spans="1:21" hidden="1">
      <c r="A923" t="s">
        <v>1955</v>
      </c>
      <c r="B923" t="s">
        <v>6042</v>
      </c>
      <c r="C923" t="s">
        <v>6050</v>
      </c>
      <c r="D923" t="s">
        <v>17</v>
      </c>
      <c r="E923" t="s">
        <v>2</v>
      </c>
      <c r="F923" t="s">
        <v>50</v>
      </c>
      <c r="G923" t="s">
        <v>51</v>
      </c>
      <c r="H923" t="s">
        <v>6051</v>
      </c>
      <c r="I923" t="s">
        <v>52</v>
      </c>
      <c r="J923" t="s">
        <v>126</v>
      </c>
      <c r="K923" t="s">
        <v>54</v>
      </c>
      <c r="L923" t="s">
        <v>55</v>
      </c>
      <c r="O923" t="s">
        <v>56</v>
      </c>
      <c r="P923" t="s">
        <v>57</v>
      </c>
      <c r="Q923" t="s">
        <v>6052</v>
      </c>
      <c r="R923" t="s">
        <v>6053</v>
      </c>
      <c r="S923" t="s">
        <v>2895</v>
      </c>
      <c r="T923" t="s">
        <v>2896</v>
      </c>
      <c r="U923" t="s">
        <v>2897</v>
      </c>
    </row>
    <row r="924" spans="1:21" hidden="1">
      <c r="A924" t="s">
        <v>1957</v>
      </c>
      <c r="B924" t="s">
        <v>6042</v>
      </c>
      <c r="C924" t="s">
        <v>6054</v>
      </c>
      <c r="D924" t="s">
        <v>17</v>
      </c>
      <c r="E924" t="s">
        <v>2</v>
      </c>
      <c r="F924" t="s">
        <v>50</v>
      </c>
      <c r="G924" t="s">
        <v>100</v>
      </c>
      <c r="H924" t="s">
        <v>2969</v>
      </c>
      <c r="I924" t="s">
        <v>52</v>
      </c>
      <c r="J924" t="s">
        <v>101</v>
      </c>
      <c r="K924" t="s">
        <v>54</v>
      </c>
      <c r="L924" t="s">
        <v>102</v>
      </c>
      <c r="O924" t="s">
        <v>103</v>
      </c>
      <c r="P924" t="s">
        <v>104</v>
      </c>
      <c r="Q924" t="s">
        <v>6055</v>
      </c>
      <c r="R924" t="s">
        <v>2971</v>
      </c>
      <c r="S924" t="s">
        <v>2895</v>
      </c>
      <c r="T924" t="s">
        <v>2896</v>
      </c>
      <c r="U924" t="s">
        <v>2897</v>
      </c>
    </row>
    <row r="925" spans="1:21" hidden="1">
      <c r="A925" t="s">
        <v>1959</v>
      </c>
      <c r="B925" t="s">
        <v>6042</v>
      </c>
      <c r="C925" t="s">
        <v>4757</v>
      </c>
      <c r="D925" t="s">
        <v>17</v>
      </c>
      <c r="E925" t="s">
        <v>2</v>
      </c>
      <c r="F925" t="s">
        <v>50</v>
      </c>
      <c r="G925" t="s">
        <v>100</v>
      </c>
      <c r="H925" t="s">
        <v>6056</v>
      </c>
      <c r="I925" t="s">
        <v>52</v>
      </c>
      <c r="J925" t="s">
        <v>177</v>
      </c>
      <c r="K925" t="s">
        <v>54</v>
      </c>
      <c r="L925" t="s">
        <v>102</v>
      </c>
      <c r="O925" t="s">
        <v>178</v>
      </c>
      <c r="P925" t="s">
        <v>179</v>
      </c>
      <c r="Q925" t="s">
        <v>6057</v>
      </c>
      <c r="R925" t="s">
        <v>6058</v>
      </c>
      <c r="S925" t="s">
        <v>2895</v>
      </c>
      <c r="T925" t="s">
        <v>2896</v>
      </c>
      <c r="U925" t="s">
        <v>2897</v>
      </c>
    </row>
    <row r="926" spans="1:21" hidden="1">
      <c r="A926" t="s">
        <v>1961</v>
      </c>
      <c r="B926" t="s">
        <v>6042</v>
      </c>
      <c r="C926" t="s">
        <v>3365</v>
      </c>
      <c r="D926" t="s">
        <v>17</v>
      </c>
      <c r="E926" t="s">
        <v>2</v>
      </c>
      <c r="F926" t="s">
        <v>50</v>
      </c>
      <c r="G926" t="s">
        <v>72</v>
      </c>
      <c r="H926" t="s">
        <v>6059</v>
      </c>
      <c r="I926" t="s">
        <v>52</v>
      </c>
      <c r="J926" t="s">
        <v>638</v>
      </c>
      <c r="K926" t="s">
        <v>54</v>
      </c>
      <c r="L926" t="s">
        <v>74</v>
      </c>
      <c r="O926" t="s">
        <v>75</v>
      </c>
      <c r="P926" t="s">
        <v>76</v>
      </c>
      <c r="Q926" t="s">
        <v>6060</v>
      </c>
      <c r="R926" t="s">
        <v>6061</v>
      </c>
      <c r="S926" t="s">
        <v>2895</v>
      </c>
      <c r="T926" t="s">
        <v>2896</v>
      </c>
      <c r="U926" t="s">
        <v>2897</v>
      </c>
    </row>
    <row r="927" spans="1:21" hidden="1">
      <c r="A927" t="s">
        <v>1963</v>
      </c>
      <c r="B927" t="s">
        <v>6062</v>
      </c>
      <c r="C927" t="s">
        <v>6063</v>
      </c>
      <c r="D927" t="s">
        <v>17</v>
      </c>
      <c r="E927" t="s">
        <v>2</v>
      </c>
      <c r="F927" t="s">
        <v>50</v>
      </c>
      <c r="G927" t="s">
        <v>72</v>
      </c>
      <c r="H927" t="s">
        <v>6064</v>
      </c>
      <c r="I927" t="s">
        <v>52</v>
      </c>
      <c r="J927" t="s">
        <v>316</v>
      </c>
      <c r="K927" t="s">
        <v>54</v>
      </c>
      <c r="L927" t="s">
        <v>74</v>
      </c>
      <c r="O927" t="s">
        <v>75</v>
      </c>
      <c r="P927" t="s">
        <v>76</v>
      </c>
      <c r="Q927" t="s">
        <v>6065</v>
      </c>
      <c r="R927" t="s">
        <v>6066</v>
      </c>
      <c r="S927" t="s">
        <v>2895</v>
      </c>
      <c r="T927" t="s">
        <v>2896</v>
      </c>
      <c r="U927" t="s">
        <v>2897</v>
      </c>
    </row>
    <row r="928" spans="1:21" hidden="1">
      <c r="A928" t="s">
        <v>1965</v>
      </c>
      <c r="B928" t="s">
        <v>6062</v>
      </c>
      <c r="C928" t="s">
        <v>5090</v>
      </c>
      <c r="D928" t="s">
        <v>17</v>
      </c>
      <c r="E928" t="s">
        <v>2</v>
      </c>
      <c r="F928" t="s">
        <v>50</v>
      </c>
      <c r="G928" t="s">
        <v>51</v>
      </c>
      <c r="H928" t="s">
        <v>4828</v>
      </c>
      <c r="I928" t="s">
        <v>52</v>
      </c>
      <c r="J928" t="s">
        <v>121</v>
      </c>
      <c r="K928" t="s">
        <v>54</v>
      </c>
      <c r="L928" t="s">
        <v>55</v>
      </c>
      <c r="O928" t="s">
        <v>122</v>
      </c>
      <c r="P928" t="s">
        <v>123</v>
      </c>
      <c r="Q928" t="s">
        <v>6067</v>
      </c>
      <c r="R928" t="s">
        <v>4830</v>
      </c>
      <c r="S928" t="s">
        <v>2895</v>
      </c>
      <c r="T928" t="s">
        <v>2896</v>
      </c>
      <c r="U928" t="s">
        <v>2897</v>
      </c>
    </row>
    <row r="929" spans="1:24">
      <c r="A929" t="s">
        <v>1967</v>
      </c>
      <c r="B929" t="s">
        <v>6062</v>
      </c>
      <c r="C929" t="s">
        <v>6068</v>
      </c>
      <c r="D929" t="s">
        <v>17</v>
      </c>
      <c r="E929" t="s">
        <v>2</v>
      </c>
      <c r="F929" t="s">
        <v>149</v>
      </c>
      <c r="G929" t="s">
        <v>1969</v>
      </c>
      <c r="H929" t="s">
        <v>6069</v>
      </c>
      <c r="I929" t="s">
        <v>52</v>
      </c>
      <c r="J929" t="s">
        <v>1969</v>
      </c>
      <c r="K929" t="s">
        <v>54</v>
      </c>
      <c r="L929" t="s">
        <v>1970</v>
      </c>
      <c r="M929" t="s">
        <v>91</v>
      </c>
      <c r="N929" t="s">
        <v>12</v>
      </c>
      <c r="O929" t="s">
        <v>92</v>
      </c>
      <c r="P929" t="s">
        <v>1971</v>
      </c>
      <c r="Q929" t="s">
        <v>6070</v>
      </c>
      <c r="R929" t="s">
        <v>6069</v>
      </c>
      <c r="S929" t="s">
        <v>2895</v>
      </c>
      <c r="T929" t="s">
        <v>92</v>
      </c>
      <c r="U929" t="s">
        <v>2899</v>
      </c>
      <c r="V929" t="s">
        <v>2920</v>
      </c>
      <c r="W929" t="s">
        <v>2920</v>
      </c>
      <c r="X929" s="25" t="s">
        <v>2920</v>
      </c>
    </row>
    <row r="930" spans="1:24" ht="41.4" hidden="1">
      <c r="A930" t="s">
        <v>1972</v>
      </c>
      <c r="B930" t="s">
        <v>6062</v>
      </c>
      <c r="C930" t="s">
        <v>5350</v>
      </c>
      <c r="D930" t="s">
        <v>17</v>
      </c>
      <c r="E930" t="s">
        <v>2</v>
      </c>
      <c r="F930" t="s">
        <v>50</v>
      </c>
      <c r="G930" t="s">
        <v>51</v>
      </c>
      <c r="H930" t="s">
        <v>6071</v>
      </c>
      <c r="I930" t="s">
        <v>52</v>
      </c>
      <c r="J930" t="s">
        <v>53</v>
      </c>
      <c r="K930" t="s">
        <v>54</v>
      </c>
      <c r="L930" t="s">
        <v>55</v>
      </c>
      <c r="O930" t="s">
        <v>56</v>
      </c>
      <c r="P930" t="s">
        <v>57</v>
      </c>
      <c r="Q930" t="s">
        <v>6072</v>
      </c>
      <c r="R930" t="s">
        <v>6073</v>
      </c>
      <c r="S930" t="s">
        <v>2895</v>
      </c>
      <c r="T930" t="s">
        <v>2896</v>
      </c>
      <c r="U930" t="s">
        <v>2897</v>
      </c>
      <c r="X930" s="26" t="s">
        <v>7387</v>
      </c>
    </row>
    <row r="931" spans="1:24" hidden="1">
      <c r="A931" t="s">
        <v>1974</v>
      </c>
      <c r="B931" t="s">
        <v>6062</v>
      </c>
      <c r="C931" t="s">
        <v>3692</v>
      </c>
      <c r="D931" t="s">
        <v>17</v>
      </c>
      <c r="E931" t="s">
        <v>2</v>
      </c>
      <c r="F931" t="s">
        <v>50</v>
      </c>
      <c r="G931" t="s">
        <v>51</v>
      </c>
      <c r="H931" t="s">
        <v>5564</v>
      </c>
      <c r="I931" t="s">
        <v>52</v>
      </c>
      <c r="J931" t="s">
        <v>121</v>
      </c>
      <c r="K931" t="s">
        <v>54</v>
      </c>
      <c r="L931" t="s">
        <v>55</v>
      </c>
      <c r="O931" t="s">
        <v>122</v>
      </c>
      <c r="P931" t="s">
        <v>123</v>
      </c>
      <c r="Q931" t="s">
        <v>6074</v>
      </c>
      <c r="R931" t="s">
        <v>5566</v>
      </c>
      <c r="S931" t="s">
        <v>2895</v>
      </c>
      <c r="T931" t="s">
        <v>2896</v>
      </c>
      <c r="U931" t="s">
        <v>2897</v>
      </c>
      <c r="X931" s="25" t="s">
        <v>2920</v>
      </c>
    </row>
    <row r="932" spans="1:24" hidden="1">
      <c r="A932" t="s">
        <v>1976</v>
      </c>
      <c r="B932" t="s">
        <v>6062</v>
      </c>
      <c r="C932" t="s">
        <v>3756</v>
      </c>
      <c r="D932" t="s">
        <v>17</v>
      </c>
      <c r="E932" t="s">
        <v>2</v>
      </c>
      <c r="F932" t="s">
        <v>50</v>
      </c>
      <c r="G932" t="s">
        <v>100</v>
      </c>
      <c r="H932" t="s">
        <v>6075</v>
      </c>
      <c r="I932" t="s">
        <v>52</v>
      </c>
      <c r="J932" t="s">
        <v>114</v>
      </c>
      <c r="K932" t="s">
        <v>54</v>
      </c>
      <c r="L932" t="s">
        <v>102</v>
      </c>
      <c r="O932" t="s">
        <v>103</v>
      </c>
      <c r="P932" t="s">
        <v>104</v>
      </c>
      <c r="Q932" t="s">
        <v>6076</v>
      </c>
      <c r="R932" t="s">
        <v>6077</v>
      </c>
      <c r="S932" t="s">
        <v>2895</v>
      </c>
      <c r="T932" t="s">
        <v>2896</v>
      </c>
      <c r="U932" t="s">
        <v>2897</v>
      </c>
      <c r="X932" s="25" t="s">
        <v>2920</v>
      </c>
    </row>
    <row r="933" spans="1:24" hidden="1">
      <c r="A933" t="s">
        <v>1978</v>
      </c>
      <c r="B933" t="s">
        <v>6062</v>
      </c>
      <c r="C933" t="s">
        <v>2939</v>
      </c>
      <c r="D933" t="s">
        <v>17</v>
      </c>
      <c r="E933" t="s">
        <v>2</v>
      </c>
      <c r="F933" t="s">
        <v>50</v>
      </c>
      <c r="G933" t="s">
        <v>51</v>
      </c>
      <c r="H933" t="s">
        <v>6078</v>
      </c>
      <c r="I933" t="s">
        <v>52</v>
      </c>
      <c r="J933" t="s">
        <v>65</v>
      </c>
      <c r="K933" t="s">
        <v>54</v>
      </c>
      <c r="L933" t="s">
        <v>55</v>
      </c>
      <c r="O933" t="s">
        <v>66</v>
      </c>
      <c r="P933" t="s">
        <v>67</v>
      </c>
      <c r="Q933" t="s">
        <v>6079</v>
      </c>
      <c r="R933" t="s">
        <v>6080</v>
      </c>
      <c r="S933" t="s">
        <v>2895</v>
      </c>
      <c r="T933" t="s">
        <v>2896</v>
      </c>
      <c r="U933" t="s">
        <v>2897</v>
      </c>
      <c r="X933" s="25" t="s">
        <v>2920</v>
      </c>
    </row>
    <row r="934" spans="1:24" hidden="1">
      <c r="A934" t="s">
        <v>1980</v>
      </c>
      <c r="B934" t="s">
        <v>6081</v>
      </c>
      <c r="C934" t="s">
        <v>3655</v>
      </c>
      <c r="D934" t="s">
        <v>17</v>
      </c>
      <c r="E934" t="s">
        <v>2</v>
      </c>
      <c r="F934" t="s">
        <v>50</v>
      </c>
      <c r="G934" t="s">
        <v>51</v>
      </c>
      <c r="H934" t="s">
        <v>6082</v>
      </c>
      <c r="I934" t="s">
        <v>52</v>
      </c>
      <c r="J934" t="s">
        <v>121</v>
      </c>
      <c r="K934" t="s">
        <v>54</v>
      </c>
      <c r="L934" t="s">
        <v>55</v>
      </c>
      <c r="O934" t="s">
        <v>122</v>
      </c>
      <c r="P934" t="s">
        <v>123</v>
      </c>
      <c r="Q934" t="s">
        <v>6083</v>
      </c>
      <c r="R934" t="s">
        <v>6084</v>
      </c>
      <c r="S934" t="s">
        <v>2895</v>
      </c>
      <c r="T934" t="s">
        <v>2896</v>
      </c>
      <c r="U934" t="s">
        <v>2897</v>
      </c>
      <c r="X934" s="25" t="s">
        <v>2920</v>
      </c>
    </row>
    <row r="935" spans="1:24" ht="41.4">
      <c r="A935" t="s">
        <v>1982</v>
      </c>
      <c r="B935" t="s">
        <v>6081</v>
      </c>
      <c r="C935" t="s">
        <v>4239</v>
      </c>
      <c r="D935" t="s">
        <v>17</v>
      </c>
      <c r="E935" t="s">
        <v>2</v>
      </c>
      <c r="F935" t="s">
        <v>50</v>
      </c>
      <c r="G935" t="s">
        <v>1816</v>
      </c>
      <c r="H935" t="s">
        <v>6085</v>
      </c>
      <c r="I935" t="s">
        <v>52</v>
      </c>
      <c r="J935" t="s">
        <v>1984</v>
      </c>
      <c r="K935" t="s">
        <v>1985</v>
      </c>
      <c r="L935" t="s">
        <v>1819</v>
      </c>
      <c r="O935" t="s">
        <v>1820</v>
      </c>
      <c r="P935" t="s">
        <v>1821</v>
      </c>
      <c r="Q935" t="s">
        <v>6086</v>
      </c>
      <c r="R935" t="s">
        <v>6087</v>
      </c>
      <c r="S935" t="s">
        <v>2895</v>
      </c>
      <c r="T935" t="s">
        <v>2896</v>
      </c>
      <c r="U935" t="s">
        <v>2899</v>
      </c>
      <c r="V935">
        <v>1</v>
      </c>
      <c r="W935" t="s">
        <v>1969</v>
      </c>
      <c r="X935" s="3" t="s">
        <v>7387</v>
      </c>
    </row>
    <row r="936" spans="1:24" hidden="1">
      <c r="A936" t="s">
        <v>1986</v>
      </c>
      <c r="B936" t="s">
        <v>6081</v>
      </c>
      <c r="C936" t="s">
        <v>5585</v>
      </c>
      <c r="D936" t="s">
        <v>17</v>
      </c>
      <c r="E936" t="s">
        <v>2</v>
      </c>
      <c r="F936" t="s">
        <v>50</v>
      </c>
      <c r="G936" t="s">
        <v>51</v>
      </c>
      <c r="H936" t="s">
        <v>6088</v>
      </c>
      <c r="I936" t="s">
        <v>52</v>
      </c>
      <c r="J936" t="s">
        <v>121</v>
      </c>
      <c r="K936" t="s">
        <v>54</v>
      </c>
      <c r="L936" t="s">
        <v>55</v>
      </c>
      <c r="O936" t="s">
        <v>122</v>
      </c>
      <c r="P936" t="s">
        <v>123</v>
      </c>
      <c r="Q936" t="s">
        <v>6089</v>
      </c>
      <c r="R936" t="s">
        <v>6090</v>
      </c>
      <c r="S936" t="s">
        <v>2895</v>
      </c>
      <c r="T936" t="s">
        <v>2896</v>
      </c>
      <c r="U936" t="s">
        <v>2897</v>
      </c>
      <c r="W936" t="s">
        <v>51</v>
      </c>
      <c r="X936" s="25" t="s">
        <v>2920</v>
      </c>
    </row>
    <row r="937" spans="1:24" hidden="1">
      <c r="A937" t="s">
        <v>1988</v>
      </c>
      <c r="B937" t="s">
        <v>6081</v>
      </c>
      <c r="C937" t="s">
        <v>3831</v>
      </c>
      <c r="D937" t="s">
        <v>17</v>
      </c>
      <c r="E937" t="s">
        <v>2</v>
      </c>
      <c r="F937" t="s">
        <v>50</v>
      </c>
      <c r="G937" t="s">
        <v>51</v>
      </c>
      <c r="H937" t="s">
        <v>4843</v>
      </c>
      <c r="I937" t="s">
        <v>52</v>
      </c>
      <c r="J937" t="s">
        <v>126</v>
      </c>
      <c r="K937" t="s">
        <v>54</v>
      </c>
      <c r="L937" t="s">
        <v>55</v>
      </c>
      <c r="O937" t="s">
        <v>56</v>
      </c>
      <c r="P937" t="s">
        <v>57</v>
      </c>
      <c r="Q937" t="s">
        <v>6091</v>
      </c>
      <c r="R937" t="s">
        <v>4845</v>
      </c>
      <c r="S937" t="s">
        <v>2895</v>
      </c>
      <c r="T937" t="s">
        <v>2896</v>
      </c>
      <c r="U937" t="s">
        <v>2897</v>
      </c>
      <c r="W937" t="s">
        <v>51</v>
      </c>
      <c r="X937" s="25" t="s">
        <v>2920</v>
      </c>
    </row>
    <row r="938" spans="1:24" ht="41.4" hidden="1">
      <c r="A938" t="s">
        <v>1990</v>
      </c>
      <c r="B938" t="s">
        <v>6081</v>
      </c>
      <c r="C938" t="s">
        <v>6092</v>
      </c>
      <c r="D938" t="s">
        <v>17</v>
      </c>
      <c r="E938" t="s">
        <v>2</v>
      </c>
      <c r="F938" t="s">
        <v>50</v>
      </c>
      <c r="G938" t="s">
        <v>88</v>
      </c>
      <c r="H938" t="s">
        <v>4084</v>
      </c>
      <c r="I938" t="s">
        <v>52</v>
      </c>
      <c r="J938" t="s">
        <v>89</v>
      </c>
      <c r="K938" t="s">
        <v>54</v>
      </c>
      <c r="L938" t="s">
        <v>90</v>
      </c>
      <c r="M938" t="s">
        <v>91</v>
      </c>
      <c r="N938" t="s">
        <v>12</v>
      </c>
      <c r="O938" t="s">
        <v>92</v>
      </c>
      <c r="P938" t="s">
        <v>93</v>
      </c>
      <c r="Q938" t="s">
        <v>6093</v>
      </c>
      <c r="R938" t="s">
        <v>4086</v>
      </c>
      <c r="S938" t="s">
        <v>2895</v>
      </c>
      <c r="T938" t="s">
        <v>2896</v>
      </c>
      <c r="U938" t="s">
        <v>2897</v>
      </c>
      <c r="W938" t="s">
        <v>100</v>
      </c>
      <c r="X938" s="26" t="s">
        <v>7387</v>
      </c>
    </row>
    <row r="939" spans="1:24" hidden="1">
      <c r="A939" t="s">
        <v>1992</v>
      </c>
      <c r="B939" t="s">
        <v>6081</v>
      </c>
      <c r="C939" t="s">
        <v>6094</v>
      </c>
      <c r="D939" t="s">
        <v>17</v>
      </c>
      <c r="E939" t="s">
        <v>2</v>
      </c>
      <c r="F939" t="s">
        <v>50</v>
      </c>
      <c r="G939" t="s">
        <v>100</v>
      </c>
      <c r="H939" t="s">
        <v>2969</v>
      </c>
      <c r="I939" t="s">
        <v>52</v>
      </c>
      <c r="J939" t="s">
        <v>101</v>
      </c>
      <c r="K939" t="s">
        <v>54</v>
      </c>
      <c r="L939" t="s">
        <v>102</v>
      </c>
      <c r="O939" t="s">
        <v>103</v>
      </c>
      <c r="P939" t="s">
        <v>104</v>
      </c>
      <c r="Q939" t="s">
        <v>6095</v>
      </c>
      <c r="R939" t="s">
        <v>2971</v>
      </c>
      <c r="S939" t="s">
        <v>2895</v>
      </c>
      <c r="T939" t="s">
        <v>2896</v>
      </c>
      <c r="U939" t="s">
        <v>2897</v>
      </c>
      <c r="W939" t="s">
        <v>51</v>
      </c>
    </row>
    <row r="940" spans="1:24" hidden="1">
      <c r="A940" t="s">
        <v>1994</v>
      </c>
      <c r="B940" t="s">
        <v>6081</v>
      </c>
      <c r="C940" t="s">
        <v>4630</v>
      </c>
      <c r="D940" t="s">
        <v>17</v>
      </c>
      <c r="E940" t="s">
        <v>2</v>
      </c>
      <c r="F940" t="s">
        <v>50</v>
      </c>
      <c r="G940" t="s">
        <v>51</v>
      </c>
      <c r="H940" t="s">
        <v>6096</v>
      </c>
      <c r="I940" t="s">
        <v>52</v>
      </c>
      <c r="J940" t="s">
        <v>196</v>
      </c>
      <c r="K940" t="s">
        <v>54</v>
      </c>
      <c r="L940" t="s">
        <v>55</v>
      </c>
      <c r="O940" t="s">
        <v>197</v>
      </c>
      <c r="P940" t="s">
        <v>198</v>
      </c>
      <c r="Q940" t="s">
        <v>6097</v>
      </c>
      <c r="R940" t="s">
        <v>6098</v>
      </c>
      <c r="S940" t="s">
        <v>2895</v>
      </c>
      <c r="T940" t="s">
        <v>2896</v>
      </c>
      <c r="U940" t="s">
        <v>2897</v>
      </c>
      <c r="W940" t="s">
        <v>51</v>
      </c>
    </row>
    <row r="941" spans="1:24" hidden="1">
      <c r="A941" t="s">
        <v>1996</v>
      </c>
      <c r="B941" t="s">
        <v>6081</v>
      </c>
      <c r="C941" t="s">
        <v>4087</v>
      </c>
      <c r="D941" t="s">
        <v>17</v>
      </c>
      <c r="E941" t="s">
        <v>2</v>
      </c>
      <c r="F941" t="s">
        <v>50</v>
      </c>
      <c r="G941" t="s">
        <v>51</v>
      </c>
      <c r="H941" t="s">
        <v>6099</v>
      </c>
      <c r="I941" t="s">
        <v>52</v>
      </c>
      <c r="J941" t="s">
        <v>126</v>
      </c>
      <c r="K941" t="s">
        <v>54</v>
      </c>
      <c r="L941" t="s">
        <v>55</v>
      </c>
      <c r="O941" t="s">
        <v>56</v>
      </c>
      <c r="P941" t="s">
        <v>57</v>
      </c>
      <c r="Q941" t="s">
        <v>6100</v>
      </c>
      <c r="R941" t="s">
        <v>6101</v>
      </c>
      <c r="S941" t="s">
        <v>2895</v>
      </c>
      <c r="T941" t="s">
        <v>2896</v>
      </c>
      <c r="U941" t="s">
        <v>2897</v>
      </c>
      <c r="W941" t="s">
        <v>1816</v>
      </c>
    </row>
    <row r="942" spans="1:24" hidden="1">
      <c r="A942" t="s">
        <v>1998</v>
      </c>
      <c r="B942" t="s">
        <v>6102</v>
      </c>
      <c r="C942" t="s">
        <v>6103</v>
      </c>
      <c r="D942" t="s">
        <v>17</v>
      </c>
      <c r="E942" t="s">
        <v>2</v>
      </c>
      <c r="F942" t="s">
        <v>50</v>
      </c>
      <c r="G942" t="s">
        <v>100</v>
      </c>
      <c r="H942" t="s">
        <v>2969</v>
      </c>
      <c r="I942" t="s">
        <v>52</v>
      </c>
      <c r="J942" t="s">
        <v>101</v>
      </c>
      <c r="K942" t="s">
        <v>54</v>
      </c>
      <c r="L942" t="s">
        <v>102</v>
      </c>
      <c r="O942" t="s">
        <v>103</v>
      </c>
      <c r="P942" t="s">
        <v>104</v>
      </c>
      <c r="Q942" t="s">
        <v>6104</v>
      </c>
      <c r="R942" t="s">
        <v>2971</v>
      </c>
      <c r="S942" t="s">
        <v>2895</v>
      </c>
      <c r="T942" t="s">
        <v>2896</v>
      </c>
      <c r="U942" t="s">
        <v>2897</v>
      </c>
      <c r="W942" t="s">
        <v>51</v>
      </c>
    </row>
    <row r="943" spans="1:24" hidden="1">
      <c r="A943" t="s">
        <v>2000</v>
      </c>
      <c r="B943" t="s">
        <v>6102</v>
      </c>
      <c r="C943" t="s">
        <v>6105</v>
      </c>
      <c r="D943" t="s">
        <v>17</v>
      </c>
      <c r="E943" t="s">
        <v>2</v>
      </c>
      <c r="F943" t="s">
        <v>50</v>
      </c>
      <c r="G943" t="s">
        <v>51</v>
      </c>
      <c r="H943" t="s">
        <v>3875</v>
      </c>
      <c r="I943" t="s">
        <v>52</v>
      </c>
      <c r="J943" t="s">
        <v>121</v>
      </c>
      <c r="K943" t="s">
        <v>54</v>
      </c>
      <c r="L943" t="s">
        <v>55</v>
      </c>
      <c r="O943" t="s">
        <v>122</v>
      </c>
      <c r="P943" t="s">
        <v>123</v>
      </c>
      <c r="Q943" t="s">
        <v>6106</v>
      </c>
      <c r="R943" t="s">
        <v>3877</v>
      </c>
      <c r="S943" t="s">
        <v>2895</v>
      </c>
      <c r="T943" t="s">
        <v>2896</v>
      </c>
      <c r="U943" t="s">
        <v>2897</v>
      </c>
      <c r="W943" t="s">
        <v>51</v>
      </c>
    </row>
    <row r="944" spans="1:24" hidden="1">
      <c r="A944" t="s">
        <v>2002</v>
      </c>
      <c r="B944" t="s">
        <v>6102</v>
      </c>
      <c r="C944" t="s">
        <v>3812</v>
      </c>
      <c r="D944" t="s">
        <v>17</v>
      </c>
      <c r="E944" t="s">
        <v>2</v>
      </c>
      <c r="F944" t="s">
        <v>50</v>
      </c>
      <c r="G944" t="s">
        <v>51</v>
      </c>
      <c r="H944" t="s">
        <v>6107</v>
      </c>
      <c r="I944" t="s">
        <v>52</v>
      </c>
      <c r="J944" t="s">
        <v>53</v>
      </c>
      <c r="K944" t="s">
        <v>54</v>
      </c>
      <c r="L944" t="s">
        <v>55</v>
      </c>
      <c r="O944" t="s">
        <v>56</v>
      </c>
      <c r="P944" t="s">
        <v>57</v>
      </c>
      <c r="Q944" t="s">
        <v>6108</v>
      </c>
      <c r="R944" t="s">
        <v>6109</v>
      </c>
      <c r="S944" t="s">
        <v>2895</v>
      </c>
      <c r="T944" t="s">
        <v>2896</v>
      </c>
      <c r="U944" t="s">
        <v>2897</v>
      </c>
      <c r="W944" t="s">
        <v>88</v>
      </c>
    </row>
    <row r="945" spans="1:24">
      <c r="A945" t="s">
        <v>2004</v>
      </c>
      <c r="B945" t="s">
        <v>6102</v>
      </c>
      <c r="C945" t="s">
        <v>6110</v>
      </c>
      <c r="D945" t="s">
        <v>17</v>
      </c>
      <c r="E945" t="s">
        <v>2</v>
      </c>
      <c r="F945" t="s">
        <v>149</v>
      </c>
      <c r="G945" t="s">
        <v>1969</v>
      </c>
      <c r="H945" t="s">
        <v>6111</v>
      </c>
      <c r="I945" t="s">
        <v>52</v>
      </c>
      <c r="J945" t="s">
        <v>1969</v>
      </c>
      <c r="K945" t="s">
        <v>54</v>
      </c>
      <c r="L945" t="s">
        <v>1970</v>
      </c>
      <c r="M945" t="s">
        <v>2006</v>
      </c>
      <c r="N945" t="s">
        <v>12</v>
      </c>
      <c r="O945" t="s">
        <v>92</v>
      </c>
      <c r="P945" t="s">
        <v>1971</v>
      </c>
      <c r="Q945" t="s">
        <v>6112</v>
      </c>
      <c r="R945" t="s">
        <v>6111</v>
      </c>
      <c r="S945" t="s">
        <v>2895</v>
      </c>
      <c r="T945" t="s">
        <v>92</v>
      </c>
      <c r="U945" t="s">
        <v>2899</v>
      </c>
      <c r="V945">
        <v>1</v>
      </c>
      <c r="W945" t="s">
        <v>1816</v>
      </c>
      <c r="X945" s="3" t="s">
        <v>2920</v>
      </c>
    </row>
    <row r="946" spans="1:24" hidden="1">
      <c r="A946" t="s">
        <v>2007</v>
      </c>
      <c r="B946" t="s">
        <v>6102</v>
      </c>
      <c r="C946" t="s">
        <v>6113</v>
      </c>
      <c r="D946" t="s">
        <v>17</v>
      </c>
      <c r="E946" t="s">
        <v>2</v>
      </c>
      <c r="F946" t="s">
        <v>50</v>
      </c>
      <c r="G946" t="s">
        <v>100</v>
      </c>
      <c r="H946" t="s">
        <v>6114</v>
      </c>
      <c r="I946" t="s">
        <v>52</v>
      </c>
      <c r="J946" t="s">
        <v>114</v>
      </c>
      <c r="K946" t="s">
        <v>54</v>
      </c>
      <c r="L946" t="s">
        <v>102</v>
      </c>
      <c r="O946" t="s">
        <v>103</v>
      </c>
      <c r="P946" t="s">
        <v>104</v>
      </c>
      <c r="Q946" t="s">
        <v>6115</v>
      </c>
      <c r="R946" t="s">
        <v>6116</v>
      </c>
      <c r="S946" t="s">
        <v>2895</v>
      </c>
      <c r="T946" t="s">
        <v>2896</v>
      </c>
      <c r="U946" t="s">
        <v>2897</v>
      </c>
      <c r="W946" t="s">
        <v>51</v>
      </c>
    </row>
    <row r="947" spans="1:24" hidden="1">
      <c r="A947" t="s">
        <v>2009</v>
      </c>
      <c r="B947" t="s">
        <v>6102</v>
      </c>
      <c r="C947" t="s">
        <v>4050</v>
      </c>
      <c r="D947" t="s">
        <v>17</v>
      </c>
      <c r="E947" t="s">
        <v>2</v>
      </c>
      <c r="F947" t="s">
        <v>50</v>
      </c>
      <c r="G947" t="s">
        <v>51</v>
      </c>
      <c r="H947" t="s">
        <v>6117</v>
      </c>
      <c r="I947" t="s">
        <v>52</v>
      </c>
      <c r="J947" t="s">
        <v>60</v>
      </c>
      <c r="K947" t="s">
        <v>54</v>
      </c>
      <c r="L947" t="s">
        <v>55</v>
      </c>
      <c r="O947" t="s">
        <v>61</v>
      </c>
      <c r="P947" t="s">
        <v>62</v>
      </c>
      <c r="Q947" t="s">
        <v>6118</v>
      </c>
      <c r="R947" t="s">
        <v>6119</v>
      </c>
      <c r="S947" t="s">
        <v>2895</v>
      </c>
      <c r="T947" t="s">
        <v>2896</v>
      </c>
      <c r="U947" t="s">
        <v>2897</v>
      </c>
      <c r="W947" t="s">
        <v>51</v>
      </c>
    </row>
    <row r="948" spans="1:24" hidden="1">
      <c r="A948" t="s">
        <v>2011</v>
      </c>
      <c r="B948" t="s">
        <v>6102</v>
      </c>
      <c r="C948" t="s">
        <v>3441</v>
      </c>
      <c r="D948" t="s">
        <v>17</v>
      </c>
      <c r="E948" t="s">
        <v>2</v>
      </c>
      <c r="F948" t="s">
        <v>149</v>
      </c>
      <c r="G948" t="s">
        <v>72</v>
      </c>
      <c r="H948" t="s">
        <v>6120</v>
      </c>
      <c r="I948" t="s">
        <v>52</v>
      </c>
      <c r="J948" t="s">
        <v>606</v>
      </c>
      <c r="K948" t="s">
        <v>54</v>
      </c>
      <c r="L948" t="s">
        <v>74</v>
      </c>
      <c r="O948" t="s">
        <v>75</v>
      </c>
      <c r="P948" t="s">
        <v>76</v>
      </c>
      <c r="Q948" t="s">
        <v>6121</v>
      </c>
      <c r="R948" t="s">
        <v>6120</v>
      </c>
      <c r="S948" t="s">
        <v>2895</v>
      </c>
      <c r="T948" t="s">
        <v>2896</v>
      </c>
      <c r="U948" t="s">
        <v>2897</v>
      </c>
      <c r="W948" t="s">
        <v>100</v>
      </c>
    </row>
    <row r="949" spans="1:24" hidden="1">
      <c r="A949" t="s">
        <v>2013</v>
      </c>
      <c r="B949" t="s">
        <v>6122</v>
      </c>
      <c r="C949" t="s">
        <v>3704</v>
      </c>
      <c r="D949" t="s">
        <v>17</v>
      </c>
      <c r="E949" t="s">
        <v>2</v>
      </c>
      <c r="F949" t="s">
        <v>50</v>
      </c>
      <c r="G949" t="s">
        <v>51</v>
      </c>
      <c r="H949" t="s">
        <v>6123</v>
      </c>
      <c r="I949" t="s">
        <v>52</v>
      </c>
      <c r="J949" t="s">
        <v>126</v>
      </c>
      <c r="K949" t="s">
        <v>54</v>
      </c>
      <c r="L949" t="s">
        <v>55</v>
      </c>
      <c r="O949" t="s">
        <v>56</v>
      </c>
      <c r="P949" t="s">
        <v>57</v>
      </c>
      <c r="Q949" t="s">
        <v>6124</v>
      </c>
      <c r="R949" t="s">
        <v>6125</v>
      </c>
      <c r="S949" t="s">
        <v>2895</v>
      </c>
      <c r="T949" t="s">
        <v>2896</v>
      </c>
      <c r="U949" t="s">
        <v>2897</v>
      </c>
      <c r="W949" t="s">
        <v>51</v>
      </c>
    </row>
    <row r="950" spans="1:24">
      <c r="A950" t="s">
        <v>2015</v>
      </c>
      <c r="B950" t="s">
        <v>6122</v>
      </c>
      <c r="C950" t="s">
        <v>5431</v>
      </c>
      <c r="D950" t="s">
        <v>17</v>
      </c>
      <c r="E950" t="s">
        <v>2</v>
      </c>
      <c r="F950" t="s">
        <v>149</v>
      </c>
      <c r="G950" t="s">
        <v>1969</v>
      </c>
      <c r="H950" t="s">
        <v>6126</v>
      </c>
      <c r="I950" t="s">
        <v>52</v>
      </c>
      <c r="J950" t="s">
        <v>1969</v>
      </c>
      <c r="K950" t="s">
        <v>54</v>
      </c>
      <c r="L950" t="s">
        <v>1970</v>
      </c>
      <c r="M950" t="s">
        <v>2017</v>
      </c>
      <c r="N950" t="s">
        <v>12</v>
      </c>
      <c r="O950" t="s">
        <v>92</v>
      </c>
      <c r="P950" t="s">
        <v>1971</v>
      </c>
      <c r="Q950" t="s">
        <v>6127</v>
      </c>
      <c r="R950" t="s">
        <v>6126</v>
      </c>
      <c r="S950" t="s">
        <v>2895</v>
      </c>
      <c r="T950" t="s">
        <v>92</v>
      </c>
      <c r="U950" t="s">
        <v>2899</v>
      </c>
      <c r="V950">
        <v>1</v>
      </c>
      <c r="W950" t="s">
        <v>1969</v>
      </c>
      <c r="X950" s="3" t="s">
        <v>2920</v>
      </c>
    </row>
    <row r="951" spans="1:24" hidden="1">
      <c r="A951" t="s">
        <v>2018</v>
      </c>
      <c r="B951" t="s">
        <v>6122</v>
      </c>
      <c r="C951" t="s">
        <v>6128</v>
      </c>
      <c r="D951" t="s">
        <v>17</v>
      </c>
      <c r="E951" t="s">
        <v>2</v>
      </c>
      <c r="F951" t="s">
        <v>50</v>
      </c>
      <c r="G951" t="s">
        <v>100</v>
      </c>
      <c r="H951" t="s">
        <v>2969</v>
      </c>
      <c r="I951" t="s">
        <v>52</v>
      </c>
      <c r="J951" t="s">
        <v>101</v>
      </c>
      <c r="K951" t="s">
        <v>54</v>
      </c>
      <c r="L951" t="s">
        <v>102</v>
      </c>
      <c r="O951" t="s">
        <v>103</v>
      </c>
      <c r="P951" t="s">
        <v>104</v>
      </c>
      <c r="Q951" t="s">
        <v>6129</v>
      </c>
      <c r="R951" t="s">
        <v>2971</v>
      </c>
      <c r="S951" t="s">
        <v>2895</v>
      </c>
      <c r="T951" t="s">
        <v>2896</v>
      </c>
      <c r="U951" t="s">
        <v>2897</v>
      </c>
      <c r="W951" t="s">
        <v>1969</v>
      </c>
    </row>
    <row r="952" spans="1:24" hidden="1">
      <c r="A952" t="s">
        <v>2020</v>
      </c>
      <c r="B952" t="s">
        <v>6122</v>
      </c>
      <c r="C952" t="s">
        <v>6130</v>
      </c>
      <c r="D952" t="s">
        <v>17</v>
      </c>
      <c r="E952" t="s">
        <v>2</v>
      </c>
      <c r="F952" t="s">
        <v>50</v>
      </c>
      <c r="G952" t="s">
        <v>100</v>
      </c>
      <c r="H952" t="s">
        <v>4051</v>
      </c>
      <c r="I952" t="s">
        <v>52</v>
      </c>
      <c r="J952" t="s">
        <v>114</v>
      </c>
      <c r="K952" t="s">
        <v>54</v>
      </c>
      <c r="L952" t="s">
        <v>102</v>
      </c>
      <c r="O952" t="s">
        <v>103</v>
      </c>
      <c r="P952" t="s">
        <v>104</v>
      </c>
      <c r="Q952" t="s">
        <v>6131</v>
      </c>
      <c r="R952" t="s">
        <v>4053</v>
      </c>
      <c r="S952" t="s">
        <v>2895</v>
      </c>
      <c r="T952" t="s">
        <v>2896</v>
      </c>
      <c r="U952" t="s">
        <v>2897</v>
      </c>
      <c r="W952" t="s">
        <v>100</v>
      </c>
    </row>
    <row r="953" spans="1:24" hidden="1">
      <c r="A953" t="s">
        <v>2022</v>
      </c>
      <c r="B953" t="s">
        <v>6122</v>
      </c>
      <c r="C953" t="s">
        <v>4355</v>
      </c>
      <c r="D953" t="s">
        <v>17</v>
      </c>
      <c r="E953" t="s">
        <v>2</v>
      </c>
      <c r="F953" t="s">
        <v>50</v>
      </c>
      <c r="G953" t="s">
        <v>51</v>
      </c>
      <c r="H953" t="s">
        <v>6132</v>
      </c>
      <c r="I953" t="s">
        <v>52</v>
      </c>
      <c r="J953" t="s">
        <v>121</v>
      </c>
      <c r="K953" t="s">
        <v>54</v>
      </c>
      <c r="L953" t="s">
        <v>55</v>
      </c>
      <c r="O953" t="s">
        <v>122</v>
      </c>
      <c r="P953" t="s">
        <v>123</v>
      </c>
      <c r="Q953" t="s">
        <v>6133</v>
      </c>
      <c r="R953" t="s">
        <v>6134</v>
      </c>
      <c r="S953" t="s">
        <v>2895</v>
      </c>
      <c r="T953" t="s">
        <v>2896</v>
      </c>
      <c r="U953" t="s">
        <v>2897</v>
      </c>
      <c r="W953" t="s">
        <v>51</v>
      </c>
    </row>
    <row r="954" spans="1:24" hidden="1">
      <c r="A954" t="s">
        <v>2023</v>
      </c>
      <c r="B954" t="s">
        <v>6122</v>
      </c>
      <c r="C954" t="s">
        <v>6135</v>
      </c>
      <c r="D954" t="s">
        <v>17</v>
      </c>
      <c r="E954" t="s">
        <v>2</v>
      </c>
      <c r="F954" t="s">
        <v>50</v>
      </c>
      <c r="G954" t="s">
        <v>72</v>
      </c>
      <c r="H954" t="s">
        <v>6136</v>
      </c>
      <c r="I954" t="s">
        <v>52</v>
      </c>
      <c r="J954" t="s">
        <v>316</v>
      </c>
      <c r="K954" t="s">
        <v>54</v>
      </c>
      <c r="L954" t="s">
        <v>74</v>
      </c>
      <c r="O954" t="s">
        <v>75</v>
      </c>
      <c r="P954" t="s">
        <v>76</v>
      </c>
      <c r="Q954" t="s">
        <v>6137</v>
      </c>
      <c r="R954" t="s">
        <v>6138</v>
      </c>
      <c r="S954" t="s">
        <v>2895</v>
      </c>
      <c r="T954" t="s">
        <v>2896</v>
      </c>
      <c r="U954" t="s">
        <v>2897</v>
      </c>
      <c r="W954" t="s">
        <v>72</v>
      </c>
    </row>
    <row r="955" spans="1:24" hidden="1">
      <c r="A955" t="s">
        <v>2025</v>
      </c>
      <c r="B955" t="s">
        <v>6122</v>
      </c>
      <c r="C955" t="s">
        <v>4971</v>
      </c>
      <c r="D955" t="s">
        <v>17</v>
      </c>
      <c r="E955" t="s">
        <v>2</v>
      </c>
      <c r="F955" t="s">
        <v>50</v>
      </c>
      <c r="G955" t="s">
        <v>51</v>
      </c>
      <c r="H955" t="s">
        <v>6139</v>
      </c>
      <c r="I955" t="s">
        <v>52</v>
      </c>
      <c r="J955" t="s">
        <v>121</v>
      </c>
      <c r="K955" t="s">
        <v>54</v>
      </c>
      <c r="L955" t="s">
        <v>55</v>
      </c>
      <c r="O955" t="s">
        <v>122</v>
      </c>
      <c r="P955" t="s">
        <v>123</v>
      </c>
      <c r="Q955" t="s">
        <v>6140</v>
      </c>
      <c r="R955" t="s">
        <v>6141</v>
      </c>
      <c r="S955" t="s">
        <v>2895</v>
      </c>
      <c r="T955" t="s">
        <v>2896</v>
      </c>
      <c r="U955" t="s">
        <v>2897</v>
      </c>
      <c r="W955" t="s">
        <v>51</v>
      </c>
    </row>
    <row r="956" spans="1:24" hidden="1">
      <c r="A956" t="s">
        <v>2027</v>
      </c>
      <c r="B956" t="s">
        <v>6122</v>
      </c>
      <c r="C956" t="s">
        <v>5383</v>
      </c>
      <c r="D956" t="s">
        <v>17</v>
      </c>
      <c r="E956" t="s">
        <v>2</v>
      </c>
      <c r="F956" t="s">
        <v>50</v>
      </c>
      <c r="G956" t="s">
        <v>100</v>
      </c>
      <c r="H956" t="s">
        <v>6142</v>
      </c>
      <c r="I956" t="s">
        <v>52</v>
      </c>
      <c r="J956" t="s">
        <v>114</v>
      </c>
      <c r="K956" t="s">
        <v>54</v>
      </c>
      <c r="L956" t="s">
        <v>102</v>
      </c>
      <c r="O956" t="s">
        <v>103</v>
      </c>
      <c r="P956" t="s">
        <v>104</v>
      </c>
      <c r="Q956" t="s">
        <v>6143</v>
      </c>
      <c r="R956" t="s">
        <v>6144</v>
      </c>
      <c r="S956" t="s">
        <v>2895</v>
      </c>
      <c r="T956" t="s">
        <v>2896</v>
      </c>
      <c r="U956" t="s">
        <v>2897</v>
      </c>
      <c r="W956" t="s">
        <v>1969</v>
      </c>
    </row>
    <row r="957" spans="1:24" hidden="1">
      <c r="A957" t="s">
        <v>2029</v>
      </c>
      <c r="B957" t="s">
        <v>6145</v>
      </c>
      <c r="C957" t="s">
        <v>3496</v>
      </c>
      <c r="D957" t="s">
        <v>17</v>
      </c>
      <c r="E957" t="s">
        <v>2</v>
      </c>
      <c r="F957" t="s">
        <v>50</v>
      </c>
      <c r="G957" t="s">
        <v>51</v>
      </c>
      <c r="H957" t="s">
        <v>6146</v>
      </c>
      <c r="I957" t="s">
        <v>52</v>
      </c>
      <c r="J957" t="s">
        <v>196</v>
      </c>
      <c r="K957" t="s">
        <v>54</v>
      </c>
      <c r="L957" t="s">
        <v>55</v>
      </c>
      <c r="O957" t="s">
        <v>197</v>
      </c>
      <c r="P957" t="s">
        <v>198</v>
      </c>
      <c r="Q957" t="s">
        <v>6147</v>
      </c>
      <c r="R957" t="s">
        <v>6148</v>
      </c>
      <c r="S957" t="s">
        <v>2895</v>
      </c>
      <c r="T957" t="s">
        <v>2896</v>
      </c>
      <c r="U957" t="s">
        <v>2897</v>
      </c>
      <c r="W957" t="s">
        <v>100</v>
      </c>
    </row>
    <row r="958" spans="1:24" hidden="1">
      <c r="A958" t="s">
        <v>2031</v>
      </c>
      <c r="B958" t="s">
        <v>6145</v>
      </c>
      <c r="C958" t="s">
        <v>3012</v>
      </c>
      <c r="D958" t="s">
        <v>17</v>
      </c>
      <c r="E958" t="s">
        <v>2</v>
      </c>
      <c r="F958" t="s">
        <v>50</v>
      </c>
      <c r="G958" t="s">
        <v>51</v>
      </c>
      <c r="H958" t="s">
        <v>6149</v>
      </c>
      <c r="I958" t="s">
        <v>52</v>
      </c>
      <c r="J958" t="s">
        <v>81</v>
      </c>
      <c r="K958" t="s">
        <v>54</v>
      </c>
      <c r="L958" t="s">
        <v>55</v>
      </c>
      <c r="O958" t="s">
        <v>82</v>
      </c>
      <c r="P958" t="s">
        <v>83</v>
      </c>
      <c r="Q958" t="s">
        <v>6150</v>
      </c>
      <c r="R958" t="s">
        <v>6151</v>
      </c>
      <c r="S958" t="s">
        <v>2895</v>
      </c>
      <c r="T958" t="s">
        <v>2896</v>
      </c>
      <c r="U958" t="s">
        <v>2897</v>
      </c>
      <c r="W958" t="s">
        <v>100</v>
      </c>
    </row>
    <row r="959" spans="1:24" hidden="1">
      <c r="A959" t="s">
        <v>2033</v>
      </c>
      <c r="B959" t="s">
        <v>6145</v>
      </c>
      <c r="C959" t="s">
        <v>3889</v>
      </c>
      <c r="D959" t="s">
        <v>17</v>
      </c>
      <c r="E959" t="s">
        <v>2</v>
      </c>
      <c r="F959" t="s">
        <v>50</v>
      </c>
      <c r="G959" t="s">
        <v>72</v>
      </c>
      <c r="H959" t="s">
        <v>6152</v>
      </c>
      <c r="I959" t="s">
        <v>52</v>
      </c>
      <c r="J959" t="s">
        <v>611</v>
      </c>
      <c r="K959" t="s">
        <v>54</v>
      </c>
      <c r="L959" t="s">
        <v>74</v>
      </c>
      <c r="O959" t="s">
        <v>75</v>
      </c>
      <c r="P959" t="s">
        <v>76</v>
      </c>
      <c r="Q959" t="s">
        <v>6153</v>
      </c>
      <c r="R959" t="s">
        <v>6154</v>
      </c>
      <c r="S959" t="s">
        <v>2895</v>
      </c>
      <c r="T959" t="s">
        <v>2896</v>
      </c>
      <c r="U959" t="s">
        <v>2897</v>
      </c>
      <c r="W959" t="s">
        <v>51</v>
      </c>
    </row>
    <row r="960" spans="1:24" hidden="1">
      <c r="A960" t="s">
        <v>2035</v>
      </c>
      <c r="B960" t="s">
        <v>6145</v>
      </c>
      <c r="C960" t="s">
        <v>5233</v>
      </c>
      <c r="D960" t="s">
        <v>17</v>
      </c>
      <c r="E960" t="s">
        <v>2</v>
      </c>
      <c r="F960" t="s">
        <v>50</v>
      </c>
      <c r="G960" t="s">
        <v>1816</v>
      </c>
      <c r="H960" t="s">
        <v>6155</v>
      </c>
      <c r="I960" t="s">
        <v>52</v>
      </c>
      <c r="J960" t="s">
        <v>1984</v>
      </c>
      <c r="K960" t="s">
        <v>1985</v>
      </c>
      <c r="L960" t="s">
        <v>1819</v>
      </c>
      <c r="O960" t="s">
        <v>1820</v>
      </c>
      <c r="P960" t="s">
        <v>1821</v>
      </c>
      <c r="Q960" t="s">
        <v>6156</v>
      </c>
      <c r="R960" t="s">
        <v>6157</v>
      </c>
      <c r="S960" t="s">
        <v>2895</v>
      </c>
      <c r="T960" t="s">
        <v>2896</v>
      </c>
      <c r="U960" t="s">
        <v>2897</v>
      </c>
      <c r="W960" t="s">
        <v>72</v>
      </c>
    </row>
    <row r="961" spans="1:24" hidden="1">
      <c r="A961" t="s">
        <v>2037</v>
      </c>
      <c r="B961" t="s">
        <v>6145</v>
      </c>
      <c r="C961" t="s">
        <v>6158</v>
      </c>
      <c r="D961" t="s">
        <v>17</v>
      </c>
      <c r="E961" t="s">
        <v>2</v>
      </c>
      <c r="F961" t="s">
        <v>50</v>
      </c>
      <c r="G961" t="s">
        <v>100</v>
      </c>
      <c r="H961" t="s">
        <v>4694</v>
      </c>
      <c r="I961" t="s">
        <v>52</v>
      </c>
      <c r="J961" t="s">
        <v>114</v>
      </c>
      <c r="K961" t="s">
        <v>54</v>
      </c>
      <c r="L961" t="s">
        <v>102</v>
      </c>
      <c r="O961" t="s">
        <v>103</v>
      </c>
      <c r="P961" t="s">
        <v>104</v>
      </c>
      <c r="Q961" t="s">
        <v>6159</v>
      </c>
      <c r="R961" t="s">
        <v>4696</v>
      </c>
      <c r="S961" t="s">
        <v>2895</v>
      </c>
      <c r="T961" t="s">
        <v>2896</v>
      </c>
      <c r="U961" t="s">
        <v>2897</v>
      </c>
      <c r="W961" t="s">
        <v>51</v>
      </c>
    </row>
    <row r="962" spans="1:24" hidden="1">
      <c r="A962" t="s">
        <v>2039</v>
      </c>
      <c r="B962" t="s">
        <v>6145</v>
      </c>
      <c r="C962" t="s">
        <v>4054</v>
      </c>
      <c r="D962" t="s">
        <v>17</v>
      </c>
      <c r="E962" t="s">
        <v>2</v>
      </c>
      <c r="F962" t="s">
        <v>50</v>
      </c>
      <c r="G962" t="s">
        <v>51</v>
      </c>
      <c r="H962" t="s">
        <v>6160</v>
      </c>
      <c r="I962" t="s">
        <v>52</v>
      </c>
      <c r="J962" t="s">
        <v>60</v>
      </c>
      <c r="K962" t="s">
        <v>54</v>
      </c>
      <c r="L962" t="s">
        <v>55</v>
      </c>
      <c r="O962" t="s">
        <v>61</v>
      </c>
      <c r="P962" t="s">
        <v>62</v>
      </c>
      <c r="Q962" t="s">
        <v>6161</v>
      </c>
      <c r="R962" t="s">
        <v>6162</v>
      </c>
      <c r="S962" t="s">
        <v>2895</v>
      </c>
      <c r="T962" t="s">
        <v>2896</v>
      </c>
      <c r="U962" t="s">
        <v>2897</v>
      </c>
      <c r="W962" t="s">
        <v>100</v>
      </c>
    </row>
    <row r="963" spans="1:24" hidden="1">
      <c r="A963" t="s">
        <v>2041</v>
      </c>
      <c r="B963" t="s">
        <v>6145</v>
      </c>
      <c r="C963" t="s">
        <v>4866</v>
      </c>
      <c r="D963" t="s">
        <v>17</v>
      </c>
      <c r="E963" t="s">
        <v>2</v>
      </c>
      <c r="F963" t="s">
        <v>50</v>
      </c>
      <c r="G963" t="s">
        <v>51</v>
      </c>
      <c r="H963" t="s">
        <v>6163</v>
      </c>
      <c r="I963" t="s">
        <v>52</v>
      </c>
      <c r="J963" t="s">
        <v>53</v>
      </c>
      <c r="K963" t="s">
        <v>54</v>
      </c>
      <c r="L963" t="s">
        <v>55</v>
      </c>
      <c r="O963" t="s">
        <v>56</v>
      </c>
      <c r="P963" t="s">
        <v>57</v>
      </c>
      <c r="Q963" t="s">
        <v>6164</v>
      </c>
      <c r="R963" t="s">
        <v>6165</v>
      </c>
      <c r="S963" t="s">
        <v>2895</v>
      </c>
      <c r="T963" t="s">
        <v>2896</v>
      </c>
      <c r="U963" t="s">
        <v>2897</v>
      </c>
      <c r="W963" t="s">
        <v>51</v>
      </c>
    </row>
    <row r="964" spans="1:24" hidden="1">
      <c r="A964" t="s">
        <v>2043</v>
      </c>
      <c r="B964" t="s">
        <v>6145</v>
      </c>
      <c r="C964" t="s">
        <v>6166</v>
      </c>
      <c r="D964" t="s">
        <v>17</v>
      </c>
      <c r="E964" t="s">
        <v>2</v>
      </c>
      <c r="F964" t="s">
        <v>50</v>
      </c>
      <c r="G964" t="s">
        <v>51</v>
      </c>
      <c r="H964" t="s">
        <v>6167</v>
      </c>
      <c r="I964" t="s">
        <v>52</v>
      </c>
      <c r="J964" t="s">
        <v>53</v>
      </c>
      <c r="K964" t="s">
        <v>54</v>
      </c>
      <c r="L964" t="s">
        <v>55</v>
      </c>
      <c r="O964" t="s">
        <v>56</v>
      </c>
      <c r="P964" t="s">
        <v>57</v>
      </c>
      <c r="Q964" t="s">
        <v>6168</v>
      </c>
      <c r="R964" t="s">
        <v>6169</v>
      </c>
      <c r="S964" t="s">
        <v>2895</v>
      </c>
      <c r="T964" t="s">
        <v>2896</v>
      </c>
      <c r="U964" t="s">
        <v>2897</v>
      </c>
      <c r="W964" t="s">
        <v>51</v>
      </c>
    </row>
    <row r="965" spans="1:24" hidden="1">
      <c r="A965" t="s">
        <v>2045</v>
      </c>
      <c r="B965" t="s">
        <v>6145</v>
      </c>
      <c r="C965" t="s">
        <v>6170</v>
      </c>
      <c r="D965" t="s">
        <v>17</v>
      </c>
      <c r="E965" t="s">
        <v>2</v>
      </c>
      <c r="F965" t="s">
        <v>50</v>
      </c>
      <c r="G965" t="s">
        <v>51</v>
      </c>
      <c r="H965" t="s">
        <v>6171</v>
      </c>
      <c r="I965" t="s">
        <v>52</v>
      </c>
      <c r="J965" t="s">
        <v>121</v>
      </c>
      <c r="K965" t="s">
        <v>54</v>
      </c>
      <c r="L965" t="s">
        <v>55</v>
      </c>
      <c r="O965" t="s">
        <v>122</v>
      </c>
      <c r="P965" t="s">
        <v>123</v>
      </c>
      <c r="Q965" t="s">
        <v>6172</v>
      </c>
      <c r="R965" t="s">
        <v>6173</v>
      </c>
      <c r="S965" t="s">
        <v>2895</v>
      </c>
      <c r="T965" t="s">
        <v>2896</v>
      </c>
      <c r="U965" t="s">
        <v>2897</v>
      </c>
      <c r="W965" t="s">
        <v>72</v>
      </c>
    </row>
    <row r="966" spans="1:24" hidden="1">
      <c r="A966" t="s">
        <v>2047</v>
      </c>
      <c r="B966" t="s">
        <v>6174</v>
      </c>
      <c r="C966" t="s">
        <v>6175</v>
      </c>
      <c r="D966" t="s">
        <v>17</v>
      </c>
      <c r="E966" t="s">
        <v>2</v>
      </c>
      <c r="F966" t="s">
        <v>50</v>
      </c>
      <c r="G966" t="s">
        <v>100</v>
      </c>
      <c r="H966" t="s">
        <v>6176</v>
      </c>
      <c r="I966" t="s">
        <v>52</v>
      </c>
      <c r="J966" t="s">
        <v>114</v>
      </c>
      <c r="K966" t="s">
        <v>54</v>
      </c>
      <c r="L966" t="s">
        <v>102</v>
      </c>
      <c r="O966" t="s">
        <v>103</v>
      </c>
      <c r="P966" t="s">
        <v>104</v>
      </c>
      <c r="Q966" t="s">
        <v>6177</v>
      </c>
      <c r="R966" t="s">
        <v>6178</v>
      </c>
      <c r="S966" t="s">
        <v>2895</v>
      </c>
      <c r="T966" t="s">
        <v>2896</v>
      </c>
      <c r="U966" t="s">
        <v>2897</v>
      </c>
      <c r="W966" t="s">
        <v>1816</v>
      </c>
    </row>
    <row r="967" spans="1:24" hidden="1">
      <c r="A967" t="s">
        <v>2049</v>
      </c>
      <c r="B967" t="s">
        <v>6174</v>
      </c>
      <c r="C967" t="s">
        <v>6179</v>
      </c>
      <c r="D967" t="s">
        <v>17</v>
      </c>
      <c r="E967" t="s">
        <v>2</v>
      </c>
      <c r="F967" t="s">
        <v>50</v>
      </c>
      <c r="G967" t="s">
        <v>100</v>
      </c>
      <c r="H967" t="s">
        <v>3936</v>
      </c>
      <c r="I967" t="s">
        <v>52</v>
      </c>
      <c r="J967" t="s">
        <v>114</v>
      </c>
      <c r="K967" t="s">
        <v>54</v>
      </c>
      <c r="L967" t="s">
        <v>102</v>
      </c>
      <c r="O967" t="s">
        <v>103</v>
      </c>
      <c r="P967" t="s">
        <v>104</v>
      </c>
      <c r="Q967" t="s">
        <v>6180</v>
      </c>
      <c r="R967" t="s">
        <v>3938</v>
      </c>
      <c r="S967" t="s">
        <v>2895</v>
      </c>
      <c r="T967" t="s">
        <v>2896</v>
      </c>
      <c r="U967" t="s">
        <v>2897</v>
      </c>
      <c r="W967" t="s">
        <v>100</v>
      </c>
    </row>
    <row r="968" spans="1:24" hidden="1">
      <c r="A968" t="s">
        <v>2051</v>
      </c>
      <c r="B968" t="s">
        <v>6174</v>
      </c>
      <c r="C968" t="s">
        <v>4518</v>
      </c>
      <c r="D968" t="s">
        <v>17</v>
      </c>
      <c r="E968" t="s">
        <v>2</v>
      </c>
      <c r="F968" t="s">
        <v>50</v>
      </c>
      <c r="G968" t="s">
        <v>51</v>
      </c>
      <c r="H968" t="s">
        <v>6181</v>
      </c>
      <c r="I968" t="s">
        <v>52</v>
      </c>
      <c r="J968" t="s">
        <v>65</v>
      </c>
      <c r="K968" t="s">
        <v>54</v>
      </c>
      <c r="L968" t="s">
        <v>55</v>
      </c>
      <c r="O968" t="s">
        <v>66</v>
      </c>
      <c r="P968" t="s">
        <v>67</v>
      </c>
      <c r="Q968" t="s">
        <v>6182</v>
      </c>
      <c r="R968" t="s">
        <v>6183</v>
      </c>
      <c r="S968" t="s">
        <v>2895</v>
      </c>
      <c r="T968" t="s">
        <v>2896</v>
      </c>
      <c r="U968" t="s">
        <v>2897</v>
      </c>
      <c r="W968" t="s">
        <v>51</v>
      </c>
    </row>
    <row r="969" spans="1:24" hidden="1">
      <c r="A969" t="s">
        <v>2053</v>
      </c>
      <c r="B969" t="s">
        <v>6174</v>
      </c>
      <c r="C969" t="s">
        <v>3481</v>
      </c>
      <c r="D969" t="s">
        <v>17</v>
      </c>
      <c r="E969" t="s">
        <v>2</v>
      </c>
      <c r="F969" t="s">
        <v>50</v>
      </c>
      <c r="G969" t="s">
        <v>51</v>
      </c>
      <c r="H969" t="s">
        <v>6184</v>
      </c>
      <c r="I969" t="s">
        <v>52</v>
      </c>
      <c r="J969" t="s">
        <v>121</v>
      </c>
      <c r="K969" t="s">
        <v>54</v>
      </c>
      <c r="L969" t="s">
        <v>55</v>
      </c>
      <c r="O969" t="s">
        <v>122</v>
      </c>
      <c r="P969" t="s">
        <v>123</v>
      </c>
      <c r="Q969" t="s">
        <v>6185</v>
      </c>
      <c r="R969" t="s">
        <v>6186</v>
      </c>
      <c r="S969" t="s">
        <v>2895</v>
      </c>
      <c r="T969" t="s">
        <v>2896</v>
      </c>
      <c r="U969" t="s">
        <v>2897</v>
      </c>
      <c r="W969" t="s">
        <v>51</v>
      </c>
    </row>
    <row r="970" spans="1:24">
      <c r="A970" t="s">
        <v>2055</v>
      </c>
      <c r="B970" t="s">
        <v>6174</v>
      </c>
      <c r="C970" t="s">
        <v>5499</v>
      </c>
      <c r="D970" t="s">
        <v>17</v>
      </c>
      <c r="E970" t="s">
        <v>2</v>
      </c>
      <c r="F970" t="s">
        <v>149</v>
      </c>
      <c r="G970" t="s">
        <v>1969</v>
      </c>
      <c r="H970" t="s">
        <v>6187</v>
      </c>
      <c r="I970" t="s">
        <v>52</v>
      </c>
      <c r="J970" t="s">
        <v>1969</v>
      </c>
      <c r="K970" t="s">
        <v>54</v>
      </c>
      <c r="L970" t="s">
        <v>1970</v>
      </c>
      <c r="M970" t="s">
        <v>2057</v>
      </c>
      <c r="N970" t="s">
        <v>12</v>
      </c>
      <c r="O970" t="s">
        <v>92</v>
      </c>
      <c r="P970" t="s">
        <v>1971</v>
      </c>
      <c r="Q970" t="s">
        <v>6188</v>
      </c>
      <c r="R970" t="s">
        <v>6187</v>
      </c>
      <c r="S970" t="s">
        <v>2895</v>
      </c>
      <c r="T970" t="s">
        <v>92</v>
      </c>
      <c r="U970" t="s">
        <v>2899</v>
      </c>
      <c r="V970">
        <v>2</v>
      </c>
      <c r="W970" t="s">
        <v>1969</v>
      </c>
      <c r="X970" s="3" t="s">
        <v>2920</v>
      </c>
    </row>
    <row r="971" spans="1:24" hidden="1">
      <c r="A971" t="s">
        <v>2058</v>
      </c>
      <c r="B971" t="s">
        <v>6174</v>
      </c>
      <c r="C971" t="s">
        <v>4474</v>
      </c>
      <c r="D971" t="s">
        <v>17</v>
      </c>
      <c r="E971" t="s">
        <v>2</v>
      </c>
      <c r="F971" t="s">
        <v>50</v>
      </c>
      <c r="G971" t="s">
        <v>51</v>
      </c>
      <c r="H971" t="s">
        <v>6189</v>
      </c>
      <c r="I971" t="s">
        <v>52</v>
      </c>
      <c r="J971" t="s">
        <v>60</v>
      </c>
      <c r="K971" t="s">
        <v>54</v>
      </c>
      <c r="L971" t="s">
        <v>55</v>
      </c>
      <c r="O971" t="s">
        <v>61</v>
      </c>
      <c r="P971" t="s">
        <v>62</v>
      </c>
      <c r="Q971" t="s">
        <v>6190</v>
      </c>
      <c r="R971" t="s">
        <v>6191</v>
      </c>
      <c r="S971" t="s">
        <v>2895</v>
      </c>
      <c r="T971" t="s">
        <v>2896</v>
      </c>
      <c r="U971" t="s">
        <v>2897</v>
      </c>
      <c r="W971" t="s">
        <v>51</v>
      </c>
    </row>
    <row r="972" spans="1:24" hidden="1">
      <c r="A972" t="s">
        <v>2060</v>
      </c>
      <c r="B972" t="s">
        <v>6174</v>
      </c>
      <c r="C972" t="s">
        <v>6192</v>
      </c>
      <c r="D972" t="s">
        <v>17</v>
      </c>
      <c r="E972" t="s">
        <v>2</v>
      </c>
      <c r="F972" t="s">
        <v>50</v>
      </c>
      <c r="G972" t="s">
        <v>51</v>
      </c>
      <c r="H972" t="s">
        <v>6193</v>
      </c>
      <c r="I972" t="s">
        <v>52</v>
      </c>
      <c r="J972" t="s">
        <v>60</v>
      </c>
      <c r="K972" t="s">
        <v>54</v>
      </c>
      <c r="L972" t="s">
        <v>55</v>
      </c>
      <c r="O972" t="s">
        <v>61</v>
      </c>
      <c r="P972" t="s">
        <v>62</v>
      </c>
      <c r="Q972" t="s">
        <v>6194</v>
      </c>
      <c r="R972" t="s">
        <v>6195</v>
      </c>
      <c r="S972" t="s">
        <v>2895</v>
      </c>
      <c r="T972" t="s">
        <v>2896</v>
      </c>
      <c r="U972" t="s">
        <v>2897</v>
      </c>
      <c r="W972" t="s">
        <v>100</v>
      </c>
    </row>
    <row r="973" spans="1:24" hidden="1">
      <c r="A973" t="s">
        <v>2062</v>
      </c>
      <c r="B973" t="s">
        <v>6174</v>
      </c>
      <c r="C973" t="s">
        <v>6196</v>
      </c>
      <c r="D973" t="s">
        <v>17</v>
      </c>
      <c r="E973" t="s">
        <v>2</v>
      </c>
      <c r="F973" t="s">
        <v>50</v>
      </c>
      <c r="G973" t="s">
        <v>72</v>
      </c>
      <c r="H973" t="s">
        <v>6197</v>
      </c>
      <c r="I973" t="s">
        <v>52</v>
      </c>
      <c r="J973" t="s">
        <v>73</v>
      </c>
      <c r="K973" t="s">
        <v>54</v>
      </c>
      <c r="L973" t="s">
        <v>74</v>
      </c>
      <c r="O973" t="s">
        <v>75</v>
      </c>
      <c r="P973" t="s">
        <v>76</v>
      </c>
      <c r="Q973" t="s">
        <v>6198</v>
      </c>
      <c r="R973" t="s">
        <v>6199</v>
      </c>
      <c r="S973" t="s">
        <v>2895</v>
      </c>
      <c r="T973" t="s">
        <v>2896</v>
      </c>
      <c r="U973" t="s">
        <v>2897</v>
      </c>
      <c r="W973" t="s">
        <v>100</v>
      </c>
    </row>
    <row r="974" spans="1:24" hidden="1">
      <c r="A974" t="s">
        <v>2064</v>
      </c>
      <c r="B974" t="s">
        <v>6174</v>
      </c>
      <c r="C974" t="s">
        <v>4039</v>
      </c>
      <c r="D974" t="s">
        <v>17</v>
      </c>
      <c r="E974" t="s">
        <v>2</v>
      </c>
      <c r="F974" t="s">
        <v>50</v>
      </c>
      <c r="G974" t="s">
        <v>88</v>
      </c>
      <c r="H974" t="s">
        <v>6200</v>
      </c>
      <c r="I974" t="s">
        <v>52</v>
      </c>
      <c r="J974" t="s">
        <v>89</v>
      </c>
      <c r="K974" t="s">
        <v>54</v>
      </c>
      <c r="L974" t="s">
        <v>90</v>
      </c>
      <c r="M974" t="s">
        <v>91</v>
      </c>
      <c r="N974" t="s">
        <v>12</v>
      </c>
      <c r="O974" t="s">
        <v>92</v>
      </c>
      <c r="P974" t="s">
        <v>93</v>
      </c>
      <c r="Q974" t="s">
        <v>6201</v>
      </c>
      <c r="R974" t="s">
        <v>6202</v>
      </c>
      <c r="S974" t="s">
        <v>2895</v>
      </c>
      <c r="T974" t="s">
        <v>2896</v>
      </c>
      <c r="U974" t="s">
        <v>2897</v>
      </c>
      <c r="W974" t="s">
        <v>51</v>
      </c>
    </row>
    <row r="975" spans="1:24" hidden="1">
      <c r="A975" t="s">
        <v>2066</v>
      </c>
      <c r="B975" t="s">
        <v>6203</v>
      </c>
      <c r="C975" t="s">
        <v>6204</v>
      </c>
      <c r="D975" t="s">
        <v>17</v>
      </c>
      <c r="E975" t="s">
        <v>2</v>
      </c>
      <c r="F975" t="s">
        <v>50</v>
      </c>
      <c r="G975" t="s">
        <v>51</v>
      </c>
      <c r="H975" t="s">
        <v>6205</v>
      </c>
      <c r="I975" t="s">
        <v>52</v>
      </c>
      <c r="J975" t="s">
        <v>65</v>
      </c>
      <c r="K975" t="s">
        <v>54</v>
      </c>
      <c r="L975" t="s">
        <v>55</v>
      </c>
      <c r="O975" t="s">
        <v>66</v>
      </c>
      <c r="P975" t="s">
        <v>67</v>
      </c>
      <c r="Q975" t="s">
        <v>6206</v>
      </c>
      <c r="R975" t="s">
        <v>6207</v>
      </c>
      <c r="S975" t="s">
        <v>2895</v>
      </c>
      <c r="T975" t="s">
        <v>2896</v>
      </c>
      <c r="U975" t="s">
        <v>2897</v>
      </c>
      <c r="W975" t="s">
        <v>51</v>
      </c>
    </row>
    <row r="976" spans="1:24" hidden="1">
      <c r="A976" t="s">
        <v>2068</v>
      </c>
      <c r="B976" t="s">
        <v>6203</v>
      </c>
      <c r="C976" t="s">
        <v>3730</v>
      </c>
      <c r="D976" t="s">
        <v>17</v>
      </c>
      <c r="E976" t="s">
        <v>2</v>
      </c>
      <c r="F976" t="s">
        <v>50</v>
      </c>
      <c r="G976" t="s">
        <v>51</v>
      </c>
      <c r="H976" t="s">
        <v>6208</v>
      </c>
      <c r="I976" t="s">
        <v>52</v>
      </c>
      <c r="J976" t="s">
        <v>196</v>
      </c>
      <c r="K976" t="s">
        <v>54</v>
      </c>
      <c r="L976" t="s">
        <v>55</v>
      </c>
      <c r="O976" t="s">
        <v>197</v>
      </c>
      <c r="P976" t="s">
        <v>198</v>
      </c>
      <c r="Q976" t="s">
        <v>6209</v>
      </c>
      <c r="R976" t="s">
        <v>6210</v>
      </c>
      <c r="S976" t="s">
        <v>2895</v>
      </c>
      <c r="T976" t="s">
        <v>2896</v>
      </c>
      <c r="U976" t="s">
        <v>2897</v>
      </c>
      <c r="W976" t="s">
        <v>1969</v>
      </c>
    </row>
    <row r="977" spans="1:24" hidden="1">
      <c r="A977" t="s">
        <v>2070</v>
      </c>
      <c r="B977" t="s">
        <v>6203</v>
      </c>
      <c r="C977" t="s">
        <v>3528</v>
      </c>
      <c r="D977" t="s">
        <v>17</v>
      </c>
      <c r="E977" t="s">
        <v>2</v>
      </c>
      <c r="F977" t="s">
        <v>50</v>
      </c>
      <c r="G977" t="s">
        <v>72</v>
      </c>
      <c r="H977" t="s">
        <v>6211</v>
      </c>
      <c r="I977" t="s">
        <v>52</v>
      </c>
      <c r="J977" t="s">
        <v>150</v>
      </c>
      <c r="K977" t="s">
        <v>54</v>
      </c>
      <c r="L977" t="s">
        <v>74</v>
      </c>
      <c r="O977" t="s">
        <v>75</v>
      </c>
      <c r="P977" t="s">
        <v>76</v>
      </c>
      <c r="Q977" t="s">
        <v>6212</v>
      </c>
      <c r="R977" t="s">
        <v>6213</v>
      </c>
      <c r="S977" t="s">
        <v>2895</v>
      </c>
      <c r="T977" t="s">
        <v>2896</v>
      </c>
      <c r="U977" t="s">
        <v>2897</v>
      </c>
      <c r="W977" t="s">
        <v>51</v>
      </c>
    </row>
    <row r="978" spans="1:24" hidden="1">
      <c r="A978" t="s">
        <v>2072</v>
      </c>
      <c r="B978" t="s">
        <v>6203</v>
      </c>
      <c r="C978" t="s">
        <v>3407</v>
      </c>
      <c r="D978" t="s">
        <v>17</v>
      </c>
      <c r="E978" t="s">
        <v>2</v>
      </c>
      <c r="F978" t="s">
        <v>50</v>
      </c>
      <c r="G978" t="s">
        <v>51</v>
      </c>
      <c r="H978" t="s">
        <v>6214</v>
      </c>
      <c r="I978" t="s">
        <v>52</v>
      </c>
      <c r="J978" t="s">
        <v>53</v>
      </c>
      <c r="K978" t="s">
        <v>54</v>
      </c>
      <c r="L978" t="s">
        <v>55</v>
      </c>
      <c r="O978" t="s">
        <v>56</v>
      </c>
      <c r="P978" t="s">
        <v>57</v>
      </c>
      <c r="Q978" t="s">
        <v>6215</v>
      </c>
      <c r="R978" t="s">
        <v>6216</v>
      </c>
      <c r="S978" t="s">
        <v>2895</v>
      </c>
      <c r="T978" t="s">
        <v>2896</v>
      </c>
      <c r="U978" t="s">
        <v>2897</v>
      </c>
      <c r="W978" t="s">
        <v>51</v>
      </c>
    </row>
    <row r="979" spans="1:24" hidden="1">
      <c r="A979" t="s">
        <v>2074</v>
      </c>
      <c r="B979" t="s">
        <v>6203</v>
      </c>
      <c r="C979" t="s">
        <v>6217</v>
      </c>
      <c r="D979" t="s">
        <v>17</v>
      </c>
      <c r="E979" t="s">
        <v>2</v>
      </c>
      <c r="F979" t="s">
        <v>50</v>
      </c>
      <c r="G979" t="s">
        <v>51</v>
      </c>
      <c r="H979" t="s">
        <v>6218</v>
      </c>
      <c r="I979" t="s">
        <v>52</v>
      </c>
      <c r="J979" t="s">
        <v>126</v>
      </c>
      <c r="K979" t="s">
        <v>54</v>
      </c>
      <c r="L979" t="s">
        <v>55</v>
      </c>
      <c r="O979" t="s">
        <v>56</v>
      </c>
      <c r="P979" t="s">
        <v>57</v>
      </c>
      <c r="Q979" t="s">
        <v>6219</v>
      </c>
      <c r="R979" t="s">
        <v>6220</v>
      </c>
      <c r="S979" t="s">
        <v>2895</v>
      </c>
      <c r="T979" t="s">
        <v>2896</v>
      </c>
      <c r="U979" t="s">
        <v>2897</v>
      </c>
      <c r="W979" t="s">
        <v>72</v>
      </c>
    </row>
    <row r="980" spans="1:24" hidden="1">
      <c r="A980" t="s">
        <v>2076</v>
      </c>
      <c r="B980" t="s">
        <v>6203</v>
      </c>
      <c r="C980" t="s">
        <v>6221</v>
      </c>
      <c r="D980" t="s">
        <v>17</v>
      </c>
      <c r="E980" t="s">
        <v>2</v>
      </c>
      <c r="F980" t="s">
        <v>50</v>
      </c>
      <c r="G980" t="s">
        <v>100</v>
      </c>
      <c r="H980" t="s">
        <v>6222</v>
      </c>
      <c r="I980" t="s">
        <v>52</v>
      </c>
      <c r="J980" t="s">
        <v>114</v>
      </c>
      <c r="K980" t="s">
        <v>54</v>
      </c>
      <c r="L980" t="s">
        <v>102</v>
      </c>
      <c r="O980" t="s">
        <v>103</v>
      </c>
      <c r="P980" t="s">
        <v>104</v>
      </c>
      <c r="Q980" t="s">
        <v>6223</v>
      </c>
      <c r="R980" t="s">
        <v>6224</v>
      </c>
      <c r="S980" t="s">
        <v>2895</v>
      </c>
      <c r="T980" t="s">
        <v>2896</v>
      </c>
      <c r="U980" t="s">
        <v>2897</v>
      </c>
      <c r="W980" t="s">
        <v>88</v>
      </c>
    </row>
    <row r="981" spans="1:24" hidden="1">
      <c r="A981" t="s">
        <v>2078</v>
      </c>
      <c r="B981" t="s">
        <v>6203</v>
      </c>
      <c r="C981" t="s">
        <v>6225</v>
      </c>
      <c r="D981" t="s">
        <v>17</v>
      </c>
      <c r="E981" t="s">
        <v>2</v>
      </c>
      <c r="F981" t="s">
        <v>50</v>
      </c>
      <c r="G981" t="s">
        <v>51</v>
      </c>
      <c r="H981" t="s">
        <v>6226</v>
      </c>
      <c r="I981" t="s">
        <v>52</v>
      </c>
      <c r="J981" t="s">
        <v>121</v>
      </c>
      <c r="K981" t="s">
        <v>54</v>
      </c>
      <c r="L981" t="s">
        <v>55</v>
      </c>
      <c r="O981" t="s">
        <v>122</v>
      </c>
      <c r="P981" t="s">
        <v>123</v>
      </c>
      <c r="Q981" t="s">
        <v>6227</v>
      </c>
      <c r="R981" t="s">
        <v>6228</v>
      </c>
      <c r="S981" t="s">
        <v>2895</v>
      </c>
      <c r="T981" t="s">
        <v>2896</v>
      </c>
      <c r="U981" t="s">
        <v>2897</v>
      </c>
      <c r="W981" t="s">
        <v>51</v>
      </c>
    </row>
    <row r="982" spans="1:24" hidden="1">
      <c r="A982" t="s">
        <v>2080</v>
      </c>
      <c r="B982" t="s">
        <v>6229</v>
      </c>
      <c r="C982" t="s">
        <v>6230</v>
      </c>
      <c r="D982" t="s">
        <v>17</v>
      </c>
      <c r="E982" t="s">
        <v>2</v>
      </c>
      <c r="F982" t="s">
        <v>50</v>
      </c>
      <c r="G982" t="s">
        <v>100</v>
      </c>
      <c r="H982" t="s">
        <v>6231</v>
      </c>
      <c r="I982" t="s">
        <v>52</v>
      </c>
      <c r="J982" t="s">
        <v>244</v>
      </c>
      <c r="K982" t="s">
        <v>54</v>
      </c>
      <c r="L982" t="s">
        <v>102</v>
      </c>
      <c r="O982" t="s">
        <v>178</v>
      </c>
      <c r="P982" t="s">
        <v>245</v>
      </c>
      <c r="Q982" t="s">
        <v>6232</v>
      </c>
      <c r="R982" t="s">
        <v>6233</v>
      </c>
      <c r="S982" t="s">
        <v>2895</v>
      </c>
      <c r="T982" t="s">
        <v>2896</v>
      </c>
      <c r="U982" t="s">
        <v>2897</v>
      </c>
      <c r="W982" t="s">
        <v>51</v>
      </c>
    </row>
    <row r="983" spans="1:24" hidden="1">
      <c r="A983" t="s">
        <v>2082</v>
      </c>
      <c r="B983" t="s">
        <v>6229</v>
      </c>
      <c r="C983" t="s">
        <v>4331</v>
      </c>
      <c r="D983" t="s">
        <v>17</v>
      </c>
      <c r="E983" t="s">
        <v>2</v>
      </c>
      <c r="F983" t="s">
        <v>50</v>
      </c>
      <c r="G983" t="s">
        <v>51</v>
      </c>
      <c r="H983" t="s">
        <v>6234</v>
      </c>
      <c r="I983" t="s">
        <v>52</v>
      </c>
      <c r="J983" t="s">
        <v>53</v>
      </c>
      <c r="K983" t="s">
        <v>54</v>
      </c>
      <c r="L983" t="s">
        <v>55</v>
      </c>
      <c r="O983" t="s">
        <v>56</v>
      </c>
      <c r="P983" t="s">
        <v>57</v>
      </c>
      <c r="Q983" t="s">
        <v>6235</v>
      </c>
      <c r="R983" t="s">
        <v>6236</v>
      </c>
      <c r="S983" t="s">
        <v>2895</v>
      </c>
      <c r="T983" t="s">
        <v>2896</v>
      </c>
      <c r="U983" t="s">
        <v>2897</v>
      </c>
      <c r="W983" t="s">
        <v>72</v>
      </c>
    </row>
    <row r="984" spans="1:24">
      <c r="A984" t="s">
        <v>2084</v>
      </c>
      <c r="B984" t="s">
        <v>6229</v>
      </c>
      <c r="C984" t="s">
        <v>2952</v>
      </c>
      <c r="D984" t="s">
        <v>17</v>
      </c>
      <c r="E984" t="s">
        <v>2</v>
      </c>
      <c r="F984" t="s">
        <v>149</v>
      </c>
      <c r="G984" t="s">
        <v>1969</v>
      </c>
      <c r="H984" t="s">
        <v>6237</v>
      </c>
      <c r="I984" t="s">
        <v>52</v>
      </c>
      <c r="J984" t="s">
        <v>1969</v>
      </c>
      <c r="K984" t="s">
        <v>54</v>
      </c>
      <c r="L984" t="s">
        <v>1970</v>
      </c>
      <c r="M984" t="s">
        <v>2086</v>
      </c>
      <c r="N984" t="s">
        <v>12</v>
      </c>
      <c r="O984" t="s">
        <v>92</v>
      </c>
      <c r="P984" t="s">
        <v>1971</v>
      </c>
      <c r="Q984" t="s">
        <v>6238</v>
      </c>
      <c r="R984" t="s">
        <v>6237</v>
      </c>
      <c r="S984" t="s">
        <v>2895</v>
      </c>
      <c r="T984" t="s">
        <v>92</v>
      </c>
      <c r="U984" t="s">
        <v>2899</v>
      </c>
      <c r="V984">
        <v>2</v>
      </c>
      <c r="W984" t="s">
        <v>1969</v>
      </c>
      <c r="X984" s="3" t="s">
        <v>2920</v>
      </c>
    </row>
    <row r="985" spans="1:24" hidden="1">
      <c r="A985" t="s">
        <v>2087</v>
      </c>
      <c r="B985" t="s">
        <v>6229</v>
      </c>
      <c r="C985" t="s">
        <v>4897</v>
      </c>
      <c r="D985" t="s">
        <v>17</v>
      </c>
      <c r="E985" t="s">
        <v>2</v>
      </c>
      <c r="F985" t="s">
        <v>50</v>
      </c>
      <c r="G985" t="s">
        <v>51</v>
      </c>
      <c r="H985" t="s">
        <v>6239</v>
      </c>
      <c r="I985" t="s">
        <v>52</v>
      </c>
      <c r="J985" t="s">
        <v>196</v>
      </c>
      <c r="K985" t="s">
        <v>54</v>
      </c>
      <c r="L985" t="s">
        <v>55</v>
      </c>
      <c r="O985" t="s">
        <v>197</v>
      </c>
      <c r="P985" t="s">
        <v>198</v>
      </c>
      <c r="Q985" t="s">
        <v>6240</v>
      </c>
      <c r="R985" t="s">
        <v>6241</v>
      </c>
      <c r="S985" t="s">
        <v>2895</v>
      </c>
      <c r="T985" t="s">
        <v>2896</v>
      </c>
      <c r="U985" t="s">
        <v>2897</v>
      </c>
      <c r="W985" t="s">
        <v>51</v>
      </c>
    </row>
    <row r="986" spans="1:24" hidden="1">
      <c r="A986" t="s">
        <v>2089</v>
      </c>
      <c r="B986" t="s">
        <v>6229</v>
      </c>
      <c r="C986" t="s">
        <v>6242</v>
      </c>
      <c r="D986" t="s">
        <v>17</v>
      </c>
      <c r="E986" t="s">
        <v>2</v>
      </c>
      <c r="F986" t="s">
        <v>50</v>
      </c>
      <c r="G986" t="s">
        <v>51</v>
      </c>
      <c r="H986" t="s">
        <v>6243</v>
      </c>
      <c r="I986" t="s">
        <v>52</v>
      </c>
      <c r="J986" t="s">
        <v>65</v>
      </c>
      <c r="K986" t="s">
        <v>54</v>
      </c>
      <c r="L986" t="s">
        <v>55</v>
      </c>
      <c r="O986" t="s">
        <v>66</v>
      </c>
      <c r="P986" t="s">
        <v>67</v>
      </c>
      <c r="Q986" t="s">
        <v>6244</v>
      </c>
      <c r="R986" t="s">
        <v>6245</v>
      </c>
      <c r="S986" t="s">
        <v>2895</v>
      </c>
      <c r="T986" t="s">
        <v>2896</v>
      </c>
      <c r="U986" t="s">
        <v>2897</v>
      </c>
      <c r="W986" t="s">
        <v>100</v>
      </c>
    </row>
    <row r="987" spans="1:24" hidden="1">
      <c r="A987" t="s">
        <v>2091</v>
      </c>
      <c r="B987" t="s">
        <v>6229</v>
      </c>
      <c r="C987" t="s">
        <v>5703</v>
      </c>
      <c r="D987" t="s">
        <v>17</v>
      </c>
      <c r="E987" t="s">
        <v>2</v>
      </c>
      <c r="F987" t="s">
        <v>50</v>
      </c>
      <c r="G987" t="s">
        <v>51</v>
      </c>
      <c r="H987" t="s">
        <v>6246</v>
      </c>
      <c r="I987" t="s">
        <v>52</v>
      </c>
      <c r="J987" t="s">
        <v>60</v>
      </c>
      <c r="K987" t="s">
        <v>54</v>
      </c>
      <c r="L987" t="s">
        <v>55</v>
      </c>
      <c r="O987" t="s">
        <v>61</v>
      </c>
      <c r="P987" t="s">
        <v>62</v>
      </c>
      <c r="Q987" t="s">
        <v>6247</v>
      </c>
      <c r="R987" t="s">
        <v>6248</v>
      </c>
      <c r="S987" t="s">
        <v>2895</v>
      </c>
      <c r="T987" t="s">
        <v>2896</v>
      </c>
      <c r="U987" t="s">
        <v>2897</v>
      </c>
      <c r="W987" t="s">
        <v>51</v>
      </c>
    </row>
    <row r="988" spans="1:24" hidden="1">
      <c r="A988" t="s">
        <v>2093</v>
      </c>
      <c r="B988" t="s">
        <v>6229</v>
      </c>
      <c r="C988" t="s">
        <v>6249</v>
      </c>
      <c r="D988" t="s">
        <v>17</v>
      </c>
      <c r="E988" t="s">
        <v>2</v>
      </c>
      <c r="F988" t="s">
        <v>50</v>
      </c>
      <c r="G988" t="s">
        <v>51</v>
      </c>
      <c r="H988" t="s">
        <v>6250</v>
      </c>
      <c r="I988" t="s">
        <v>52</v>
      </c>
      <c r="J988" t="s">
        <v>53</v>
      </c>
      <c r="K988" t="s">
        <v>54</v>
      </c>
      <c r="L988" t="s">
        <v>55</v>
      </c>
      <c r="O988" t="s">
        <v>56</v>
      </c>
      <c r="P988" t="s">
        <v>57</v>
      </c>
      <c r="Q988" t="s">
        <v>6251</v>
      </c>
      <c r="R988" t="s">
        <v>6252</v>
      </c>
      <c r="S988" t="s">
        <v>2895</v>
      </c>
      <c r="T988" t="s">
        <v>2896</v>
      </c>
      <c r="U988" t="s">
        <v>2897</v>
      </c>
      <c r="W988" t="s">
        <v>100</v>
      </c>
    </row>
    <row r="989" spans="1:24" hidden="1">
      <c r="A989" t="s">
        <v>2095</v>
      </c>
      <c r="B989" t="s">
        <v>6229</v>
      </c>
      <c r="C989" t="s">
        <v>4593</v>
      </c>
      <c r="D989" t="s">
        <v>17</v>
      </c>
      <c r="E989" t="s">
        <v>2</v>
      </c>
      <c r="F989" t="s">
        <v>50</v>
      </c>
      <c r="G989" t="s">
        <v>51</v>
      </c>
      <c r="H989" t="s">
        <v>6064</v>
      </c>
      <c r="I989" t="s">
        <v>52</v>
      </c>
      <c r="J989" t="s">
        <v>196</v>
      </c>
      <c r="K989" t="s">
        <v>54</v>
      </c>
      <c r="L989" t="s">
        <v>55</v>
      </c>
      <c r="O989" t="s">
        <v>197</v>
      </c>
      <c r="P989" t="s">
        <v>198</v>
      </c>
      <c r="Q989" t="s">
        <v>6253</v>
      </c>
      <c r="R989" t="s">
        <v>6066</v>
      </c>
      <c r="S989" t="s">
        <v>2895</v>
      </c>
      <c r="T989" t="s">
        <v>2896</v>
      </c>
      <c r="U989" t="s">
        <v>2897</v>
      </c>
      <c r="W989" t="s">
        <v>51</v>
      </c>
    </row>
    <row r="990" spans="1:24" hidden="1">
      <c r="A990" t="s">
        <v>2097</v>
      </c>
      <c r="B990" t="s">
        <v>6229</v>
      </c>
      <c r="C990" t="s">
        <v>6254</v>
      </c>
      <c r="D990" t="s">
        <v>17</v>
      </c>
      <c r="E990" t="s">
        <v>2</v>
      </c>
      <c r="F990" t="s">
        <v>50</v>
      </c>
      <c r="G990" t="s">
        <v>51</v>
      </c>
      <c r="H990" t="s">
        <v>6255</v>
      </c>
      <c r="I990" t="s">
        <v>52</v>
      </c>
      <c r="J990" t="s">
        <v>121</v>
      </c>
      <c r="K990" t="s">
        <v>54</v>
      </c>
      <c r="L990" t="s">
        <v>55</v>
      </c>
      <c r="O990" t="s">
        <v>122</v>
      </c>
      <c r="P990" t="s">
        <v>123</v>
      </c>
      <c r="Q990" t="s">
        <v>6256</v>
      </c>
      <c r="R990" t="s">
        <v>6257</v>
      </c>
      <c r="S990" t="s">
        <v>2895</v>
      </c>
      <c r="T990" t="s">
        <v>2896</v>
      </c>
      <c r="U990" t="s">
        <v>2897</v>
      </c>
      <c r="W990" t="s">
        <v>1969</v>
      </c>
    </row>
    <row r="991" spans="1:24" hidden="1">
      <c r="A991" t="s">
        <v>2099</v>
      </c>
      <c r="B991" t="s">
        <v>6258</v>
      </c>
      <c r="C991" t="s">
        <v>6259</v>
      </c>
      <c r="D991" t="s">
        <v>17</v>
      </c>
      <c r="E991" t="s">
        <v>2</v>
      </c>
      <c r="F991" t="s">
        <v>50</v>
      </c>
      <c r="G991" t="s">
        <v>51</v>
      </c>
      <c r="H991" t="s">
        <v>6260</v>
      </c>
      <c r="I991" t="s">
        <v>52</v>
      </c>
      <c r="J991" t="s">
        <v>81</v>
      </c>
      <c r="K991" t="s">
        <v>54</v>
      </c>
      <c r="L991" t="s">
        <v>55</v>
      </c>
      <c r="O991" t="s">
        <v>82</v>
      </c>
      <c r="P991" t="s">
        <v>83</v>
      </c>
      <c r="Q991" t="s">
        <v>6261</v>
      </c>
      <c r="R991" t="s">
        <v>6262</v>
      </c>
      <c r="S991" t="s">
        <v>2895</v>
      </c>
      <c r="T991" t="s">
        <v>2896</v>
      </c>
      <c r="U991" t="s">
        <v>2897</v>
      </c>
      <c r="W991" t="s">
        <v>51</v>
      </c>
    </row>
    <row r="992" spans="1:24" hidden="1">
      <c r="A992" t="s">
        <v>2101</v>
      </c>
      <c r="B992" t="s">
        <v>6258</v>
      </c>
      <c r="C992" t="s">
        <v>6263</v>
      </c>
      <c r="D992" t="s">
        <v>17</v>
      </c>
      <c r="E992" t="s">
        <v>2</v>
      </c>
      <c r="F992" t="s">
        <v>50</v>
      </c>
      <c r="G992" t="s">
        <v>51</v>
      </c>
      <c r="H992" t="s">
        <v>6264</v>
      </c>
      <c r="I992" t="s">
        <v>52</v>
      </c>
      <c r="J992" t="s">
        <v>53</v>
      </c>
      <c r="K992" t="s">
        <v>54</v>
      </c>
      <c r="L992" t="s">
        <v>55</v>
      </c>
      <c r="O992" t="s">
        <v>56</v>
      </c>
      <c r="P992" t="s">
        <v>57</v>
      </c>
      <c r="Q992" t="s">
        <v>6265</v>
      </c>
      <c r="R992" t="s">
        <v>6266</v>
      </c>
      <c r="S992" t="s">
        <v>2895</v>
      </c>
      <c r="T992" t="s">
        <v>2896</v>
      </c>
      <c r="U992" t="s">
        <v>2897</v>
      </c>
      <c r="W992" t="s">
        <v>51</v>
      </c>
    </row>
    <row r="993" spans="1:24" hidden="1">
      <c r="A993" t="s">
        <v>2103</v>
      </c>
      <c r="B993" t="s">
        <v>6258</v>
      </c>
      <c r="C993" t="s">
        <v>5268</v>
      </c>
      <c r="D993" t="s">
        <v>17</v>
      </c>
      <c r="E993" t="s">
        <v>2</v>
      </c>
      <c r="F993" t="s">
        <v>50</v>
      </c>
      <c r="G993" t="s">
        <v>100</v>
      </c>
      <c r="H993" t="s">
        <v>2969</v>
      </c>
      <c r="I993" t="s">
        <v>52</v>
      </c>
      <c r="J993" t="s">
        <v>101</v>
      </c>
      <c r="K993" t="s">
        <v>54</v>
      </c>
      <c r="L993" t="s">
        <v>102</v>
      </c>
      <c r="O993" t="s">
        <v>103</v>
      </c>
      <c r="P993" t="s">
        <v>104</v>
      </c>
      <c r="Q993" t="s">
        <v>6267</v>
      </c>
      <c r="R993" t="s">
        <v>2971</v>
      </c>
      <c r="S993" t="s">
        <v>2895</v>
      </c>
      <c r="T993" t="s">
        <v>2896</v>
      </c>
      <c r="U993" t="s">
        <v>2897</v>
      </c>
      <c r="W993" t="s">
        <v>51</v>
      </c>
    </row>
    <row r="994" spans="1:24" ht="41.4">
      <c r="A994" t="s">
        <v>2105</v>
      </c>
      <c r="B994" t="s">
        <v>6258</v>
      </c>
      <c r="C994" t="s">
        <v>6268</v>
      </c>
      <c r="D994" t="s">
        <v>17</v>
      </c>
      <c r="E994" t="s">
        <v>2</v>
      </c>
      <c r="F994" t="s">
        <v>50</v>
      </c>
      <c r="G994" t="s">
        <v>1816</v>
      </c>
      <c r="H994" t="s">
        <v>6269</v>
      </c>
      <c r="I994" t="s">
        <v>52</v>
      </c>
      <c r="J994" t="s">
        <v>1984</v>
      </c>
      <c r="K994" t="s">
        <v>1985</v>
      </c>
      <c r="L994" t="s">
        <v>1819</v>
      </c>
      <c r="O994" t="s">
        <v>1820</v>
      </c>
      <c r="P994" t="s">
        <v>1821</v>
      </c>
      <c r="Q994" t="s">
        <v>6270</v>
      </c>
      <c r="R994" t="s">
        <v>6271</v>
      </c>
      <c r="S994" t="s">
        <v>2895</v>
      </c>
      <c r="T994" t="s">
        <v>2896</v>
      </c>
      <c r="U994" t="s">
        <v>2899</v>
      </c>
      <c r="V994">
        <v>1</v>
      </c>
      <c r="W994" t="s">
        <v>1969</v>
      </c>
      <c r="X994" s="3" t="s">
        <v>7387</v>
      </c>
    </row>
    <row r="995" spans="1:24" hidden="1">
      <c r="A995" t="s">
        <v>2107</v>
      </c>
      <c r="B995" t="s">
        <v>6258</v>
      </c>
      <c r="C995" t="s">
        <v>3335</v>
      </c>
      <c r="D995" t="s">
        <v>17</v>
      </c>
      <c r="E995" t="s">
        <v>2</v>
      </c>
      <c r="F995" t="s">
        <v>50</v>
      </c>
      <c r="G995" t="s">
        <v>51</v>
      </c>
      <c r="H995" t="s">
        <v>4322</v>
      </c>
      <c r="I995" t="s">
        <v>52</v>
      </c>
      <c r="J995" t="s">
        <v>196</v>
      </c>
      <c r="K995" t="s">
        <v>54</v>
      </c>
      <c r="L995" t="s">
        <v>55</v>
      </c>
      <c r="O995" t="s">
        <v>197</v>
      </c>
      <c r="P995" t="s">
        <v>198</v>
      </c>
      <c r="Q995" t="s">
        <v>6272</v>
      </c>
      <c r="R995" t="s">
        <v>4324</v>
      </c>
      <c r="S995" t="s">
        <v>2895</v>
      </c>
      <c r="T995" t="s">
        <v>2896</v>
      </c>
      <c r="U995" t="s">
        <v>2897</v>
      </c>
      <c r="W995" t="s">
        <v>51</v>
      </c>
    </row>
    <row r="996" spans="1:24" hidden="1">
      <c r="A996" t="s">
        <v>2109</v>
      </c>
      <c r="B996" t="s">
        <v>6258</v>
      </c>
      <c r="C996" t="s">
        <v>3226</v>
      </c>
      <c r="D996" t="s">
        <v>17</v>
      </c>
      <c r="E996" t="s">
        <v>2</v>
      </c>
      <c r="F996" t="s">
        <v>50</v>
      </c>
      <c r="G996" t="s">
        <v>51</v>
      </c>
      <c r="H996" t="s">
        <v>5057</v>
      </c>
      <c r="I996" t="s">
        <v>52</v>
      </c>
      <c r="J996" t="s">
        <v>196</v>
      </c>
      <c r="K996" t="s">
        <v>54</v>
      </c>
      <c r="L996" t="s">
        <v>55</v>
      </c>
      <c r="O996" t="s">
        <v>197</v>
      </c>
      <c r="P996" t="s">
        <v>198</v>
      </c>
      <c r="Q996" t="s">
        <v>6273</v>
      </c>
      <c r="R996" t="s">
        <v>5059</v>
      </c>
      <c r="S996" t="s">
        <v>2895</v>
      </c>
      <c r="T996" t="s">
        <v>2896</v>
      </c>
      <c r="U996" t="s">
        <v>2897</v>
      </c>
      <c r="W996" t="s">
        <v>51</v>
      </c>
    </row>
    <row r="997" spans="1:24" hidden="1">
      <c r="A997" t="s">
        <v>2111</v>
      </c>
      <c r="B997" t="s">
        <v>6258</v>
      </c>
      <c r="C997" t="s">
        <v>6274</v>
      </c>
      <c r="D997" t="s">
        <v>17</v>
      </c>
      <c r="E997" t="s">
        <v>2</v>
      </c>
      <c r="F997" t="s">
        <v>50</v>
      </c>
      <c r="G997" t="s">
        <v>51</v>
      </c>
      <c r="H997" t="s">
        <v>6275</v>
      </c>
      <c r="I997" t="s">
        <v>52</v>
      </c>
      <c r="J997" t="s">
        <v>60</v>
      </c>
      <c r="K997" t="s">
        <v>54</v>
      </c>
      <c r="L997" t="s">
        <v>55</v>
      </c>
      <c r="O997" t="s">
        <v>61</v>
      </c>
      <c r="P997" t="s">
        <v>62</v>
      </c>
      <c r="Q997" t="s">
        <v>6276</v>
      </c>
      <c r="R997" t="s">
        <v>6277</v>
      </c>
      <c r="S997" t="s">
        <v>2895</v>
      </c>
      <c r="T997" t="s">
        <v>2896</v>
      </c>
      <c r="U997" t="s">
        <v>2897</v>
      </c>
      <c r="W997" t="s">
        <v>51</v>
      </c>
    </row>
    <row r="998" spans="1:24" hidden="1">
      <c r="A998" t="s">
        <v>2113</v>
      </c>
      <c r="B998" t="s">
        <v>6278</v>
      </c>
      <c r="C998" t="s">
        <v>5431</v>
      </c>
      <c r="D998" t="s">
        <v>17</v>
      </c>
      <c r="E998" t="s">
        <v>2</v>
      </c>
      <c r="F998" t="s">
        <v>50</v>
      </c>
      <c r="G998" t="s">
        <v>51</v>
      </c>
      <c r="H998" t="s">
        <v>6279</v>
      </c>
      <c r="I998" t="s">
        <v>52</v>
      </c>
      <c r="J998" t="s">
        <v>121</v>
      </c>
      <c r="K998" t="s">
        <v>54</v>
      </c>
      <c r="L998" t="s">
        <v>55</v>
      </c>
      <c r="O998" t="s">
        <v>122</v>
      </c>
      <c r="P998" t="s">
        <v>123</v>
      </c>
      <c r="Q998" t="s">
        <v>6280</v>
      </c>
      <c r="R998" t="s">
        <v>6281</v>
      </c>
      <c r="S998" t="s">
        <v>2895</v>
      </c>
      <c r="T998" t="s">
        <v>2896</v>
      </c>
      <c r="U998" t="s">
        <v>2897</v>
      </c>
      <c r="W998" t="s">
        <v>51</v>
      </c>
    </row>
    <row r="999" spans="1:24" hidden="1">
      <c r="A999" t="s">
        <v>2115</v>
      </c>
      <c r="B999" t="s">
        <v>6278</v>
      </c>
      <c r="C999" t="s">
        <v>5411</v>
      </c>
      <c r="D999" t="s">
        <v>17</v>
      </c>
      <c r="E999" t="s">
        <v>2</v>
      </c>
      <c r="F999" t="s">
        <v>50</v>
      </c>
      <c r="G999" t="s">
        <v>51</v>
      </c>
      <c r="H999" t="s">
        <v>6282</v>
      </c>
      <c r="I999" t="s">
        <v>52</v>
      </c>
      <c r="J999" t="s">
        <v>196</v>
      </c>
      <c r="K999" t="s">
        <v>54</v>
      </c>
      <c r="L999" t="s">
        <v>55</v>
      </c>
      <c r="O999" t="s">
        <v>197</v>
      </c>
      <c r="P999" t="s">
        <v>198</v>
      </c>
      <c r="Q999" t="s">
        <v>6283</v>
      </c>
      <c r="R999" t="s">
        <v>6284</v>
      </c>
      <c r="S999" t="s">
        <v>2895</v>
      </c>
      <c r="T999" t="s">
        <v>2896</v>
      </c>
      <c r="U999" t="s">
        <v>2897</v>
      </c>
      <c r="W999" t="s">
        <v>100</v>
      </c>
    </row>
    <row r="1000" spans="1:24" hidden="1">
      <c r="A1000" t="s">
        <v>2117</v>
      </c>
      <c r="B1000" t="s">
        <v>6278</v>
      </c>
      <c r="C1000" t="s">
        <v>4401</v>
      </c>
      <c r="D1000" t="s">
        <v>17</v>
      </c>
      <c r="E1000" t="s">
        <v>2</v>
      </c>
      <c r="F1000" t="s">
        <v>50</v>
      </c>
      <c r="G1000" t="s">
        <v>51</v>
      </c>
      <c r="H1000" t="s">
        <v>6285</v>
      </c>
      <c r="I1000" t="s">
        <v>52</v>
      </c>
      <c r="J1000" t="s">
        <v>121</v>
      </c>
      <c r="K1000" t="s">
        <v>54</v>
      </c>
      <c r="L1000" t="s">
        <v>55</v>
      </c>
      <c r="O1000" t="s">
        <v>122</v>
      </c>
      <c r="P1000" t="s">
        <v>123</v>
      </c>
      <c r="Q1000" t="s">
        <v>6286</v>
      </c>
      <c r="R1000" t="s">
        <v>6287</v>
      </c>
      <c r="S1000" t="s">
        <v>2895</v>
      </c>
      <c r="T1000" t="s">
        <v>2896</v>
      </c>
      <c r="U1000" t="s">
        <v>2897</v>
      </c>
      <c r="W1000" t="s">
        <v>1816</v>
      </c>
    </row>
    <row r="1001" spans="1:24" hidden="1">
      <c r="A1001" t="s">
        <v>2119</v>
      </c>
      <c r="B1001" t="s">
        <v>6278</v>
      </c>
      <c r="C1001" t="s">
        <v>6288</v>
      </c>
      <c r="D1001" t="s">
        <v>17</v>
      </c>
      <c r="E1001" t="s">
        <v>2</v>
      </c>
      <c r="F1001" t="s">
        <v>50</v>
      </c>
      <c r="G1001" t="s">
        <v>100</v>
      </c>
      <c r="H1001" t="s">
        <v>2969</v>
      </c>
      <c r="I1001" t="s">
        <v>52</v>
      </c>
      <c r="J1001" t="s">
        <v>101</v>
      </c>
      <c r="K1001" t="s">
        <v>54</v>
      </c>
      <c r="L1001" t="s">
        <v>102</v>
      </c>
      <c r="O1001" t="s">
        <v>103</v>
      </c>
      <c r="P1001" t="s">
        <v>104</v>
      </c>
      <c r="Q1001" t="s">
        <v>6289</v>
      </c>
      <c r="R1001" t="s">
        <v>2971</v>
      </c>
      <c r="S1001" t="s">
        <v>2895</v>
      </c>
      <c r="T1001" t="s">
        <v>2896</v>
      </c>
      <c r="U1001" t="s">
        <v>2897</v>
      </c>
      <c r="W1001" t="s">
        <v>51</v>
      </c>
    </row>
    <row r="1002" spans="1:24">
      <c r="A1002" t="s">
        <v>2121</v>
      </c>
      <c r="B1002" t="s">
        <v>6278</v>
      </c>
      <c r="C1002" t="s">
        <v>4925</v>
      </c>
      <c r="D1002" t="s">
        <v>17</v>
      </c>
      <c r="E1002" t="s">
        <v>2</v>
      </c>
      <c r="F1002" t="s">
        <v>149</v>
      </c>
      <c r="G1002" t="s">
        <v>1969</v>
      </c>
      <c r="H1002" t="s">
        <v>6290</v>
      </c>
      <c r="I1002" t="s">
        <v>52</v>
      </c>
      <c r="J1002" t="s">
        <v>1969</v>
      </c>
      <c r="K1002" t="s">
        <v>54</v>
      </c>
      <c r="L1002" t="s">
        <v>1970</v>
      </c>
      <c r="M1002" t="s">
        <v>2123</v>
      </c>
      <c r="N1002" t="s">
        <v>12</v>
      </c>
      <c r="O1002" t="s">
        <v>92</v>
      </c>
      <c r="P1002" t="s">
        <v>1971</v>
      </c>
      <c r="Q1002" t="s">
        <v>6291</v>
      </c>
      <c r="R1002" t="s">
        <v>6290</v>
      </c>
      <c r="S1002" t="s">
        <v>2895</v>
      </c>
      <c r="T1002" t="s">
        <v>92</v>
      </c>
      <c r="U1002" t="s">
        <v>2899</v>
      </c>
      <c r="V1002">
        <v>1</v>
      </c>
      <c r="W1002" t="s">
        <v>1816</v>
      </c>
      <c r="X1002" s="3" t="s">
        <v>2920</v>
      </c>
    </row>
    <row r="1003" spans="1:24" hidden="1">
      <c r="A1003" t="s">
        <v>2124</v>
      </c>
      <c r="B1003" t="s">
        <v>6278</v>
      </c>
      <c r="C1003" t="s">
        <v>5543</v>
      </c>
      <c r="D1003" t="s">
        <v>17</v>
      </c>
      <c r="E1003" t="s">
        <v>2</v>
      </c>
      <c r="F1003" t="s">
        <v>149</v>
      </c>
      <c r="G1003" t="s">
        <v>321</v>
      </c>
      <c r="H1003" t="s">
        <v>6292</v>
      </c>
      <c r="I1003" t="s">
        <v>52</v>
      </c>
      <c r="J1003" t="s">
        <v>9</v>
      </c>
      <c r="K1003" t="s">
        <v>54</v>
      </c>
      <c r="L1003" t="s">
        <v>102</v>
      </c>
      <c r="O1003" t="s">
        <v>322</v>
      </c>
      <c r="P1003" t="s">
        <v>323</v>
      </c>
      <c r="Q1003" t="s">
        <v>6293</v>
      </c>
      <c r="R1003" t="s">
        <v>6292</v>
      </c>
      <c r="S1003" t="s">
        <v>2895</v>
      </c>
      <c r="T1003" t="s">
        <v>2896</v>
      </c>
      <c r="U1003" t="s">
        <v>2897</v>
      </c>
      <c r="W1003" t="s">
        <v>51</v>
      </c>
    </row>
    <row r="1004" spans="1:24" hidden="1">
      <c r="A1004" t="s">
        <v>2126</v>
      </c>
      <c r="B1004" t="s">
        <v>6278</v>
      </c>
      <c r="C1004" t="s">
        <v>6294</v>
      </c>
      <c r="D1004" t="s">
        <v>17</v>
      </c>
      <c r="E1004" t="s">
        <v>2</v>
      </c>
      <c r="F1004" t="s">
        <v>50</v>
      </c>
      <c r="G1004" t="s">
        <v>51</v>
      </c>
      <c r="H1004" t="s">
        <v>5892</v>
      </c>
      <c r="I1004" t="s">
        <v>52</v>
      </c>
      <c r="J1004" t="s">
        <v>53</v>
      </c>
      <c r="K1004" t="s">
        <v>54</v>
      </c>
      <c r="L1004" t="s">
        <v>55</v>
      </c>
      <c r="O1004" t="s">
        <v>56</v>
      </c>
      <c r="P1004" t="s">
        <v>57</v>
      </c>
      <c r="Q1004" t="s">
        <v>6295</v>
      </c>
      <c r="R1004" t="s">
        <v>5894</v>
      </c>
      <c r="S1004" t="s">
        <v>2895</v>
      </c>
      <c r="T1004" t="s">
        <v>2896</v>
      </c>
      <c r="U1004" t="s">
        <v>2897</v>
      </c>
      <c r="W1004" t="s">
        <v>51</v>
      </c>
    </row>
    <row r="1005" spans="1:24" hidden="1">
      <c r="A1005" t="s">
        <v>2128</v>
      </c>
      <c r="B1005" t="s">
        <v>6296</v>
      </c>
      <c r="C1005" t="s">
        <v>5369</v>
      </c>
      <c r="D1005" t="s">
        <v>17</v>
      </c>
      <c r="E1005" t="s">
        <v>2</v>
      </c>
      <c r="F1005" t="s">
        <v>149</v>
      </c>
      <c r="G1005" t="s">
        <v>72</v>
      </c>
      <c r="H1005" t="s">
        <v>6297</v>
      </c>
      <c r="I1005" t="s">
        <v>52</v>
      </c>
      <c r="J1005" t="s">
        <v>638</v>
      </c>
      <c r="K1005" t="s">
        <v>54</v>
      </c>
      <c r="L1005" t="s">
        <v>74</v>
      </c>
      <c r="O1005" t="s">
        <v>75</v>
      </c>
      <c r="P1005" t="s">
        <v>76</v>
      </c>
      <c r="Q1005" t="s">
        <v>6298</v>
      </c>
      <c r="R1005" t="s">
        <v>6297</v>
      </c>
      <c r="S1005" t="s">
        <v>2895</v>
      </c>
      <c r="T1005" t="s">
        <v>2896</v>
      </c>
      <c r="U1005" t="s">
        <v>2897</v>
      </c>
      <c r="W1005" t="s">
        <v>51</v>
      </c>
    </row>
    <row r="1006" spans="1:24" hidden="1">
      <c r="A1006" t="s">
        <v>2130</v>
      </c>
      <c r="B1006" t="s">
        <v>6296</v>
      </c>
      <c r="C1006" t="s">
        <v>5308</v>
      </c>
      <c r="D1006" t="s">
        <v>17</v>
      </c>
      <c r="E1006" t="s">
        <v>2</v>
      </c>
      <c r="F1006" t="s">
        <v>50</v>
      </c>
      <c r="G1006" t="s">
        <v>51</v>
      </c>
      <c r="H1006" t="s">
        <v>6299</v>
      </c>
      <c r="I1006" t="s">
        <v>52</v>
      </c>
      <c r="J1006" t="s">
        <v>81</v>
      </c>
      <c r="K1006" t="s">
        <v>54</v>
      </c>
      <c r="L1006" t="s">
        <v>55</v>
      </c>
      <c r="O1006" t="s">
        <v>82</v>
      </c>
      <c r="P1006" t="s">
        <v>83</v>
      </c>
      <c r="Q1006" t="s">
        <v>6300</v>
      </c>
      <c r="R1006" t="s">
        <v>6301</v>
      </c>
      <c r="S1006" t="s">
        <v>2895</v>
      </c>
      <c r="T1006" t="s">
        <v>2896</v>
      </c>
      <c r="U1006" t="s">
        <v>2897</v>
      </c>
      <c r="W1006" t="s">
        <v>51</v>
      </c>
    </row>
    <row r="1007" spans="1:24" hidden="1">
      <c r="A1007" t="s">
        <v>2132</v>
      </c>
      <c r="B1007" t="s">
        <v>6296</v>
      </c>
      <c r="C1007" t="s">
        <v>6302</v>
      </c>
      <c r="D1007" t="s">
        <v>17</v>
      </c>
      <c r="E1007" t="s">
        <v>2</v>
      </c>
      <c r="F1007" t="s">
        <v>50</v>
      </c>
      <c r="G1007" t="s">
        <v>51</v>
      </c>
      <c r="H1007" t="s">
        <v>6303</v>
      </c>
      <c r="I1007" t="s">
        <v>52</v>
      </c>
      <c r="J1007" t="s">
        <v>81</v>
      </c>
      <c r="K1007" t="s">
        <v>54</v>
      </c>
      <c r="L1007" t="s">
        <v>55</v>
      </c>
      <c r="O1007" t="s">
        <v>82</v>
      </c>
      <c r="P1007" t="s">
        <v>83</v>
      </c>
      <c r="Q1007" t="s">
        <v>6304</v>
      </c>
      <c r="R1007" t="s">
        <v>6305</v>
      </c>
      <c r="S1007" t="s">
        <v>2895</v>
      </c>
      <c r="T1007" t="s">
        <v>2896</v>
      </c>
      <c r="U1007" t="s">
        <v>2897</v>
      </c>
      <c r="W1007" t="s">
        <v>100</v>
      </c>
    </row>
    <row r="1008" spans="1:24" hidden="1">
      <c r="A1008" t="s">
        <v>2134</v>
      </c>
      <c r="B1008" t="s">
        <v>6296</v>
      </c>
      <c r="C1008" t="s">
        <v>5555</v>
      </c>
      <c r="D1008" t="s">
        <v>17</v>
      </c>
      <c r="E1008" t="s">
        <v>2</v>
      </c>
      <c r="F1008" t="s">
        <v>50</v>
      </c>
      <c r="G1008" t="s">
        <v>51</v>
      </c>
      <c r="H1008" t="s">
        <v>6306</v>
      </c>
      <c r="I1008" t="s">
        <v>52</v>
      </c>
      <c r="J1008" t="s">
        <v>65</v>
      </c>
      <c r="K1008" t="s">
        <v>54</v>
      </c>
      <c r="L1008" t="s">
        <v>55</v>
      </c>
      <c r="O1008" t="s">
        <v>66</v>
      </c>
      <c r="P1008" t="s">
        <v>67</v>
      </c>
      <c r="Q1008" t="s">
        <v>6307</v>
      </c>
      <c r="R1008" t="s">
        <v>6308</v>
      </c>
      <c r="S1008" t="s">
        <v>2895</v>
      </c>
      <c r="T1008" t="s">
        <v>2896</v>
      </c>
      <c r="U1008" t="s">
        <v>2897</v>
      </c>
      <c r="W1008" t="s">
        <v>1969</v>
      </c>
    </row>
    <row r="1009" spans="1:24" hidden="1">
      <c r="A1009" t="s">
        <v>2135</v>
      </c>
      <c r="B1009" t="s">
        <v>6296</v>
      </c>
      <c r="C1009" t="s">
        <v>6309</v>
      </c>
      <c r="D1009" t="s">
        <v>17</v>
      </c>
      <c r="E1009" t="s">
        <v>2</v>
      </c>
      <c r="F1009" t="s">
        <v>50</v>
      </c>
      <c r="G1009" t="s">
        <v>51</v>
      </c>
      <c r="H1009" t="s">
        <v>6310</v>
      </c>
      <c r="I1009" t="s">
        <v>52</v>
      </c>
      <c r="J1009" t="s">
        <v>81</v>
      </c>
      <c r="K1009" t="s">
        <v>54</v>
      </c>
      <c r="L1009" t="s">
        <v>55</v>
      </c>
      <c r="O1009" t="s">
        <v>82</v>
      </c>
      <c r="P1009" t="s">
        <v>83</v>
      </c>
      <c r="Q1009" t="s">
        <v>6311</v>
      </c>
      <c r="R1009" t="s">
        <v>6312</v>
      </c>
      <c r="S1009" t="s">
        <v>2895</v>
      </c>
      <c r="T1009" t="s">
        <v>2896</v>
      </c>
      <c r="U1009" t="s">
        <v>2897</v>
      </c>
      <c r="W1009" t="s">
        <v>321</v>
      </c>
    </row>
    <row r="1010" spans="1:24" hidden="1">
      <c r="A1010" t="s">
        <v>2137</v>
      </c>
      <c r="B1010" t="s">
        <v>6296</v>
      </c>
      <c r="C1010" t="s">
        <v>6274</v>
      </c>
      <c r="D1010" t="s">
        <v>17</v>
      </c>
      <c r="E1010" t="s">
        <v>2</v>
      </c>
      <c r="F1010" t="s">
        <v>50</v>
      </c>
      <c r="G1010" t="s">
        <v>51</v>
      </c>
      <c r="H1010" t="s">
        <v>6313</v>
      </c>
      <c r="I1010" t="s">
        <v>52</v>
      </c>
      <c r="J1010" t="s">
        <v>53</v>
      </c>
      <c r="K1010" t="s">
        <v>54</v>
      </c>
      <c r="L1010" t="s">
        <v>55</v>
      </c>
      <c r="O1010" t="s">
        <v>56</v>
      </c>
      <c r="P1010" t="s">
        <v>57</v>
      </c>
      <c r="Q1010" t="s">
        <v>6314</v>
      </c>
      <c r="R1010" t="s">
        <v>6315</v>
      </c>
      <c r="S1010" t="s">
        <v>2895</v>
      </c>
      <c r="T1010" t="s">
        <v>2896</v>
      </c>
      <c r="U1010" t="s">
        <v>2897</v>
      </c>
      <c r="W1010" t="s">
        <v>51</v>
      </c>
    </row>
    <row r="1011" spans="1:24" hidden="1">
      <c r="A1011" t="s">
        <v>2139</v>
      </c>
      <c r="B1011" t="s">
        <v>6316</v>
      </c>
      <c r="C1011" t="s">
        <v>6317</v>
      </c>
      <c r="D1011" t="s">
        <v>17</v>
      </c>
      <c r="E1011" t="s">
        <v>2</v>
      </c>
      <c r="F1011" t="s">
        <v>50</v>
      </c>
      <c r="G1011" t="s">
        <v>51</v>
      </c>
      <c r="H1011" t="s">
        <v>6318</v>
      </c>
      <c r="I1011" t="s">
        <v>52</v>
      </c>
      <c r="J1011" t="s">
        <v>53</v>
      </c>
      <c r="K1011" t="s">
        <v>54</v>
      </c>
      <c r="L1011" t="s">
        <v>55</v>
      </c>
      <c r="O1011" t="s">
        <v>56</v>
      </c>
      <c r="P1011" t="s">
        <v>57</v>
      </c>
      <c r="Q1011" t="s">
        <v>6319</v>
      </c>
      <c r="R1011" t="s">
        <v>6320</v>
      </c>
      <c r="S1011" t="s">
        <v>2895</v>
      </c>
      <c r="T1011" t="s">
        <v>2896</v>
      </c>
      <c r="U1011" t="s">
        <v>2897</v>
      </c>
      <c r="W1011" t="s">
        <v>72</v>
      </c>
    </row>
    <row r="1012" spans="1:24" hidden="1">
      <c r="A1012" t="s">
        <v>2141</v>
      </c>
      <c r="B1012" t="s">
        <v>6316</v>
      </c>
      <c r="C1012" t="s">
        <v>4518</v>
      </c>
      <c r="D1012" t="s">
        <v>17</v>
      </c>
      <c r="E1012" t="s">
        <v>2</v>
      </c>
      <c r="F1012" t="s">
        <v>50</v>
      </c>
      <c r="G1012" t="s">
        <v>51</v>
      </c>
      <c r="H1012" t="s">
        <v>6321</v>
      </c>
      <c r="I1012" t="s">
        <v>52</v>
      </c>
      <c r="J1012" t="s">
        <v>121</v>
      </c>
      <c r="K1012" t="s">
        <v>54</v>
      </c>
      <c r="L1012" t="s">
        <v>55</v>
      </c>
      <c r="O1012" t="s">
        <v>122</v>
      </c>
      <c r="P1012" t="s">
        <v>123</v>
      </c>
      <c r="Q1012" t="s">
        <v>6322</v>
      </c>
      <c r="R1012" t="s">
        <v>6323</v>
      </c>
      <c r="S1012" t="s">
        <v>2895</v>
      </c>
      <c r="T1012" t="s">
        <v>2896</v>
      </c>
      <c r="U1012" t="s">
        <v>2897</v>
      </c>
      <c r="W1012" t="s">
        <v>51</v>
      </c>
    </row>
    <row r="1013" spans="1:24" hidden="1">
      <c r="A1013" t="s">
        <v>2143</v>
      </c>
      <c r="B1013" t="s">
        <v>6316</v>
      </c>
      <c r="C1013" t="s">
        <v>6324</v>
      </c>
      <c r="D1013" t="s">
        <v>17</v>
      </c>
      <c r="E1013" t="s">
        <v>2</v>
      </c>
      <c r="F1013" t="s">
        <v>50</v>
      </c>
      <c r="G1013" t="s">
        <v>51</v>
      </c>
      <c r="H1013" t="s">
        <v>6325</v>
      </c>
      <c r="I1013" t="s">
        <v>52</v>
      </c>
      <c r="J1013" t="s">
        <v>121</v>
      </c>
      <c r="K1013" t="s">
        <v>54</v>
      </c>
      <c r="L1013" t="s">
        <v>55</v>
      </c>
      <c r="O1013" t="s">
        <v>122</v>
      </c>
      <c r="P1013" t="s">
        <v>123</v>
      </c>
      <c r="Q1013" t="s">
        <v>6326</v>
      </c>
      <c r="R1013" t="s">
        <v>6327</v>
      </c>
      <c r="S1013" t="s">
        <v>2895</v>
      </c>
      <c r="T1013" t="s">
        <v>2896</v>
      </c>
      <c r="U1013" t="s">
        <v>2897</v>
      </c>
      <c r="W1013" t="s">
        <v>51</v>
      </c>
    </row>
    <row r="1014" spans="1:24" hidden="1">
      <c r="A1014" t="s">
        <v>2145</v>
      </c>
      <c r="B1014" t="s">
        <v>6316</v>
      </c>
      <c r="C1014" t="s">
        <v>6328</v>
      </c>
      <c r="D1014" t="s">
        <v>17</v>
      </c>
      <c r="E1014" t="s">
        <v>2</v>
      </c>
      <c r="F1014" t="s">
        <v>50</v>
      </c>
      <c r="G1014" t="s">
        <v>51</v>
      </c>
      <c r="H1014" t="s">
        <v>6329</v>
      </c>
      <c r="I1014" t="s">
        <v>52</v>
      </c>
      <c r="J1014" t="s">
        <v>81</v>
      </c>
      <c r="K1014" t="s">
        <v>54</v>
      </c>
      <c r="L1014" t="s">
        <v>55</v>
      </c>
      <c r="O1014" t="s">
        <v>82</v>
      </c>
      <c r="P1014" t="s">
        <v>83</v>
      </c>
      <c r="Q1014" t="s">
        <v>6330</v>
      </c>
      <c r="R1014" t="s">
        <v>6331</v>
      </c>
      <c r="S1014" t="s">
        <v>2895</v>
      </c>
      <c r="T1014" t="s">
        <v>2896</v>
      </c>
      <c r="U1014" t="s">
        <v>2897</v>
      </c>
      <c r="W1014" t="s">
        <v>51</v>
      </c>
    </row>
    <row r="1015" spans="1:24" hidden="1">
      <c r="A1015" t="s">
        <v>2147</v>
      </c>
      <c r="B1015" t="s">
        <v>6316</v>
      </c>
      <c r="C1015" t="s">
        <v>5667</v>
      </c>
      <c r="D1015" t="s">
        <v>17</v>
      </c>
      <c r="E1015" t="s">
        <v>2</v>
      </c>
      <c r="F1015" t="s">
        <v>50</v>
      </c>
      <c r="G1015" t="s">
        <v>51</v>
      </c>
      <c r="H1015" t="s">
        <v>3714</v>
      </c>
      <c r="I1015" t="s">
        <v>52</v>
      </c>
      <c r="J1015" t="s">
        <v>126</v>
      </c>
      <c r="K1015" t="s">
        <v>54</v>
      </c>
      <c r="L1015" t="s">
        <v>55</v>
      </c>
      <c r="O1015" t="s">
        <v>56</v>
      </c>
      <c r="P1015" t="s">
        <v>57</v>
      </c>
      <c r="Q1015" t="s">
        <v>6332</v>
      </c>
      <c r="R1015" t="s">
        <v>3716</v>
      </c>
      <c r="S1015" t="s">
        <v>2895</v>
      </c>
      <c r="T1015" t="s">
        <v>2896</v>
      </c>
      <c r="U1015" t="s">
        <v>2897</v>
      </c>
      <c r="W1015" t="s">
        <v>51</v>
      </c>
    </row>
    <row r="1016" spans="1:24" hidden="1">
      <c r="A1016" t="s">
        <v>2149</v>
      </c>
      <c r="B1016" t="s">
        <v>6316</v>
      </c>
      <c r="C1016" t="s">
        <v>6333</v>
      </c>
      <c r="D1016" t="s">
        <v>17</v>
      </c>
      <c r="E1016" t="s">
        <v>2</v>
      </c>
      <c r="F1016" t="s">
        <v>50</v>
      </c>
      <c r="G1016" t="s">
        <v>51</v>
      </c>
      <c r="H1016" t="s">
        <v>6334</v>
      </c>
      <c r="I1016" t="s">
        <v>52</v>
      </c>
      <c r="J1016" t="s">
        <v>60</v>
      </c>
      <c r="K1016" t="s">
        <v>54</v>
      </c>
      <c r="L1016" t="s">
        <v>55</v>
      </c>
      <c r="O1016" t="s">
        <v>61</v>
      </c>
      <c r="P1016" t="s">
        <v>62</v>
      </c>
      <c r="Q1016" t="s">
        <v>6335</v>
      </c>
      <c r="R1016" t="s">
        <v>6336</v>
      </c>
      <c r="S1016" t="s">
        <v>2895</v>
      </c>
      <c r="T1016" t="s">
        <v>2896</v>
      </c>
      <c r="U1016" t="s">
        <v>2897</v>
      </c>
      <c r="W1016" t="s">
        <v>51</v>
      </c>
    </row>
    <row r="1017" spans="1:24" hidden="1">
      <c r="A1017" t="s">
        <v>2151</v>
      </c>
      <c r="B1017" t="s">
        <v>6316</v>
      </c>
      <c r="C1017" t="s">
        <v>4489</v>
      </c>
      <c r="D1017" t="s">
        <v>17</v>
      </c>
      <c r="E1017" t="s">
        <v>2</v>
      </c>
      <c r="F1017" t="s">
        <v>50</v>
      </c>
      <c r="G1017" t="s">
        <v>100</v>
      </c>
      <c r="H1017" t="s">
        <v>6337</v>
      </c>
      <c r="I1017" t="s">
        <v>52</v>
      </c>
      <c r="J1017" t="s">
        <v>114</v>
      </c>
      <c r="K1017" t="s">
        <v>54</v>
      </c>
      <c r="L1017" t="s">
        <v>102</v>
      </c>
      <c r="O1017" t="s">
        <v>103</v>
      </c>
      <c r="P1017" t="s">
        <v>104</v>
      </c>
      <c r="Q1017" t="s">
        <v>6338</v>
      </c>
      <c r="R1017" t="s">
        <v>6339</v>
      </c>
      <c r="S1017" t="s">
        <v>2895</v>
      </c>
      <c r="T1017" t="s">
        <v>2896</v>
      </c>
      <c r="U1017" t="s">
        <v>2897</v>
      </c>
      <c r="W1017" t="s">
        <v>51</v>
      </c>
    </row>
    <row r="1018" spans="1:24">
      <c r="A1018" t="s">
        <v>2153</v>
      </c>
      <c r="B1018" t="s">
        <v>6316</v>
      </c>
      <c r="C1018" t="s">
        <v>6340</v>
      </c>
      <c r="D1018" t="s">
        <v>17</v>
      </c>
      <c r="E1018" t="s">
        <v>2</v>
      </c>
      <c r="F1018" t="s">
        <v>149</v>
      </c>
      <c r="G1018" t="s">
        <v>1969</v>
      </c>
      <c r="H1018" t="s">
        <v>6341</v>
      </c>
      <c r="I1018" t="s">
        <v>52</v>
      </c>
      <c r="J1018" t="s">
        <v>1969</v>
      </c>
      <c r="K1018" t="s">
        <v>54</v>
      </c>
      <c r="L1018" t="s">
        <v>1970</v>
      </c>
      <c r="M1018" t="s">
        <v>2155</v>
      </c>
      <c r="N1018" t="s">
        <v>12</v>
      </c>
      <c r="O1018" t="s">
        <v>92</v>
      </c>
      <c r="P1018" t="s">
        <v>1971</v>
      </c>
      <c r="Q1018" t="s">
        <v>6342</v>
      </c>
      <c r="R1018" t="s">
        <v>6341</v>
      </c>
      <c r="S1018" t="s">
        <v>2895</v>
      </c>
      <c r="T1018" t="s">
        <v>92</v>
      </c>
      <c r="U1018" t="s">
        <v>2899</v>
      </c>
      <c r="V1018">
        <v>2</v>
      </c>
      <c r="W1018" t="s">
        <v>1969</v>
      </c>
      <c r="X1018" s="3" t="s">
        <v>2920</v>
      </c>
    </row>
    <row r="1019" spans="1:24" hidden="1">
      <c r="A1019" t="s">
        <v>2156</v>
      </c>
      <c r="B1019" t="s">
        <v>6316</v>
      </c>
      <c r="C1019" t="s">
        <v>4839</v>
      </c>
      <c r="D1019" t="s">
        <v>17</v>
      </c>
      <c r="E1019" t="s">
        <v>2</v>
      </c>
      <c r="F1019" t="s">
        <v>50</v>
      </c>
      <c r="G1019" t="s">
        <v>51</v>
      </c>
      <c r="H1019" t="s">
        <v>6343</v>
      </c>
      <c r="I1019" t="s">
        <v>52</v>
      </c>
      <c r="J1019" t="s">
        <v>65</v>
      </c>
      <c r="K1019" t="s">
        <v>54</v>
      </c>
      <c r="L1019" t="s">
        <v>55</v>
      </c>
      <c r="O1019" t="s">
        <v>66</v>
      </c>
      <c r="P1019" t="s">
        <v>67</v>
      </c>
      <c r="Q1019" t="s">
        <v>6344</v>
      </c>
      <c r="R1019" t="s">
        <v>6345</v>
      </c>
      <c r="S1019" t="s">
        <v>2895</v>
      </c>
      <c r="T1019" t="s">
        <v>2896</v>
      </c>
      <c r="U1019" t="s">
        <v>2897</v>
      </c>
      <c r="W1019" t="s">
        <v>51</v>
      </c>
    </row>
    <row r="1020" spans="1:24" hidden="1">
      <c r="A1020" t="s">
        <v>2158</v>
      </c>
      <c r="B1020" t="s">
        <v>6346</v>
      </c>
      <c r="C1020" t="s">
        <v>3633</v>
      </c>
      <c r="D1020" t="s">
        <v>17</v>
      </c>
      <c r="E1020" t="s">
        <v>2</v>
      </c>
      <c r="F1020" t="s">
        <v>50</v>
      </c>
      <c r="G1020" t="s">
        <v>100</v>
      </c>
      <c r="H1020" t="s">
        <v>2969</v>
      </c>
      <c r="I1020" t="s">
        <v>52</v>
      </c>
      <c r="J1020" t="s">
        <v>101</v>
      </c>
      <c r="K1020" t="s">
        <v>54</v>
      </c>
      <c r="L1020" t="s">
        <v>102</v>
      </c>
      <c r="O1020" t="s">
        <v>103</v>
      </c>
      <c r="P1020" t="s">
        <v>104</v>
      </c>
      <c r="Q1020" t="s">
        <v>6347</v>
      </c>
      <c r="R1020" t="s">
        <v>2971</v>
      </c>
      <c r="S1020" t="s">
        <v>2895</v>
      </c>
      <c r="T1020" t="s">
        <v>2896</v>
      </c>
      <c r="U1020" t="s">
        <v>2897</v>
      </c>
      <c r="W1020" t="s">
        <v>51</v>
      </c>
    </row>
    <row r="1021" spans="1:24" hidden="1">
      <c r="A1021" t="s">
        <v>2160</v>
      </c>
      <c r="B1021" t="s">
        <v>6346</v>
      </c>
      <c r="C1021" t="s">
        <v>6348</v>
      </c>
      <c r="D1021" t="s">
        <v>17</v>
      </c>
      <c r="E1021" t="s">
        <v>2</v>
      </c>
      <c r="F1021" t="s">
        <v>50</v>
      </c>
      <c r="G1021" t="s">
        <v>51</v>
      </c>
      <c r="H1021" t="s">
        <v>6349</v>
      </c>
      <c r="I1021" t="s">
        <v>52</v>
      </c>
      <c r="J1021" t="s">
        <v>81</v>
      </c>
      <c r="K1021" t="s">
        <v>54</v>
      </c>
      <c r="L1021" t="s">
        <v>55</v>
      </c>
      <c r="O1021" t="s">
        <v>82</v>
      </c>
      <c r="P1021" t="s">
        <v>83</v>
      </c>
      <c r="Q1021" t="s">
        <v>6350</v>
      </c>
      <c r="R1021" t="s">
        <v>6351</v>
      </c>
      <c r="S1021" t="s">
        <v>2895</v>
      </c>
      <c r="T1021" t="s">
        <v>2896</v>
      </c>
      <c r="U1021" t="s">
        <v>2897</v>
      </c>
      <c r="W1021" t="s">
        <v>51</v>
      </c>
    </row>
    <row r="1022" spans="1:24" hidden="1">
      <c r="A1022" t="s">
        <v>2162</v>
      </c>
      <c r="B1022" t="s">
        <v>6346</v>
      </c>
      <c r="C1022" t="s">
        <v>3975</v>
      </c>
      <c r="D1022" t="s">
        <v>17</v>
      </c>
      <c r="E1022" t="s">
        <v>2</v>
      </c>
      <c r="F1022" t="s">
        <v>50</v>
      </c>
      <c r="G1022" t="s">
        <v>51</v>
      </c>
      <c r="H1022" t="s">
        <v>6352</v>
      </c>
      <c r="I1022" t="s">
        <v>52</v>
      </c>
      <c r="J1022" t="s">
        <v>60</v>
      </c>
      <c r="K1022" t="s">
        <v>54</v>
      </c>
      <c r="L1022" t="s">
        <v>55</v>
      </c>
      <c r="O1022" t="s">
        <v>61</v>
      </c>
      <c r="P1022" t="s">
        <v>62</v>
      </c>
      <c r="Q1022" t="s">
        <v>6353</v>
      </c>
      <c r="R1022" t="s">
        <v>6354</v>
      </c>
      <c r="S1022" t="s">
        <v>2895</v>
      </c>
      <c r="T1022" t="s">
        <v>2896</v>
      </c>
      <c r="U1022" t="s">
        <v>2897</v>
      </c>
      <c r="W1022" t="s">
        <v>51</v>
      </c>
    </row>
    <row r="1023" spans="1:24" hidden="1">
      <c r="A1023" t="s">
        <v>2164</v>
      </c>
      <c r="B1023" t="s">
        <v>6346</v>
      </c>
      <c r="C1023" t="s">
        <v>3721</v>
      </c>
      <c r="D1023" t="s">
        <v>17</v>
      </c>
      <c r="E1023" t="s">
        <v>2</v>
      </c>
      <c r="F1023" t="s">
        <v>50</v>
      </c>
      <c r="G1023" t="s">
        <v>100</v>
      </c>
      <c r="H1023" t="s">
        <v>2969</v>
      </c>
      <c r="I1023" t="s">
        <v>52</v>
      </c>
      <c r="J1023" t="s">
        <v>101</v>
      </c>
      <c r="K1023" t="s">
        <v>54</v>
      </c>
      <c r="L1023" t="s">
        <v>102</v>
      </c>
      <c r="O1023" t="s">
        <v>103</v>
      </c>
      <c r="P1023" t="s">
        <v>104</v>
      </c>
      <c r="Q1023" t="s">
        <v>6355</v>
      </c>
      <c r="R1023" t="s">
        <v>2971</v>
      </c>
      <c r="S1023" t="s">
        <v>2895</v>
      </c>
      <c r="T1023" t="s">
        <v>2896</v>
      </c>
      <c r="U1023" t="s">
        <v>2897</v>
      </c>
      <c r="W1023" t="s">
        <v>100</v>
      </c>
    </row>
    <row r="1024" spans="1:24" hidden="1">
      <c r="A1024" t="s">
        <v>2166</v>
      </c>
      <c r="B1024" t="s">
        <v>6346</v>
      </c>
      <c r="C1024" t="s">
        <v>3369</v>
      </c>
      <c r="D1024" t="s">
        <v>17</v>
      </c>
      <c r="E1024" t="s">
        <v>2</v>
      </c>
      <c r="F1024" t="s">
        <v>50</v>
      </c>
      <c r="G1024" t="s">
        <v>51</v>
      </c>
      <c r="H1024" t="s">
        <v>6356</v>
      </c>
      <c r="I1024" t="s">
        <v>52</v>
      </c>
      <c r="J1024" t="s">
        <v>81</v>
      </c>
      <c r="K1024" t="s">
        <v>54</v>
      </c>
      <c r="L1024" t="s">
        <v>55</v>
      </c>
      <c r="O1024" t="s">
        <v>82</v>
      </c>
      <c r="P1024" t="s">
        <v>83</v>
      </c>
      <c r="Q1024" t="s">
        <v>6357</v>
      </c>
      <c r="R1024" t="s">
        <v>6358</v>
      </c>
      <c r="S1024" t="s">
        <v>2895</v>
      </c>
      <c r="T1024" t="s">
        <v>2896</v>
      </c>
      <c r="U1024" t="s">
        <v>2897</v>
      </c>
      <c r="W1024" t="s">
        <v>1969</v>
      </c>
    </row>
    <row r="1025" spans="1:24" hidden="1">
      <c r="A1025" t="s">
        <v>2168</v>
      </c>
      <c r="B1025" t="s">
        <v>6346</v>
      </c>
      <c r="C1025" t="s">
        <v>4887</v>
      </c>
      <c r="D1025" t="s">
        <v>17</v>
      </c>
      <c r="E1025" t="s">
        <v>2</v>
      </c>
      <c r="F1025" t="s">
        <v>50</v>
      </c>
      <c r="G1025" t="s">
        <v>51</v>
      </c>
      <c r="H1025" t="s">
        <v>6359</v>
      </c>
      <c r="I1025" t="s">
        <v>52</v>
      </c>
      <c r="J1025" t="s">
        <v>121</v>
      </c>
      <c r="K1025" t="s">
        <v>54</v>
      </c>
      <c r="L1025" t="s">
        <v>55</v>
      </c>
      <c r="O1025" t="s">
        <v>122</v>
      </c>
      <c r="P1025" t="s">
        <v>123</v>
      </c>
      <c r="Q1025" t="s">
        <v>6360</v>
      </c>
      <c r="R1025" t="s">
        <v>6361</v>
      </c>
      <c r="S1025" t="s">
        <v>2895</v>
      </c>
      <c r="T1025" t="s">
        <v>2896</v>
      </c>
      <c r="U1025" t="s">
        <v>2897</v>
      </c>
      <c r="W1025" t="s">
        <v>51</v>
      </c>
    </row>
    <row r="1026" spans="1:24" ht="41.4">
      <c r="A1026" t="s">
        <v>2170</v>
      </c>
      <c r="B1026" t="s">
        <v>6346</v>
      </c>
      <c r="C1026" t="s">
        <v>6362</v>
      </c>
      <c r="D1026" t="s">
        <v>17</v>
      </c>
      <c r="E1026" t="s">
        <v>2</v>
      </c>
      <c r="F1026" t="s">
        <v>50</v>
      </c>
      <c r="G1026" t="s">
        <v>1816</v>
      </c>
      <c r="H1026" t="s">
        <v>6363</v>
      </c>
      <c r="I1026" t="s">
        <v>52</v>
      </c>
      <c r="J1026" t="s">
        <v>1984</v>
      </c>
      <c r="K1026" t="s">
        <v>1985</v>
      </c>
      <c r="L1026" t="s">
        <v>1819</v>
      </c>
      <c r="O1026" t="s">
        <v>1820</v>
      </c>
      <c r="P1026" t="s">
        <v>1821</v>
      </c>
      <c r="Q1026" t="s">
        <v>6364</v>
      </c>
      <c r="R1026" t="s">
        <v>6365</v>
      </c>
      <c r="S1026" t="s">
        <v>2895</v>
      </c>
      <c r="T1026" t="s">
        <v>2896</v>
      </c>
      <c r="U1026" t="s">
        <v>2899</v>
      </c>
      <c r="V1026">
        <v>1</v>
      </c>
      <c r="W1026" t="s">
        <v>1969</v>
      </c>
      <c r="X1026" s="3" t="s">
        <v>7387</v>
      </c>
    </row>
    <row r="1027" spans="1:24" hidden="1">
      <c r="A1027" t="s">
        <v>2172</v>
      </c>
      <c r="B1027" t="s">
        <v>6346</v>
      </c>
      <c r="C1027" t="s">
        <v>4506</v>
      </c>
      <c r="D1027" t="s">
        <v>17</v>
      </c>
      <c r="E1027" t="s">
        <v>2</v>
      </c>
      <c r="F1027" t="s">
        <v>50</v>
      </c>
      <c r="G1027" t="s">
        <v>51</v>
      </c>
      <c r="H1027" t="s">
        <v>6366</v>
      </c>
      <c r="I1027" t="s">
        <v>52</v>
      </c>
      <c r="J1027" t="s">
        <v>81</v>
      </c>
      <c r="K1027" t="s">
        <v>54</v>
      </c>
      <c r="L1027" t="s">
        <v>55</v>
      </c>
      <c r="O1027" t="s">
        <v>82</v>
      </c>
      <c r="P1027" t="s">
        <v>83</v>
      </c>
      <c r="Q1027" t="s">
        <v>6367</v>
      </c>
      <c r="R1027" t="s">
        <v>6368</v>
      </c>
      <c r="S1027" t="s">
        <v>2895</v>
      </c>
      <c r="T1027" t="s">
        <v>2896</v>
      </c>
      <c r="U1027" t="s">
        <v>2897</v>
      </c>
      <c r="W1027" t="s">
        <v>51</v>
      </c>
    </row>
    <row r="1028" spans="1:24" hidden="1">
      <c r="A1028" t="s">
        <v>2174</v>
      </c>
      <c r="B1028" t="s">
        <v>6369</v>
      </c>
      <c r="C1028" t="s">
        <v>6370</v>
      </c>
      <c r="D1028" t="s">
        <v>17</v>
      </c>
      <c r="E1028" t="s">
        <v>2</v>
      </c>
      <c r="F1028" t="s">
        <v>50</v>
      </c>
      <c r="G1028" t="s">
        <v>51</v>
      </c>
      <c r="H1028" t="s">
        <v>6371</v>
      </c>
      <c r="I1028" t="s">
        <v>52</v>
      </c>
      <c r="J1028" t="s">
        <v>121</v>
      </c>
      <c r="K1028" t="s">
        <v>54</v>
      </c>
      <c r="L1028" t="s">
        <v>55</v>
      </c>
      <c r="O1028" t="s">
        <v>122</v>
      </c>
      <c r="P1028" t="s">
        <v>123</v>
      </c>
      <c r="Q1028" t="s">
        <v>6372</v>
      </c>
      <c r="R1028" t="s">
        <v>6373</v>
      </c>
      <c r="S1028" t="s">
        <v>2895</v>
      </c>
      <c r="T1028" t="s">
        <v>2896</v>
      </c>
      <c r="U1028" t="s">
        <v>2897</v>
      </c>
      <c r="W1028" t="s">
        <v>51</v>
      </c>
    </row>
    <row r="1029" spans="1:24" hidden="1">
      <c r="A1029" t="s">
        <v>2176</v>
      </c>
      <c r="B1029" t="s">
        <v>6369</v>
      </c>
      <c r="C1029" t="s">
        <v>6374</v>
      </c>
      <c r="D1029" t="s">
        <v>17</v>
      </c>
      <c r="E1029" t="s">
        <v>2</v>
      </c>
      <c r="F1029" t="s">
        <v>50</v>
      </c>
      <c r="G1029" t="s">
        <v>100</v>
      </c>
      <c r="H1029" t="s">
        <v>2969</v>
      </c>
      <c r="I1029" t="s">
        <v>52</v>
      </c>
      <c r="J1029" t="s">
        <v>101</v>
      </c>
      <c r="K1029" t="s">
        <v>54</v>
      </c>
      <c r="L1029" t="s">
        <v>102</v>
      </c>
      <c r="O1029" t="s">
        <v>103</v>
      </c>
      <c r="P1029" t="s">
        <v>104</v>
      </c>
      <c r="Q1029" t="s">
        <v>6375</v>
      </c>
      <c r="R1029" t="s">
        <v>2971</v>
      </c>
      <c r="S1029" t="s">
        <v>2895</v>
      </c>
      <c r="T1029" t="s">
        <v>2896</v>
      </c>
      <c r="U1029" t="s">
        <v>2897</v>
      </c>
      <c r="W1029" t="s">
        <v>100</v>
      </c>
    </row>
    <row r="1030" spans="1:24" hidden="1">
      <c r="A1030" t="s">
        <v>2178</v>
      </c>
      <c r="B1030" t="s">
        <v>6369</v>
      </c>
      <c r="C1030" t="s">
        <v>4577</v>
      </c>
      <c r="D1030" t="s">
        <v>17</v>
      </c>
      <c r="E1030" t="s">
        <v>2</v>
      </c>
      <c r="F1030" t="s">
        <v>50</v>
      </c>
      <c r="G1030" t="s">
        <v>100</v>
      </c>
      <c r="H1030" t="s">
        <v>6376</v>
      </c>
      <c r="I1030" t="s">
        <v>52</v>
      </c>
      <c r="J1030" t="s">
        <v>114</v>
      </c>
      <c r="K1030" t="s">
        <v>54</v>
      </c>
      <c r="L1030" t="s">
        <v>102</v>
      </c>
      <c r="O1030" t="s">
        <v>103</v>
      </c>
      <c r="P1030" t="s">
        <v>104</v>
      </c>
      <c r="Q1030" t="s">
        <v>6377</v>
      </c>
      <c r="R1030" t="s">
        <v>6378</v>
      </c>
      <c r="S1030" t="s">
        <v>2895</v>
      </c>
      <c r="T1030" t="s">
        <v>2896</v>
      </c>
      <c r="U1030" t="s">
        <v>2897</v>
      </c>
      <c r="W1030" t="s">
        <v>51</v>
      </c>
    </row>
    <row r="1031" spans="1:24" hidden="1">
      <c r="A1031" t="s">
        <v>2180</v>
      </c>
      <c r="B1031" t="s">
        <v>6369</v>
      </c>
      <c r="C1031" t="s">
        <v>5926</v>
      </c>
      <c r="D1031" t="s">
        <v>17</v>
      </c>
      <c r="E1031" t="s">
        <v>2</v>
      </c>
      <c r="F1031" t="s">
        <v>50</v>
      </c>
      <c r="G1031" t="s">
        <v>51</v>
      </c>
      <c r="H1031" t="s">
        <v>6379</v>
      </c>
      <c r="I1031" t="s">
        <v>52</v>
      </c>
      <c r="J1031" t="s">
        <v>196</v>
      </c>
      <c r="K1031" t="s">
        <v>54</v>
      </c>
      <c r="L1031" t="s">
        <v>55</v>
      </c>
      <c r="O1031" t="s">
        <v>197</v>
      </c>
      <c r="P1031" t="s">
        <v>198</v>
      </c>
      <c r="Q1031" t="s">
        <v>6380</v>
      </c>
      <c r="R1031" t="s">
        <v>6381</v>
      </c>
      <c r="S1031" t="s">
        <v>2895</v>
      </c>
      <c r="T1031" t="s">
        <v>2896</v>
      </c>
      <c r="U1031" t="s">
        <v>2897</v>
      </c>
      <c r="W1031" t="s">
        <v>51</v>
      </c>
    </row>
    <row r="1032" spans="1:24" hidden="1">
      <c r="A1032" t="s">
        <v>2182</v>
      </c>
      <c r="B1032" t="s">
        <v>6369</v>
      </c>
      <c r="C1032" t="s">
        <v>3099</v>
      </c>
      <c r="D1032" t="s">
        <v>17</v>
      </c>
      <c r="E1032" t="s">
        <v>2</v>
      </c>
      <c r="F1032" t="s">
        <v>50</v>
      </c>
      <c r="G1032" t="s">
        <v>51</v>
      </c>
      <c r="H1032" t="s">
        <v>6382</v>
      </c>
      <c r="I1032" t="s">
        <v>52</v>
      </c>
      <c r="J1032" t="s">
        <v>121</v>
      </c>
      <c r="K1032" t="s">
        <v>54</v>
      </c>
      <c r="L1032" t="s">
        <v>55</v>
      </c>
      <c r="O1032" t="s">
        <v>122</v>
      </c>
      <c r="P1032" t="s">
        <v>123</v>
      </c>
      <c r="Q1032" t="s">
        <v>6383</v>
      </c>
      <c r="R1032" t="s">
        <v>6384</v>
      </c>
      <c r="S1032" t="s">
        <v>2895</v>
      </c>
      <c r="T1032" t="s">
        <v>2896</v>
      </c>
      <c r="U1032" t="s">
        <v>2897</v>
      </c>
      <c r="W1032" t="s">
        <v>1816</v>
      </c>
    </row>
    <row r="1033" spans="1:24" hidden="1">
      <c r="A1033" t="s">
        <v>2184</v>
      </c>
      <c r="B1033" t="s">
        <v>6369</v>
      </c>
      <c r="C1033" t="s">
        <v>4221</v>
      </c>
      <c r="D1033" t="s">
        <v>17</v>
      </c>
      <c r="E1033" t="s">
        <v>2</v>
      </c>
      <c r="F1033" t="s">
        <v>50</v>
      </c>
      <c r="G1033" t="s">
        <v>51</v>
      </c>
      <c r="H1033" t="s">
        <v>6385</v>
      </c>
      <c r="I1033" t="s">
        <v>52</v>
      </c>
      <c r="J1033" t="s">
        <v>126</v>
      </c>
      <c r="K1033" t="s">
        <v>54</v>
      </c>
      <c r="L1033" t="s">
        <v>55</v>
      </c>
      <c r="O1033" t="s">
        <v>56</v>
      </c>
      <c r="P1033" t="s">
        <v>57</v>
      </c>
      <c r="Q1033" t="s">
        <v>6386</v>
      </c>
      <c r="R1033" t="s">
        <v>6387</v>
      </c>
      <c r="S1033" t="s">
        <v>2895</v>
      </c>
      <c r="T1033" t="s">
        <v>2896</v>
      </c>
      <c r="U1033" t="s">
        <v>2897</v>
      </c>
    </row>
    <row r="1034" spans="1:24" hidden="1">
      <c r="A1034" t="s">
        <v>2186</v>
      </c>
      <c r="B1034" t="s">
        <v>6369</v>
      </c>
      <c r="C1034" t="s">
        <v>5418</v>
      </c>
      <c r="D1034" t="s">
        <v>17</v>
      </c>
      <c r="E1034" t="s">
        <v>2</v>
      </c>
      <c r="F1034" t="s">
        <v>50</v>
      </c>
      <c r="G1034" t="s">
        <v>100</v>
      </c>
      <c r="H1034" t="s">
        <v>3451</v>
      </c>
      <c r="I1034" t="s">
        <v>52</v>
      </c>
      <c r="J1034" t="s">
        <v>384</v>
      </c>
      <c r="K1034" t="s">
        <v>54</v>
      </c>
      <c r="L1034" t="s">
        <v>102</v>
      </c>
      <c r="O1034" t="s">
        <v>178</v>
      </c>
      <c r="P1034" t="s">
        <v>385</v>
      </c>
      <c r="Q1034" t="s">
        <v>6388</v>
      </c>
      <c r="R1034" t="s">
        <v>3453</v>
      </c>
      <c r="S1034" t="s">
        <v>2895</v>
      </c>
      <c r="T1034" t="s">
        <v>2896</v>
      </c>
      <c r="U1034" t="s">
        <v>2897</v>
      </c>
    </row>
    <row r="1035" spans="1:24" hidden="1">
      <c r="A1035" t="s">
        <v>2188</v>
      </c>
      <c r="B1035" t="s">
        <v>6369</v>
      </c>
      <c r="C1035" t="s">
        <v>4325</v>
      </c>
      <c r="D1035" t="s">
        <v>17</v>
      </c>
      <c r="E1035" t="s">
        <v>2</v>
      </c>
      <c r="F1035" t="s">
        <v>50</v>
      </c>
      <c r="G1035" t="s">
        <v>51</v>
      </c>
      <c r="H1035" t="s">
        <v>5718</v>
      </c>
      <c r="I1035" t="s">
        <v>52</v>
      </c>
      <c r="J1035" t="s">
        <v>126</v>
      </c>
      <c r="K1035" t="s">
        <v>54</v>
      </c>
      <c r="L1035" t="s">
        <v>55</v>
      </c>
      <c r="O1035" t="s">
        <v>56</v>
      </c>
      <c r="P1035" t="s">
        <v>57</v>
      </c>
      <c r="Q1035" t="s">
        <v>6389</v>
      </c>
      <c r="R1035" t="s">
        <v>5720</v>
      </c>
      <c r="S1035" t="s">
        <v>2895</v>
      </c>
      <c r="T1035" t="s">
        <v>2896</v>
      </c>
      <c r="U1035" t="s">
        <v>2897</v>
      </c>
    </row>
    <row r="1036" spans="1:24" hidden="1">
      <c r="A1036" t="s">
        <v>2190</v>
      </c>
      <c r="B1036" t="s">
        <v>6369</v>
      </c>
      <c r="C1036" t="s">
        <v>6390</v>
      </c>
      <c r="D1036" t="s">
        <v>17</v>
      </c>
      <c r="E1036" t="s">
        <v>2</v>
      </c>
      <c r="F1036" t="s">
        <v>50</v>
      </c>
      <c r="G1036" t="s">
        <v>51</v>
      </c>
      <c r="H1036" t="s">
        <v>6391</v>
      </c>
      <c r="I1036" t="s">
        <v>52</v>
      </c>
      <c r="J1036" t="s">
        <v>196</v>
      </c>
      <c r="K1036" t="s">
        <v>54</v>
      </c>
      <c r="L1036" t="s">
        <v>55</v>
      </c>
      <c r="O1036" t="s">
        <v>197</v>
      </c>
      <c r="P1036" t="s">
        <v>198</v>
      </c>
      <c r="Q1036" t="s">
        <v>6392</v>
      </c>
      <c r="R1036" t="s">
        <v>6393</v>
      </c>
      <c r="S1036" t="s">
        <v>2895</v>
      </c>
      <c r="T1036" t="s">
        <v>2896</v>
      </c>
      <c r="U1036" t="s">
        <v>2897</v>
      </c>
    </row>
    <row r="1037" spans="1:24" hidden="1">
      <c r="A1037" t="s">
        <v>2192</v>
      </c>
      <c r="B1037" t="s">
        <v>6394</v>
      </c>
      <c r="C1037" t="s">
        <v>6395</v>
      </c>
      <c r="D1037" t="s">
        <v>17</v>
      </c>
      <c r="E1037" t="s">
        <v>2</v>
      </c>
      <c r="F1037" t="s">
        <v>50</v>
      </c>
      <c r="G1037" t="s">
        <v>100</v>
      </c>
      <c r="H1037" t="s">
        <v>6396</v>
      </c>
      <c r="I1037" t="s">
        <v>52</v>
      </c>
      <c r="J1037" t="s">
        <v>114</v>
      </c>
      <c r="K1037" t="s">
        <v>54</v>
      </c>
      <c r="L1037" t="s">
        <v>102</v>
      </c>
      <c r="O1037" t="s">
        <v>103</v>
      </c>
      <c r="P1037" t="s">
        <v>104</v>
      </c>
      <c r="Q1037" t="s">
        <v>6397</v>
      </c>
      <c r="R1037" t="s">
        <v>6398</v>
      </c>
      <c r="S1037" t="s">
        <v>2895</v>
      </c>
      <c r="T1037" t="s">
        <v>2896</v>
      </c>
      <c r="U1037" t="s">
        <v>2897</v>
      </c>
    </row>
    <row r="1038" spans="1:24" hidden="1">
      <c r="A1038" t="s">
        <v>2194</v>
      </c>
      <c r="B1038" t="s">
        <v>6394</v>
      </c>
      <c r="C1038" t="s">
        <v>3574</v>
      </c>
      <c r="D1038" t="s">
        <v>17</v>
      </c>
      <c r="E1038" t="s">
        <v>2</v>
      </c>
      <c r="F1038" t="s">
        <v>50</v>
      </c>
      <c r="G1038" t="s">
        <v>51</v>
      </c>
      <c r="H1038" t="s">
        <v>6399</v>
      </c>
      <c r="I1038" t="s">
        <v>52</v>
      </c>
      <c r="J1038" t="s">
        <v>126</v>
      </c>
      <c r="K1038" t="s">
        <v>54</v>
      </c>
      <c r="L1038" t="s">
        <v>55</v>
      </c>
      <c r="O1038" t="s">
        <v>56</v>
      </c>
      <c r="P1038" t="s">
        <v>57</v>
      </c>
      <c r="Q1038" t="s">
        <v>6400</v>
      </c>
      <c r="R1038" t="s">
        <v>6401</v>
      </c>
      <c r="S1038" t="s">
        <v>2895</v>
      </c>
      <c r="T1038" t="s">
        <v>2896</v>
      </c>
      <c r="U1038" t="s">
        <v>2897</v>
      </c>
    </row>
    <row r="1039" spans="1:24" hidden="1">
      <c r="A1039" t="s">
        <v>2196</v>
      </c>
      <c r="B1039" t="s">
        <v>6394</v>
      </c>
      <c r="C1039" t="s">
        <v>5953</v>
      </c>
      <c r="D1039" t="s">
        <v>17</v>
      </c>
      <c r="E1039" t="s">
        <v>2</v>
      </c>
      <c r="F1039" t="s">
        <v>50</v>
      </c>
      <c r="G1039" t="s">
        <v>100</v>
      </c>
      <c r="H1039" t="s">
        <v>2969</v>
      </c>
      <c r="I1039" t="s">
        <v>52</v>
      </c>
      <c r="J1039" t="s">
        <v>101</v>
      </c>
      <c r="K1039" t="s">
        <v>54</v>
      </c>
      <c r="L1039" t="s">
        <v>102</v>
      </c>
      <c r="O1039" t="s">
        <v>103</v>
      </c>
      <c r="P1039" t="s">
        <v>104</v>
      </c>
      <c r="Q1039" t="s">
        <v>6402</v>
      </c>
      <c r="R1039" t="s">
        <v>2971</v>
      </c>
      <c r="S1039" t="s">
        <v>2895</v>
      </c>
      <c r="T1039" t="s">
        <v>2896</v>
      </c>
      <c r="U1039" t="s">
        <v>2897</v>
      </c>
    </row>
    <row r="1040" spans="1:24" hidden="1">
      <c r="A1040" t="s">
        <v>2198</v>
      </c>
      <c r="B1040" t="s">
        <v>6394</v>
      </c>
      <c r="C1040" t="s">
        <v>6403</v>
      </c>
      <c r="D1040" t="s">
        <v>17</v>
      </c>
      <c r="E1040" t="s">
        <v>2</v>
      </c>
      <c r="F1040" t="s">
        <v>50</v>
      </c>
      <c r="G1040" t="s">
        <v>51</v>
      </c>
      <c r="H1040" t="s">
        <v>6404</v>
      </c>
      <c r="I1040" t="s">
        <v>52</v>
      </c>
      <c r="J1040" t="s">
        <v>121</v>
      </c>
      <c r="K1040" t="s">
        <v>54</v>
      </c>
      <c r="L1040" t="s">
        <v>55</v>
      </c>
      <c r="O1040" t="s">
        <v>122</v>
      </c>
      <c r="P1040" t="s">
        <v>123</v>
      </c>
      <c r="Q1040" t="s">
        <v>6405</v>
      </c>
      <c r="R1040" t="s">
        <v>6406</v>
      </c>
      <c r="S1040" t="s">
        <v>2895</v>
      </c>
      <c r="T1040" t="s">
        <v>2896</v>
      </c>
      <c r="U1040" t="s">
        <v>2897</v>
      </c>
    </row>
    <row r="1041" spans="1:21" hidden="1">
      <c r="A1041" t="s">
        <v>2200</v>
      </c>
      <c r="B1041" t="s">
        <v>6394</v>
      </c>
      <c r="C1041" t="s">
        <v>3487</v>
      </c>
      <c r="D1041" t="s">
        <v>17</v>
      </c>
      <c r="E1041" t="s">
        <v>2</v>
      </c>
      <c r="F1041" t="s">
        <v>50</v>
      </c>
      <c r="G1041" t="s">
        <v>100</v>
      </c>
      <c r="H1041" t="s">
        <v>6407</v>
      </c>
      <c r="I1041" t="s">
        <v>52</v>
      </c>
      <c r="J1041" t="s">
        <v>114</v>
      </c>
      <c r="K1041" t="s">
        <v>54</v>
      </c>
      <c r="L1041" t="s">
        <v>102</v>
      </c>
      <c r="O1041" t="s">
        <v>103</v>
      </c>
      <c r="P1041" t="s">
        <v>104</v>
      </c>
      <c r="Q1041" t="s">
        <v>6408</v>
      </c>
      <c r="R1041" t="s">
        <v>6409</v>
      </c>
      <c r="S1041" t="s">
        <v>2895</v>
      </c>
      <c r="T1041" t="s">
        <v>2896</v>
      </c>
      <c r="U1041" t="s">
        <v>2897</v>
      </c>
    </row>
    <row r="1042" spans="1:21" hidden="1">
      <c r="A1042" t="s">
        <v>2202</v>
      </c>
      <c r="B1042" t="s">
        <v>6394</v>
      </c>
      <c r="C1042" t="s">
        <v>3847</v>
      </c>
      <c r="D1042" t="s">
        <v>17</v>
      </c>
      <c r="E1042" t="s">
        <v>2</v>
      </c>
      <c r="F1042" t="s">
        <v>50</v>
      </c>
      <c r="G1042" t="s">
        <v>100</v>
      </c>
      <c r="H1042" t="s">
        <v>2969</v>
      </c>
      <c r="I1042" t="s">
        <v>52</v>
      </c>
      <c r="J1042" t="s">
        <v>101</v>
      </c>
      <c r="K1042" t="s">
        <v>54</v>
      </c>
      <c r="L1042" t="s">
        <v>102</v>
      </c>
      <c r="O1042" t="s">
        <v>103</v>
      </c>
      <c r="P1042" t="s">
        <v>104</v>
      </c>
      <c r="Q1042" t="s">
        <v>6410</v>
      </c>
      <c r="R1042" t="s">
        <v>2971</v>
      </c>
      <c r="S1042" t="s">
        <v>2895</v>
      </c>
      <c r="T1042" t="s">
        <v>2896</v>
      </c>
      <c r="U1042" t="s">
        <v>2897</v>
      </c>
    </row>
    <row r="1043" spans="1:21" hidden="1">
      <c r="A1043" t="s">
        <v>2204</v>
      </c>
      <c r="B1043" t="s">
        <v>6394</v>
      </c>
      <c r="C1043" t="s">
        <v>3541</v>
      </c>
      <c r="D1043" t="s">
        <v>17</v>
      </c>
      <c r="E1043" t="s">
        <v>2</v>
      </c>
      <c r="F1043" t="s">
        <v>50</v>
      </c>
      <c r="G1043" t="s">
        <v>51</v>
      </c>
      <c r="H1043" t="s">
        <v>6411</v>
      </c>
      <c r="I1043" t="s">
        <v>52</v>
      </c>
      <c r="J1043" t="s">
        <v>196</v>
      </c>
      <c r="K1043" t="s">
        <v>54</v>
      </c>
      <c r="L1043" t="s">
        <v>55</v>
      </c>
      <c r="O1043" t="s">
        <v>197</v>
      </c>
      <c r="P1043" t="s">
        <v>198</v>
      </c>
      <c r="Q1043" t="s">
        <v>6412</v>
      </c>
      <c r="R1043" t="s">
        <v>6413</v>
      </c>
      <c r="S1043" t="s">
        <v>2895</v>
      </c>
      <c r="T1043" t="s">
        <v>2896</v>
      </c>
      <c r="U1043" t="s">
        <v>2897</v>
      </c>
    </row>
    <row r="1044" spans="1:21" hidden="1">
      <c r="A1044" t="s">
        <v>2206</v>
      </c>
      <c r="B1044" t="s">
        <v>6394</v>
      </c>
      <c r="C1044" t="s">
        <v>6414</v>
      </c>
      <c r="D1044" t="s">
        <v>17</v>
      </c>
      <c r="E1044" t="s">
        <v>2</v>
      </c>
      <c r="F1044" t="s">
        <v>50</v>
      </c>
      <c r="G1044" t="s">
        <v>88</v>
      </c>
      <c r="H1044" t="s">
        <v>4794</v>
      </c>
      <c r="I1044" t="s">
        <v>52</v>
      </c>
      <c r="J1044" t="s">
        <v>89</v>
      </c>
      <c r="K1044" t="s">
        <v>54</v>
      </c>
      <c r="L1044" t="s">
        <v>90</v>
      </c>
      <c r="M1044" t="s">
        <v>91</v>
      </c>
      <c r="N1044" t="s">
        <v>12</v>
      </c>
      <c r="O1044" t="s">
        <v>92</v>
      </c>
      <c r="P1044" t="s">
        <v>93</v>
      </c>
      <c r="Q1044" t="s">
        <v>6415</v>
      </c>
      <c r="R1044" t="s">
        <v>4796</v>
      </c>
      <c r="S1044" t="s">
        <v>2895</v>
      </c>
      <c r="T1044" t="s">
        <v>2896</v>
      </c>
      <c r="U1044" t="s">
        <v>2897</v>
      </c>
    </row>
    <row r="1045" spans="1:21" hidden="1">
      <c r="A1045" t="s">
        <v>2208</v>
      </c>
      <c r="B1045" t="s">
        <v>6416</v>
      </c>
      <c r="C1045" t="s">
        <v>6417</v>
      </c>
      <c r="D1045" t="s">
        <v>17</v>
      </c>
      <c r="E1045" t="s">
        <v>2</v>
      </c>
      <c r="F1045" t="s">
        <v>50</v>
      </c>
      <c r="G1045" t="s">
        <v>51</v>
      </c>
      <c r="H1045" t="s">
        <v>6418</v>
      </c>
      <c r="I1045" t="s">
        <v>52</v>
      </c>
      <c r="J1045" t="s">
        <v>53</v>
      </c>
      <c r="K1045" t="s">
        <v>54</v>
      </c>
      <c r="L1045" t="s">
        <v>55</v>
      </c>
      <c r="O1045" t="s">
        <v>56</v>
      </c>
      <c r="P1045" t="s">
        <v>57</v>
      </c>
      <c r="Q1045" t="s">
        <v>6419</v>
      </c>
      <c r="R1045" t="s">
        <v>6420</v>
      </c>
      <c r="S1045" t="s">
        <v>2895</v>
      </c>
      <c r="T1045" t="s">
        <v>2896</v>
      </c>
      <c r="U1045" t="s">
        <v>2897</v>
      </c>
    </row>
    <row r="1046" spans="1:21" hidden="1">
      <c r="A1046" t="s">
        <v>2210</v>
      </c>
      <c r="B1046" t="s">
        <v>6416</v>
      </c>
      <c r="C1046" t="s">
        <v>4432</v>
      </c>
      <c r="D1046" t="s">
        <v>17</v>
      </c>
      <c r="E1046" t="s">
        <v>2</v>
      </c>
      <c r="F1046" t="s">
        <v>50</v>
      </c>
      <c r="G1046" t="s">
        <v>100</v>
      </c>
      <c r="H1046" t="s">
        <v>6376</v>
      </c>
      <c r="I1046" t="s">
        <v>52</v>
      </c>
      <c r="J1046" t="s">
        <v>114</v>
      </c>
      <c r="K1046" t="s">
        <v>54</v>
      </c>
      <c r="L1046" t="s">
        <v>102</v>
      </c>
      <c r="O1046" t="s">
        <v>103</v>
      </c>
      <c r="P1046" t="s">
        <v>104</v>
      </c>
      <c r="Q1046" t="s">
        <v>6421</v>
      </c>
      <c r="R1046" t="s">
        <v>6378</v>
      </c>
      <c r="S1046" t="s">
        <v>2895</v>
      </c>
      <c r="T1046" t="s">
        <v>2896</v>
      </c>
      <c r="U1046" t="s">
        <v>2897</v>
      </c>
    </row>
    <row r="1047" spans="1:21" hidden="1">
      <c r="A1047" t="s">
        <v>2212</v>
      </c>
      <c r="B1047" t="s">
        <v>6416</v>
      </c>
      <c r="C1047" t="s">
        <v>2964</v>
      </c>
      <c r="D1047" t="s">
        <v>17</v>
      </c>
      <c r="E1047" t="s">
        <v>2</v>
      </c>
      <c r="F1047" t="s">
        <v>50</v>
      </c>
      <c r="G1047" t="s">
        <v>100</v>
      </c>
      <c r="H1047" t="s">
        <v>2969</v>
      </c>
      <c r="I1047" t="s">
        <v>52</v>
      </c>
      <c r="J1047" t="s">
        <v>101</v>
      </c>
      <c r="K1047" t="s">
        <v>54</v>
      </c>
      <c r="L1047" t="s">
        <v>102</v>
      </c>
      <c r="O1047" t="s">
        <v>103</v>
      </c>
      <c r="P1047" t="s">
        <v>104</v>
      </c>
      <c r="Q1047" t="s">
        <v>6422</v>
      </c>
      <c r="R1047" t="s">
        <v>2971</v>
      </c>
      <c r="S1047" t="s">
        <v>2895</v>
      </c>
      <c r="T1047" t="s">
        <v>2896</v>
      </c>
      <c r="U1047" t="s">
        <v>2897</v>
      </c>
    </row>
    <row r="1048" spans="1:21" hidden="1">
      <c r="A1048" t="s">
        <v>2214</v>
      </c>
      <c r="B1048" t="s">
        <v>6416</v>
      </c>
      <c r="C1048" t="s">
        <v>4918</v>
      </c>
      <c r="D1048" t="s">
        <v>17</v>
      </c>
      <c r="E1048" t="s">
        <v>2</v>
      </c>
      <c r="F1048" t="s">
        <v>50</v>
      </c>
      <c r="G1048" t="s">
        <v>51</v>
      </c>
      <c r="H1048" t="s">
        <v>6423</v>
      </c>
      <c r="I1048" t="s">
        <v>52</v>
      </c>
      <c r="J1048" t="s">
        <v>60</v>
      </c>
      <c r="K1048" t="s">
        <v>54</v>
      </c>
      <c r="L1048" t="s">
        <v>55</v>
      </c>
      <c r="O1048" t="s">
        <v>61</v>
      </c>
      <c r="P1048" t="s">
        <v>62</v>
      </c>
      <c r="Q1048" t="s">
        <v>6424</v>
      </c>
      <c r="R1048" t="s">
        <v>6425</v>
      </c>
      <c r="S1048" t="s">
        <v>2895</v>
      </c>
      <c r="T1048" t="s">
        <v>2896</v>
      </c>
      <c r="U1048" t="s">
        <v>2897</v>
      </c>
    </row>
    <row r="1049" spans="1:21" hidden="1">
      <c r="A1049" t="s">
        <v>2216</v>
      </c>
      <c r="B1049" t="s">
        <v>6416</v>
      </c>
      <c r="C1049" t="s">
        <v>6426</v>
      </c>
      <c r="D1049" t="s">
        <v>17</v>
      </c>
      <c r="E1049" t="s">
        <v>2</v>
      </c>
      <c r="F1049" t="s">
        <v>50</v>
      </c>
      <c r="G1049" t="s">
        <v>51</v>
      </c>
      <c r="H1049" t="s">
        <v>6427</v>
      </c>
      <c r="I1049" t="s">
        <v>52</v>
      </c>
      <c r="J1049" t="s">
        <v>126</v>
      </c>
      <c r="K1049" t="s">
        <v>54</v>
      </c>
      <c r="L1049" t="s">
        <v>55</v>
      </c>
      <c r="O1049" t="s">
        <v>56</v>
      </c>
      <c r="P1049" t="s">
        <v>57</v>
      </c>
      <c r="Q1049" t="s">
        <v>6428</v>
      </c>
      <c r="R1049" t="s">
        <v>6429</v>
      </c>
      <c r="S1049" t="s">
        <v>2895</v>
      </c>
      <c r="T1049" t="s">
        <v>2896</v>
      </c>
      <c r="U1049" t="s">
        <v>2897</v>
      </c>
    </row>
    <row r="1050" spans="1:21" hidden="1">
      <c r="A1050" t="s">
        <v>2218</v>
      </c>
      <c r="B1050" t="s">
        <v>6416</v>
      </c>
      <c r="C1050" t="s">
        <v>3122</v>
      </c>
      <c r="D1050" t="s">
        <v>17</v>
      </c>
      <c r="E1050" t="s">
        <v>2</v>
      </c>
      <c r="F1050" t="s">
        <v>50</v>
      </c>
      <c r="G1050" t="s">
        <v>100</v>
      </c>
      <c r="H1050" t="s">
        <v>6430</v>
      </c>
      <c r="I1050" t="s">
        <v>52</v>
      </c>
      <c r="J1050" t="s">
        <v>114</v>
      </c>
      <c r="K1050" t="s">
        <v>54</v>
      </c>
      <c r="L1050" t="s">
        <v>102</v>
      </c>
      <c r="O1050" t="s">
        <v>103</v>
      </c>
      <c r="P1050" t="s">
        <v>104</v>
      </c>
      <c r="Q1050" t="s">
        <v>6431</v>
      </c>
      <c r="R1050" t="s">
        <v>6432</v>
      </c>
      <c r="S1050" t="s">
        <v>2895</v>
      </c>
      <c r="T1050" t="s">
        <v>2896</v>
      </c>
      <c r="U1050" t="s">
        <v>2897</v>
      </c>
    </row>
    <row r="1051" spans="1:21" hidden="1">
      <c r="A1051" t="s">
        <v>2220</v>
      </c>
      <c r="B1051" t="s">
        <v>6416</v>
      </c>
      <c r="C1051" t="s">
        <v>4909</v>
      </c>
      <c r="D1051" t="s">
        <v>17</v>
      </c>
      <c r="E1051" t="s">
        <v>2</v>
      </c>
      <c r="F1051" t="s">
        <v>50</v>
      </c>
      <c r="G1051" t="s">
        <v>51</v>
      </c>
      <c r="H1051" t="s">
        <v>6433</v>
      </c>
      <c r="I1051" t="s">
        <v>52</v>
      </c>
      <c r="J1051" t="s">
        <v>196</v>
      </c>
      <c r="K1051" t="s">
        <v>54</v>
      </c>
      <c r="L1051" t="s">
        <v>55</v>
      </c>
      <c r="O1051" t="s">
        <v>197</v>
      </c>
      <c r="P1051" t="s">
        <v>198</v>
      </c>
      <c r="Q1051" t="s">
        <v>6434</v>
      </c>
      <c r="R1051" t="s">
        <v>6435</v>
      </c>
      <c r="S1051" t="s">
        <v>2895</v>
      </c>
      <c r="T1051" t="s">
        <v>2896</v>
      </c>
      <c r="U1051" t="s">
        <v>2897</v>
      </c>
    </row>
    <row r="1052" spans="1:21" hidden="1">
      <c r="A1052" t="s">
        <v>2222</v>
      </c>
      <c r="B1052" t="s">
        <v>6416</v>
      </c>
      <c r="C1052" t="s">
        <v>6436</v>
      </c>
      <c r="D1052" t="s">
        <v>17</v>
      </c>
      <c r="E1052" t="s">
        <v>2</v>
      </c>
      <c r="F1052" t="s">
        <v>50</v>
      </c>
      <c r="G1052" t="s">
        <v>51</v>
      </c>
      <c r="H1052" t="s">
        <v>6437</v>
      </c>
      <c r="I1052" t="s">
        <v>52</v>
      </c>
      <c r="J1052" t="s">
        <v>196</v>
      </c>
      <c r="K1052" t="s">
        <v>54</v>
      </c>
      <c r="L1052" t="s">
        <v>55</v>
      </c>
      <c r="O1052" t="s">
        <v>197</v>
      </c>
      <c r="P1052" t="s">
        <v>198</v>
      </c>
      <c r="Q1052" t="s">
        <v>6438</v>
      </c>
      <c r="R1052" t="s">
        <v>6439</v>
      </c>
      <c r="S1052" t="s">
        <v>2895</v>
      </c>
      <c r="T1052" t="s">
        <v>2896</v>
      </c>
      <c r="U1052" t="s">
        <v>2897</v>
      </c>
    </row>
    <row r="1053" spans="1:21" hidden="1">
      <c r="A1053" t="s">
        <v>2224</v>
      </c>
      <c r="B1053" t="s">
        <v>6440</v>
      </c>
      <c r="C1053" t="s">
        <v>3211</v>
      </c>
      <c r="D1053" t="s">
        <v>17</v>
      </c>
      <c r="E1053" t="s">
        <v>2</v>
      </c>
      <c r="F1053" t="s">
        <v>50</v>
      </c>
      <c r="G1053" t="s">
        <v>51</v>
      </c>
      <c r="H1053" t="s">
        <v>6441</v>
      </c>
      <c r="I1053" t="s">
        <v>52</v>
      </c>
      <c r="J1053" t="s">
        <v>65</v>
      </c>
      <c r="K1053" t="s">
        <v>54</v>
      </c>
      <c r="L1053" t="s">
        <v>55</v>
      </c>
      <c r="O1053" t="s">
        <v>66</v>
      </c>
      <c r="P1053" t="s">
        <v>67</v>
      </c>
      <c r="Q1053" t="s">
        <v>6442</v>
      </c>
      <c r="R1053" t="s">
        <v>6443</v>
      </c>
      <c r="S1053" t="s">
        <v>2895</v>
      </c>
      <c r="T1053" t="s">
        <v>2896</v>
      </c>
      <c r="U1053" t="s">
        <v>2897</v>
      </c>
    </row>
    <row r="1054" spans="1:21" hidden="1">
      <c r="A1054" t="s">
        <v>2226</v>
      </c>
      <c r="B1054" t="s">
        <v>6440</v>
      </c>
      <c r="C1054" t="s">
        <v>6444</v>
      </c>
      <c r="D1054" t="s">
        <v>17</v>
      </c>
      <c r="E1054" t="s">
        <v>2</v>
      </c>
      <c r="F1054" t="s">
        <v>50</v>
      </c>
      <c r="G1054" t="s">
        <v>51</v>
      </c>
      <c r="H1054" t="s">
        <v>6445</v>
      </c>
      <c r="I1054" t="s">
        <v>52</v>
      </c>
      <c r="J1054" t="s">
        <v>196</v>
      </c>
      <c r="K1054" t="s">
        <v>54</v>
      </c>
      <c r="L1054" t="s">
        <v>55</v>
      </c>
      <c r="O1054" t="s">
        <v>197</v>
      </c>
      <c r="P1054" t="s">
        <v>198</v>
      </c>
      <c r="Q1054" t="s">
        <v>6446</v>
      </c>
      <c r="R1054" t="s">
        <v>6447</v>
      </c>
      <c r="S1054" t="s">
        <v>2895</v>
      </c>
      <c r="T1054" t="s">
        <v>2896</v>
      </c>
      <c r="U1054" t="s">
        <v>2897</v>
      </c>
    </row>
    <row r="1055" spans="1:21" hidden="1">
      <c r="A1055" t="s">
        <v>2228</v>
      </c>
      <c r="B1055" t="s">
        <v>6440</v>
      </c>
      <c r="C1055" t="s">
        <v>5411</v>
      </c>
      <c r="D1055" t="s">
        <v>17</v>
      </c>
      <c r="E1055" t="s">
        <v>2</v>
      </c>
      <c r="F1055" t="s">
        <v>50</v>
      </c>
      <c r="G1055" t="s">
        <v>51</v>
      </c>
      <c r="H1055" t="s">
        <v>6448</v>
      </c>
      <c r="I1055" t="s">
        <v>52</v>
      </c>
      <c r="J1055" t="s">
        <v>65</v>
      </c>
      <c r="K1055" t="s">
        <v>54</v>
      </c>
      <c r="L1055" t="s">
        <v>55</v>
      </c>
      <c r="O1055" t="s">
        <v>66</v>
      </c>
      <c r="P1055" t="s">
        <v>67</v>
      </c>
      <c r="Q1055" t="s">
        <v>6449</v>
      </c>
      <c r="R1055" t="s">
        <v>6450</v>
      </c>
      <c r="S1055" t="s">
        <v>2895</v>
      </c>
      <c r="T1055" t="s">
        <v>2896</v>
      </c>
      <c r="U1055" t="s">
        <v>2897</v>
      </c>
    </row>
    <row r="1056" spans="1:21" hidden="1">
      <c r="A1056" t="s">
        <v>2230</v>
      </c>
      <c r="B1056" t="s">
        <v>6440</v>
      </c>
      <c r="C1056" t="s">
        <v>6451</v>
      </c>
      <c r="D1056" t="s">
        <v>17</v>
      </c>
      <c r="E1056" t="s">
        <v>2</v>
      </c>
      <c r="F1056" t="s">
        <v>50</v>
      </c>
      <c r="G1056" t="s">
        <v>51</v>
      </c>
      <c r="H1056" t="s">
        <v>6452</v>
      </c>
      <c r="I1056" t="s">
        <v>52</v>
      </c>
      <c r="J1056" t="s">
        <v>53</v>
      </c>
      <c r="K1056" t="s">
        <v>54</v>
      </c>
      <c r="L1056" t="s">
        <v>55</v>
      </c>
      <c r="O1056" t="s">
        <v>56</v>
      </c>
      <c r="P1056" t="s">
        <v>57</v>
      </c>
      <c r="Q1056" t="s">
        <v>6453</v>
      </c>
      <c r="R1056" t="s">
        <v>6454</v>
      </c>
      <c r="S1056" t="s">
        <v>2895</v>
      </c>
      <c r="T1056" t="s">
        <v>2896</v>
      </c>
      <c r="U1056" t="s">
        <v>2897</v>
      </c>
    </row>
    <row r="1057" spans="1:21" hidden="1">
      <c r="A1057" t="s">
        <v>2232</v>
      </c>
      <c r="B1057" t="s">
        <v>6440</v>
      </c>
      <c r="C1057" t="s">
        <v>6170</v>
      </c>
      <c r="D1057" t="s">
        <v>17</v>
      </c>
      <c r="E1057" t="s">
        <v>2</v>
      </c>
      <c r="F1057" t="s">
        <v>50</v>
      </c>
      <c r="G1057" t="s">
        <v>51</v>
      </c>
      <c r="H1057" t="s">
        <v>6455</v>
      </c>
      <c r="I1057" t="s">
        <v>52</v>
      </c>
      <c r="J1057" t="s">
        <v>121</v>
      </c>
      <c r="K1057" t="s">
        <v>54</v>
      </c>
      <c r="L1057" t="s">
        <v>55</v>
      </c>
      <c r="O1057" t="s">
        <v>122</v>
      </c>
      <c r="P1057" t="s">
        <v>123</v>
      </c>
      <c r="Q1057" t="s">
        <v>6456</v>
      </c>
      <c r="R1057" t="s">
        <v>6457</v>
      </c>
      <c r="S1057" t="s">
        <v>2895</v>
      </c>
      <c r="T1057" t="s">
        <v>2896</v>
      </c>
      <c r="U1057" t="s">
        <v>2897</v>
      </c>
    </row>
    <row r="1058" spans="1:21" hidden="1">
      <c r="A1058" t="s">
        <v>2234</v>
      </c>
      <c r="B1058" t="s">
        <v>6440</v>
      </c>
      <c r="C1058" t="s">
        <v>6458</v>
      </c>
      <c r="D1058" t="s">
        <v>17</v>
      </c>
      <c r="E1058" t="s">
        <v>2</v>
      </c>
      <c r="F1058" t="s">
        <v>50</v>
      </c>
      <c r="G1058" t="s">
        <v>51</v>
      </c>
      <c r="H1058" t="s">
        <v>6459</v>
      </c>
      <c r="I1058" t="s">
        <v>52</v>
      </c>
      <c r="J1058" t="s">
        <v>81</v>
      </c>
      <c r="K1058" t="s">
        <v>54</v>
      </c>
      <c r="L1058" t="s">
        <v>55</v>
      </c>
      <c r="O1058" t="s">
        <v>82</v>
      </c>
      <c r="P1058" t="s">
        <v>83</v>
      </c>
      <c r="Q1058" t="s">
        <v>6460</v>
      </c>
      <c r="R1058" t="s">
        <v>6461</v>
      </c>
      <c r="S1058" t="s">
        <v>2895</v>
      </c>
      <c r="T1058" t="s">
        <v>2896</v>
      </c>
      <c r="U1058" t="s">
        <v>2897</v>
      </c>
    </row>
    <row r="1059" spans="1:21" hidden="1">
      <c r="A1059" t="s">
        <v>2236</v>
      </c>
      <c r="B1059" t="s">
        <v>6462</v>
      </c>
      <c r="C1059" t="s">
        <v>3595</v>
      </c>
      <c r="D1059" t="s">
        <v>17</v>
      </c>
      <c r="E1059" t="s">
        <v>2</v>
      </c>
      <c r="F1059" t="s">
        <v>50</v>
      </c>
      <c r="G1059" t="s">
        <v>100</v>
      </c>
      <c r="H1059" t="s">
        <v>2969</v>
      </c>
      <c r="I1059" t="s">
        <v>52</v>
      </c>
      <c r="J1059" t="s">
        <v>101</v>
      </c>
      <c r="K1059" t="s">
        <v>54</v>
      </c>
      <c r="L1059" t="s">
        <v>102</v>
      </c>
      <c r="O1059" t="s">
        <v>103</v>
      </c>
      <c r="P1059" t="s">
        <v>104</v>
      </c>
      <c r="Q1059" t="s">
        <v>6463</v>
      </c>
      <c r="R1059" t="s">
        <v>2971</v>
      </c>
      <c r="S1059" t="s">
        <v>2895</v>
      </c>
      <c r="T1059" t="s">
        <v>2896</v>
      </c>
      <c r="U1059" t="s">
        <v>2897</v>
      </c>
    </row>
    <row r="1060" spans="1:21" hidden="1">
      <c r="A1060" t="s">
        <v>2238</v>
      </c>
      <c r="B1060" t="s">
        <v>6462</v>
      </c>
      <c r="C1060" t="s">
        <v>6464</v>
      </c>
      <c r="D1060" t="s">
        <v>17</v>
      </c>
      <c r="E1060" t="s">
        <v>2</v>
      </c>
      <c r="F1060" t="s">
        <v>50</v>
      </c>
      <c r="G1060" t="s">
        <v>51</v>
      </c>
      <c r="H1060" t="s">
        <v>6465</v>
      </c>
      <c r="I1060" t="s">
        <v>52</v>
      </c>
      <c r="J1060" t="s">
        <v>53</v>
      </c>
      <c r="K1060" t="s">
        <v>54</v>
      </c>
      <c r="L1060" t="s">
        <v>55</v>
      </c>
      <c r="O1060" t="s">
        <v>56</v>
      </c>
      <c r="P1060" t="s">
        <v>57</v>
      </c>
      <c r="Q1060" t="s">
        <v>6466</v>
      </c>
      <c r="R1060" t="s">
        <v>6467</v>
      </c>
      <c r="S1060" t="s">
        <v>2895</v>
      </c>
      <c r="T1060" t="s">
        <v>2896</v>
      </c>
      <c r="U1060" t="s">
        <v>2897</v>
      </c>
    </row>
    <row r="1061" spans="1:21" hidden="1">
      <c r="A1061" t="s">
        <v>2240</v>
      </c>
      <c r="B1061" t="s">
        <v>6462</v>
      </c>
      <c r="C1061" t="s">
        <v>3754</v>
      </c>
      <c r="D1061" t="s">
        <v>17</v>
      </c>
      <c r="E1061" t="s">
        <v>2</v>
      </c>
      <c r="F1061" t="s">
        <v>50</v>
      </c>
      <c r="G1061" t="s">
        <v>51</v>
      </c>
      <c r="H1061" t="s">
        <v>6468</v>
      </c>
      <c r="I1061" t="s">
        <v>52</v>
      </c>
      <c r="J1061" t="s">
        <v>121</v>
      </c>
      <c r="K1061" t="s">
        <v>54</v>
      </c>
      <c r="L1061" t="s">
        <v>55</v>
      </c>
      <c r="O1061" t="s">
        <v>122</v>
      </c>
      <c r="P1061" t="s">
        <v>123</v>
      </c>
      <c r="Q1061" t="s">
        <v>6469</v>
      </c>
      <c r="R1061" t="s">
        <v>6470</v>
      </c>
      <c r="S1061" t="s">
        <v>2895</v>
      </c>
      <c r="T1061" t="s">
        <v>2896</v>
      </c>
      <c r="U1061" t="s">
        <v>2897</v>
      </c>
    </row>
    <row r="1062" spans="1:21" hidden="1">
      <c r="A1062" t="s">
        <v>2242</v>
      </c>
      <c r="B1062" t="s">
        <v>6462</v>
      </c>
      <c r="C1062" t="s">
        <v>6471</v>
      </c>
      <c r="D1062" t="s">
        <v>17</v>
      </c>
      <c r="E1062" t="s">
        <v>2</v>
      </c>
      <c r="F1062" t="s">
        <v>50</v>
      </c>
      <c r="G1062" t="s">
        <v>51</v>
      </c>
      <c r="H1062" t="s">
        <v>6472</v>
      </c>
      <c r="I1062" t="s">
        <v>52</v>
      </c>
      <c r="J1062" t="s">
        <v>65</v>
      </c>
      <c r="K1062" t="s">
        <v>54</v>
      </c>
      <c r="L1062" t="s">
        <v>55</v>
      </c>
      <c r="O1062" t="s">
        <v>66</v>
      </c>
      <c r="P1062" t="s">
        <v>67</v>
      </c>
      <c r="Q1062" t="s">
        <v>6473</v>
      </c>
      <c r="R1062" t="s">
        <v>6474</v>
      </c>
      <c r="S1062" t="s">
        <v>2895</v>
      </c>
      <c r="T1062" t="s">
        <v>2896</v>
      </c>
      <c r="U1062" t="s">
        <v>2897</v>
      </c>
    </row>
    <row r="1063" spans="1:21" hidden="1">
      <c r="A1063" t="s">
        <v>2244</v>
      </c>
      <c r="B1063" t="s">
        <v>6462</v>
      </c>
      <c r="C1063" t="s">
        <v>3266</v>
      </c>
      <c r="D1063" t="s">
        <v>17</v>
      </c>
      <c r="E1063" t="s">
        <v>2</v>
      </c>
      <c r="F1063" t="s">
        <v>50</v>
      </c>
      <c r="G1063" t="s">
        <v>100</v>
      </c>
      <c r="H1063" t="s">
        <v>2969</v>
      </c>
      <c r="I1063" t="s">
        <v>52</v>
      </c>
      <c r="J1063" t="s">
        <v>101</v>
      </c>
      <c r="K1063" t="s">
        <v>54</v>
      </c>
      <c r="L1063" t="s">
        <v>102</v>
      </c>
      <c r="O1063" t="s">
        <v>103</v>
      </c>
      <c r="P1063" t="s">
        <v>104</v>
      </c>
      <c r="Q1063" t="s">
        <v>6475</v>
      </c>
      <c r="R1063" t="s">
        <v>2971</v>
      </c>
      <c r="S1063" t="s">
        <v>2895</v>
      </c>
      <c r="T1063" t="s">
        <v>2896</v>
      </c>
      <c r="U1063" t="s">
        <v>2897</v>
      </c>
    </row>
    <row r="1064" spans="1:21" hidden="1">
      <c r="A1064" t="s">
        <v>2246</v>
      </c>
      <c r="B1064" t="s">
        <v>6462</v>
      </c>
      <c r="C1064" t="s">
        <v>6476</v>
      </c>
      <c r="D1064" t="s">
        <v>17</v>
      </c>
      <c r="E1064" t="s">
        <v>2</v>
      </c>
      <c r="F1064" t="s">
        <v>50</v>
      </c>
      <c r="G1064" t="s">
        <v>51</v>
      </c>
      <c r="H1064" t="s">
        <v>6477</v>
      </c>
      <c r="I1064" t="s">
        <v>52</v>
      </c>
      <c r="J1064" t="s">
        <v>60</v>
      </c>
      <c r="K1064" t="s">
        <v>54</v>
      </c>
      <c r="L1064" t="s">
        <v>55</v>
      </c>
      <c r="O1064" t="s">
        <v>61</v>
      </c>
      <c r="P1064" t="s">
        <v>62</v>
      </c>
      <c r="Q1064" t="s">
        <v>6478</v>
      </c>
      <c r="R1064" t="s">
        <v>6479</v>
      </c>
      <c r="S1064" t="s">
        <v>2895</v>
      </c>
      <c r="T1064" t="s">
        <v>2896</v>
      </c>
      <c r="U1064" t="s">
        <v>2897</v>
      </c>
    </row>
    <row r="1065" spans="1:21" hidden="1">
      <c r="A1065" t="s">
        <v>2248</v>
      </c>
      <c r="B1065" t="s">
        <v>6462</v>
      </c>
      <c r="C1065" t="s">
        <v>6480</v>
      </c>
      <c r="D1065" t="s">
        <v>17</v>
      </c>
      <c r="E1065" t="s">
        <v>2</v>
      </c>
      <c r="F1065" t="s">
        <v>50</v>
      </c>
      <c r="G1065" t="s">
        <v>51</v>
      </c>
      <c r="H1065" t="s">
        <v>6117</v>
      </c>
      <c r="I1065" t="s">
        <v>52</v>
      </c>
      <c r="J1065" t="s">
        <v>65</v>
      </c>
      <c r="K1065" t="s">
        <v>54</v>
      </c>
      <c r="L1065" t="s">
        <v>55</v>
      </c>
      <c r="O1065" t="s">
        <v>66</v>
      </c>
      <c r="P1065" t="s">
        <v>67</v>
      </c>
      <c r="Q1065" t="s">
        <v>6481</v>
      </c>
      <c r="R1065" t="s">
        <v>6119</v>
      </c>
      <c r="S1065" t="s">
        <v>2895</v>
      </c>
      <c r="T1065" t="s">
        <v>2896</v>
      </c>
      <c r="U1065" t="s">
        <v>2897</v>
      </c>
    </row>
    <row r="1066" spans="1:21" hidden="1">
      <c r="A1066" t="s">
        <v>2250</v>
      </c>
      <c r="B1066" t="s">
        <v>6462</v>
      </c>
      <c r="C1066" t="s">
        <v>3290</v>
      </c>
      <c r="D1066" t="s">
        <v>17</v>
      </c>
      <c r="E1066" t="s">
        <v>2</v>
      </c>
      <c r="F1066" t="s">
        <v>50</v>
      </c>
      <c r="G1066" t="s">
        <v>51</v>
      </c>
      <c r="H1066" t="s">
        <v>6482</v>
      </c>
      <c r="I1066" t="s">
        <v>52</v>
      </c>
      <c r="J1066" t="s">
        <v>65</v>
      </c>
      <c r="K1066" t="s">
        <v>54</v>
      </c>
      <c r="L1066" t="s">
        <v>55</v>
      </c>
      <c r="O1066" t="s">
        <v>66</v>
      </c>
      <c r="P1066" t="s">
        <v>67</v>
      </c>
      <c r="Q1066" t="s">
        <v>6483</v>
      </c>
      <c r="R1066" t="s">
        <v>6484</v>
      </c>
      <c r="S1066" t="s">
        <v>2895</v>
      </c>
      <c r="T1066" t="s">
        <v>2896</v>
      </c>
      <c r="U1066" t="s">
        <v>2897</v>
      </c>
    </row>
    <row r="1067" spans="1:21" hidden="1">
      <c r="A1067" t="s">
        <v>2252</v>
      </c>
      <c r="B1067" t="s">
        <v>6485</v>
      </c>
      <c r="C1067" t="s">
        <v>6486</v>
      </c>
      <c r="D1067" t="s">
        <v>17</v>
      </c>
      <c r="E1067" t="s">
        <v>2</v>
      </c>
      <c r="F1067" t="s">
        <v>50</v>
      </c>
      <c r="G1067" t="s">
        <v>72</v>
      </c>
      <c r="H1067" t="s">
        <v>6487</v>
      </c>
      <c r="I1067" t="s">
        <v>52</v>
      </c>
      <c r="J1067" t="s">
        <v>73</v>
      </c>
      <c r="K1067" t="s">
        <v>54</v>
      </c>
      <c r="L1067" t="s">
        <v>74</v>
      </c>
      <c r="O1067" t="s">
        <v>75</v>
      </c>
      <c r="P1067" t="s">
        <v>76</v>
      </c>
      <c r="Q1067" t="s">
        <v>6488</v>
      </c>
      <c r="R1067" t="s">
        <v>6489</v>
      </c>
      <c r="S1067" t="s">
        <v>2895</v>
      </c>
      <c r="T1067" t="s">
        <v>2896</v>
      </c>
      <c r="U1067" t="s">
        <v>2897</v>
      </c>
    </row>
    <row r="1068" spans="1:21" hidden="1">
      <c r="A1068" t="s">
        <v>2254</v>
      </c>
      <c r="B1068" t="s">
        <v>6485</v>
      </c>
      <c r="C1068" t="s">
        <v>4219</v>
      </c>
      <c r="D1068" t="s">
        <v>17</v>
      </c>
      <c r="E1068" t="s">
        <v>2</v>
      </c>
      <c r="F1068" t="s">
        <v>50</v>
      </c>
      <c r="G1068" t="s">
        <v>51</v>
      </c>
      <c r="H1068" t="s">
        <v>6490</v>
      </c>
      <c r="I1068" t="s">
        <v>52</v>
      </c>
      <c r="J1068" t="s">
        <v>126</v>
      </c>
      <c r="K1068" t="s">
        <v>54</v>
      </c>
      <c r="L1068" t="s">
        <v>55</v>
      </c>
      <c r="O1068" t="s">
        <v>56</v>
      </c>
      <c r="P1068" t="s">
        <v>57</v>
      </c>
      <c r="Q1068" t="s">
        <v>6491</v>
      </c>
      <c r="R1068" t="s">
        <v>6492</v>
      </c>
      <c r="S1068" t="s">
        <v>2895</v>
      </c>
      <c r="T1068" t="s">
        <v>2896</v>
      </c>
      <c r="U1068" t="s">
        <v>2897</v>
      </c>
    </row>
    <row r="1069" spans="1:21" hidden="1">
      <c r="A1069" t="s">
        <v>2256</v>
      </c>
      <c r="B1069" t="s">
        <v>6485</v>
      </c>
      <c r="C1069" t="s">
        <v>4982</v>
      </c>
      <c r="D1069" t="s">
        <v>17</v>
      </c>
      <c r="E1069" t="s">
        <v>2</v>
      </c>
      <c r="F1069" t="s">
        <v>50</v>
      </c>
      <c r="G1069" t="s">
        <v>51</v>
      </c>
      <c r="H1069" t="s">
        <v>6493</v>
      </c>
      <c r="I1069" t="s">
        <v>52</v>
      </c>
      <c r="J1069" t="s">
        <v>65</v>
      </c>
      <c r="K1069" t="s">
        <v>54</v>
      </c>
      <c r="L1069" t="s">
        <v>55</v>
      </c>
      <c r="O1069" t="s">
        <v>66</v>
      </c>
      <c r="P1069" t="s">
        <v>67</v>
      </c>
      <c r="Q1069" t="s">
        <v>6494</v>
      </c>
      <c r="R1069" t="s">
        <v>6495</v>
      </c>
      <c r="S1069" t="s">
        <v>2895</v>
      </c>
      <c r="T1069" t="s">
        <v>2896</v>
      </c>
      <c r="U1069" t="s">
        <v>2897</v>
      </c>
    </row>
    <row r="1070" spans="1:21" hidden="1">
      <c r="A1070" t="s">
        <v>2258</v>
      </c>
      <c r="B1070" t="s">
        <v>6485</v>
      </c>
      <c r="C1070" t="s">
        <v>6496</v>
      </c>
      <c r="D1070" t="s">
        <v>17</v>
      </c>
      <c r="E1070" t="s">
        <v>2</v>
      </c>
      <c r="F1070" t="s">
        <v>50</v>
      </c>
      <c r="G1070" t="s">
        <v>51</v>
      </c>
      <c r="H1070" t="s">
        <v>6497</v>
      </c>
      <c r="I1070" t="s">
        <v>52</v>
      </c>
      <c r="J1070" t="s">
        <v>60</v>
      </c>
      <c r="K1070" t="s">
        <v>54</v>
      </c>
      <c r="L1070" t="s">
        <v>55</v>
      </c>
      <c r="O1070" t="s">
        <v>61</v>
      </c>
      <c r="P1070" t="s">
        <v>62</v>
      </c>
      <c r="Q1070" t="s">
        <v>6498</v>
      </c>
      <c r="R1070" t="s">
        <v>6499</v>
      </c>
      <c r="S1070" t="s">
        <v>2895</v>
      </c>
      <c r="T1070" t="s">
        <v>2896</v>
      </c>
      <c r="U1070" t="s">
        <v>2897</v>
      </c>
    </row>
    <row r="1071" spans="1:21" hidden="1">
      <c r="A1071" t="s">
        <v>2260</v>
      </c>
      <c r="B1071" t="s">
        <v>6485</v>
      </c>
      <c r="C1071" t="s">
        <v>6113</v>
      </c>
      <c r="D1071" t="s">
        <v>17</v>
      </c>
      <c r="E1071" t="s">
        <v>2</v>
      </c>
      <c r="F1071" t="s">
        <v>50</v>
      </c>
      <c r="G1071" t="s">
        <v>100</v>
      </c>
      <c r="H1071" t="s">
        <v>2969</v>
      </c>
      <c r="I1071" t="s">
        <v>52</v>
      </c>
      <c r="J1071" t="s">
        <v>101</v>
      </c>
      <c r="K1071" t="s">
        <v>54</v>
      </c>
      <c r="L1071" t="s">
        <v>102</v>
      </c>
      <c r="O1071" t="s">
        <v>103</v>
      </c>
      <c r="P1071" t="s">
        <v>104</v>
      </c>
      <c r="Q1071" t="s">
        <v>6500</v>
      </c>
      <c r="R1071" t="s">
        <v>2971</v>
      </c>
      <c r="S1071" t="s">
        <v>2895</v>
      </c>
      <c r="T1071" t="s">
        <v>2896</v>
      </c>
      <c r="U1071" t="s">
        <v>2897</v>
      </c>
    </row>
    <row r="1072" spans="1:21" hidden="1">
      <c r="A1072" t="s">
        <v>2262</v>
      </c>
      <c r="B1072" t="s">
        <v>6485</v>
      </c>
      <c r="C1072" t="s">
        <v>6451</v>
      </c>
      <c r="D1072" t="s">
        <v>17</v>
      </c>
      <c r="E1072" t="s">
        <v>2</v>
      </c>
      <c r="F1072" t="s">
        <v>50</v>
      </c>
      <c r="G1072" t="s">
        <v>51</v>
      </c>
      <c r="H1072" t="s">
        <v>6501</v>
      </c>
      <c r="I1072" t="s">
        <v>52</v>
      </c>
      <c r="J1072" t="s">
        <v>81</v>
      </c>
      <c r="K1072" t="s">
        <v>54</v>
      </c>
      <c r="L1072" t="s">
        <v>55</v>
      </c>
      <c r="O1072" t="s">
        <v>82</v>
      </c>
      <c r="P1072" t="s">
        <v>83</v>
      </c>
      <c r="Q1072" t="s">
        <v>6502</v>
      </c>
      <c r="R1072" t="s">
        <v>6503</v>
      </c>
      <c r="S1072" t="s">
        <v>2895</v>
      </c>
      <c r="T1072" t="s">
        <v>2896</v>
      </c>
      <c r="U1072" t="s">
        <v>2897</v>
      </c>
    </row>
    <row r="1073" spans="1:21" hidden="1">
      <c r="A1073" t="s">
        <v>2264</v>
      </c>
      <c r="B1073" t="s">
        <v>6485</v>
      </c>
      <c r="C1073" t="s">
        <v>6504</v>
      </c>
      <c r="D1073" t="s">
        <v>17</v>
      </c>
      <c r="E1073" t="s">
        <v>2</v>
      </c>
      <c r="F1073" t="s">
        <v>50</v>
      </c>
      <c r="G1073" t="s">
        <v>51</v>
      </c>
      <c r="H1073" t="s">
        <v>6505</v>
      </c>
      <c r="I1073" t="s">
        <v>52</v>
      </c>
      <c r="J1073" t="s">
        <v>65</v>
      </c>
      <c r="K1073" t="s">
        <v>54</v>
      </c>
      <c r="L1073" t="s">
        <v>55</v>
      </c>
      <c r="O1073" t="s">
        <v>66</v>
      </c>
      <c r="P1073" t="s">
        <v>67</v>
      </c>
      <c r="Q1073" t="s">
        <v>6506</v>
      </c>
      <c r="R1073" t="s">
        <v>6507</v>
      </c>
      <c r="S1073" t="s">
        <v>2895</v>
      </c>
      <c r="T1073" t="s">
        <v>2896</v>
      </c>
      <c r="U1073" t="s">
        <v>2897</v>
      </c>
    </row>
    <row r="1074" spans="1:21" hidden="1">
      <c r="A1074" t="s">
        <v>2266</v>
      </c>
      <c r="B1074" t="s">
        <v>6508</v>
      </c>
      <c r="C1074" t="s">
        <v>6509</v>
      </c>
      <c r="D1074" t="s">
        <v>17</v>
      </c>
      <c r="E1074" t="s">
        <v>2</v>
      </c>
      <c r="F1074" t="s">
        <v>50</v>
      </c>
      <c r="G1074" t="s">
        <v>100</v>
      </c>
      <c r="H1074" t="s">
        <v>6510</v>
      </c>
      <c r="I1074" t="s">
        <v>52</v>
      </c>
      <c r="J1074" t="s">
        <v>114</v>
      </c>
      <c r="K1074" t="s">
        <v>54</v>
      </c>
      <c r="L1074" t="s">
        <v>102</v>
      </c>
      <c r="O1074" t="s">
        <v>103</v>
      </c>
      <c r="P1074" t="s">
        <v>104</v>
      </c>
      <c r="Q1074" t="s">
        <v>6511</v>
      </c>
      <c r="R1074" t="s">
        <v>6512</v>
      </c>
      <c r="S1074" t="s">
        <v>2895</v>
      </c>
      <c r="T1074" t="s">
        <v>2896</v>
      </c>
      <c r="U1074" t="s">
        <v>2897</v>
      </c>
    </row>
    <row r="1075" spans="1:21" hidden="1">
      <c r="A1075" t="s">
        <v>2268</v>
      </c>
      <c r="B1075" t="s">
        <v>6508</v>
      </c>
      <c r="C1075" t="s">
        <v>6324</v>
      </c>
      <c r="D1075" t="s">
        <v>17</v>
      </c>
      <c r="E1075" t="s">
        <v>2</v>
      </c>
      <c r="F1075" t="s">
        <v>50</v>
      </c>
      <c r="G1075" t="s">
        <v>100</v>
      </c>
      <c r="H1075" t="s">
        <v>6513</v>
      </c>
      <c r="I1075" t="s">
        <v>52</v>
      </c>
      <c r="J1075" t="s">
        <v>114</v>
      </c>
      <c r="K1075" t="s">
        <v>54</v>
      </c>
      <c r="L1075" t="s">
        <v>102</v>
      </c>
      <c r="O1075" t="s">
        <v>103</v>
      </c>
      <c r="P1075" t="s">
        <v>104</v>
      </c>
      <c r="Q1075" t="s">
        <v>6514</v>
      </c>
      <c r="R1075" t="s">
        <v>6515</v>
      </c>
      <c r="S1075" t="s">
        <v>2895</v>
      </c>
      <c r="T1075" t="s">
        <v>2896</v>
      </c>
      <c r="U1075" t="s">
        <v>2897</v>
      </c>
    </row>
    <row r="1076" spans="1:21" hidden="1">
      <c r="A1076" t="s">
        <v>2270</v>
      </c>
      <c r="B1076" t="s">
        <v>6508</v>
      </c>
      <c r="C1076" t="s">
        <v>6496</v>
      </c>
      <c r="D1076" t="s">
        <v>17</v>
      </c>
      <c r="E1076" t="s">
        <v>2</v>
      </c>
      <c r="F1076" t="s">
        <v>50</v>
      </c>
      <c r="G1076" t="s">
        <v>51</v>
      </c>
      <c r="H1076" t="s">
        <v>6516</v>
      </c>
      <c r="I1076" t="s">
        <v>52</v>
      </c>
      <c r="J1076" t="s">
        <v>81</v>
      </c>
      <c r="K1076" t="s">
        <v>54</v>
      </c>
      <c r="L1076" t="s">
        <v>55</v>
      </c>
      <c r="O1076" t="s">
        <v>82</v>
      </c>
      <c r="P1076" t="s">
        <v>83</v>
      </c>
      <c r="Q1076" t="s">
        <v>6517</v>
      </c>
      <c r="R1076" t="s">
        <v>6518</v>
      </c>
      <c r="S1076" t="s">
        <v>2895</v>
      </c>
      <c r="T1076" t="s">
        <v>2896</v>
      </c>
      <c r="U1076" t="s">
        <v>2897</v>
      </c>
    </row>
    <row r="1077" spans="1:21" hidden="1">
      <c r="A1077" t="s">
        <v>2272</v>
      </c>
      <c r="B1077" t="s">
        <v>6508</v>
      </c>
      <c r="C1077" t="s">
        <v>5022</v>
      </c>
      <c r="D1077" t="s">
        <v>17</v>
      </c>
      <c r="E1077" t="s">
        <v>2</v>
      </c>
      <c r="F1077" t="s">
        <v>50</v>
      </c>
      <c r="G1077" t="s">
        <v>51</v>
      </c>
      <c r="H1077" t="s">
        <v>6519</v>
      </c>
      <c r="I1077" t="s">
        <v>52</v>
      </c>
      <c r="J1077" t="s">
        <v>53</v>
      </c>
      <c r="K1077" t="s">
        <v>54</v>
      </c>
      <c r="L1077" t="s">
        <v>55</v>
      </c>
      <c r="O1077" t="s">
        <v>56</v>
      </c>
      <c r="P1077" t="s">
        <v>57</v>
      </c>
      <c r="Q1077" t="s">
        <v>6520</v>
      </c>
      <c r="R1077" t="s">
        <v>6521</v>
      </c>
      <c r="S1077" t="s">
        <v>2895</v>
      </c>
      <c r="T1077" t="s">
        <v>2896</v>
      </c>
      <c r="U1077" t="s">
        <v>2897</v>
      </c>
    </row>
    <row r="1078" spans="1:21" hidden="1">
      <c r="A1078" t="s">
        <v>2274</v>
      </c>
      <c r="B1078" t="s">
        <v>6508</v>
      </c>
      <c r="C1078" t="s">
        <v>6522</v>
      </c>
      <c r="D1078" t="s">
        <v>17</v>
      </c>
      <c r="E1078" t="s">
        <v>2</v>
      </c>
      <c r="F1078" t="s">
        <v>50</v>
      </c>
      <c r="G1078" t="s">
        <v>51</v>
      </c>
      <c r="H1078" t="s">
        <v>6523</v>
      </c>
      <c r="I1078" t="s">
        <v>52</v>
      </c>
      <c r="J1078" t="s">
        <v>60</v>
      </c>
      <c r="K1078" t="s">
        <v>54</v>
      </c>
      <c r="L1078" t="s">
        <v>55</v>
      </c>
      <c r="O1078" t="s">
        <v>61</v>
      </c>
      <c r="P1078" t="s">
        <v>62</v>
      </c>
      <c r="Q1078" t="s">
        <v>6524</v>
      </c>
      <c r="R1078" t="s">
        <v>6525</v>
      </c>
      <c r="S1078" t="s">
        <v>2895</v>
      </c>
      <c r="T1078" t="s">
        <v>2896</v>
      </c>
      <c r="U1078" t="s">
        <v>2897</v>
      </c>
    </row>
    <row r="1079" spans="1:21" hidden="1">
      <c r="A1079" t="s">
        <v>2276</v>
      </c>
      <c r="B1079" t="s">
        <v>6508</v>
      </c>
      <c r="C1079" t="s">
        <v>4500</v>
      </c>
      <c r="D1079" t="s">
        <v>17</v>
      </c>
      <c r="E1079" t="s">
        <v>2</v>
      </c>
      <c r="F1079" t="s">
        <v>50</v>
      </c>
      <c r="G1079" t="s">
        <v>100</v>
      </c>
      <c r="H1079" t="s">
        <v>6526</v>
      </c>
      <c r="I1079" t="s">
        <v>52</v>
      </c>
      <c r="J1079" t="s">
        <v>114</v>
      </c>
      <c r="K1079" t="s">
        <v>54</v>
      </c>
      <c r="L1079" t="s">
        <v>102</v>
      </c>
      <c r="O1079" t="s">
        <v>103</v>
      </c>
      <c r="P1079" t="s">
        <v>104</v>
      </c>
      <c r="Q1079" t="s">
        <v>6527</v>
      </c>
      <c r="R1079" t="s">
        <v>6528</v>
      </c>
      <c r="S1079" t="s">
        <v>2895</v>
      </c>
      <c r="T1079" t="s">
        <v>2896</v>
      </c>
      <c r="U1079" t="s">
        <v>2897</v>
      </c>
    </row>
    <row r="1080" spans="1:21" hidden="1">
      <c r="A1080" t="s">
        <v>2278</v>
      </c>
      <c r="B1080" t="s">
        <v>6508</v>
      </c>
      <c r="C1080" t="s">
        <v>5988</v>
      </c>
      <c r="D1080" t="s">
        <v>17</v>
      </c>
      <c r="E1080" t="s">
        <v>2</v>
      </c>
      <c r="F1080" t="s">
        <v>50</v>
      </c>
      <c r="G1080" t="s">
        <v>100</v>
      </c>
      <c r="H1080" t="s">
        <v>6529</v>
      </c>
      <c r="I1080" t="s">
        <v>52</v>
      </c>
      <c r="J1080" t="s">
        <v>114</v>
      </c>
      <c r="K1080" t="s">
        <v>54</v>
      </c>
      <c r="L1080" t="s">
        <v>102</v>
      </c>
      <c r="O1080" t="s">
        <v>103</v>
      </c>
      <c r="P1080" t="s">
        <v>104</v>
      </c>
      <c r="Q1080" t="s">
        <v>6530</v>
      </c>
      <c r="R1080" t="s">
        <v>6531</v>
      </c>
      <c r="S1080" t="s">
        <v>2895</v>
      </c>
      <c r="T1080" t="s">
        <v>2896</v>
      </c>
      <c r="U1080" t="s">
        <v>2897</v>
      </c>
    </row>
    <row r="1081" spans="1:21" hidden="1">
      <c r="A1081" t="s">
        <v>2280</v>
      </c>
      <c r="B1081" t="s">
        <v>6532</v>
      </c>
      <c r="C1081" t="s">
        <v>4272</v>
      </c>
      <c r="D1081" t="s">
        <v>17</v>
      </c>
      <c r="E1081" t="s">
        <v>2</v>
      </c>
      <c r="F1081" t="s">
        <v>50</v>
      </c>
      <c r="G1081" t="s">
        <v>100</v>
      </c>
      <c r="H1081" t="s">
        <v>6533</v>
      </c>
      <c r="I1081" t="s">
        <v>52</v>
      </c>
      <c r="J1081" t="s">
        <v>114</v>
      </c>
      <c r="K1081" t="s">
        <v>54</v>
      </c>
      <c r="L1081" t="s">
        <v>102</v>
      </c>
      <c r="O1081" t="s">
        <v>103</v>
      </c>
      <c r="P1081" t="s">
        <v>104</v>
      </c>
      <c r="Q1081" t="s">
        <v>6534</v>
      </c>
      <c r="R1081" t="s">
        <v>6535</v>
      </c>
      <c r="S1081" t="s">
        <v>2895</v>
      </c>
      <c r="T1081" t="s">
        <v>2896</v>
      </c>
      <c r="U1081" t="s">
        <v>2897</v>
      </c>
    </row>
    <row r="1082" spans="1:21" hidden="1">
      <c r="A1082" t="s">
        <v>2282</v>
      </c>
      <c r="B1082" t="s">
        <v>6532</v>
      </c>
      <c r="C1082" t="s">
        <v>5086</v>
      </c>
      <c r="D1082" t="s">
        <v>17</v>
      </c>
      <c r="E1082" t="s">
        <v>2</v>
      </c>
      <c r="F1082" t="s">
        <v>50</v>
      </c>
      <c r="G1082" t="s">
        <v>51</v>
      </c>
      <c r="H1082" t="s">
        <v>6536</v>
      </c>
      <c r="I1082" t="s">
        <v>52</v>
      </c>
      <c r="J1082" t="s">
        <v>196</v>
      </c>
      <c r="K1082" t="s">
        <v>54</v>
      </c>
      <c r="L1082" t="s">
        <v>55</v>
      </c>
      <c r="O1082" t="s">
        <v>197</v>
      </c>
      <c r="P1082" t="s">
        <v>198</v>
      </c>
      <c r="Q1082" t="s">
        <v>6537</v>
      </c>
      <c r="R1082" t="s">
        <v>6538</v>
      </c>
      <c r="S1082" t="s">
        <v>2895</v>
      </c>
      <c r="T1082" t="s">
        <v>2896</v>
      </c>
      <c r="U1082" t="s">
        <v>2897</v>
      </c>
    </row>
    <row r="1083" spans="1:21" hidden="1">
      <c r="A1083" t="s">
        <v>2284</v>
      </c>
      <c r="B1083" t="s">
        <v>6532</v>
      </c>
      <c r="C1083" t="s">
        <v>6539</v>
      </c>
      <c r="D1083" t="s">
        <v>17</v>
      </c>
      <c r="E1083" t="s">
        <v>2</v>
      </c>
      <c r="F1083" t="s">
        <v>50</v>
      </c>
      <c r="G1083" t="s">
        <v>51</v>
      </c>
      <c r="H1083" t="s">
        <v>6540</v>
      </c>
      <c r="I1083" t="s">
        <v>52</v>
      </c>
      <c r="J1083" t="s">
        <v>126</v>
      </c>
      <c r="K1083" t="s">
        <v>54</v>
      </c>
      <c r="L1083" t="s">
        <v>55</v>
      </c>
      <c r="O1083" t="s">
        <v>56</v>
      </c>
      <c r="P1083" t="s">
        <v>57</v>
      </c>
      <c r="Q1083" t="s">
        <v>6541</v>
      </c>
      <c r="R1083" t="s">
        <v>6542</v>
      </c>
      <c r="S1083" t="s">
        <v>2895</v>
      </c>
      <c r="T1083" t="s">
        <v>2896</v>
      </c>
      <c r="U1083" t="s">
        <v>2897</v>
      </c>
    </row>
    <row r="1084" spans="1:21" hidden="1">
      <c r="A1084" t="s">
        <v>2286</v>
      </c>
      <c r="B1084" t="s">
        <v>6532</v>
      </c>
      <c r="C1084" t="s">
        <v>4607</v>
      </c>
      <c r="D1084" t="s">
        <v>17</v>
      </c>
      <c r="E1084" t="s">
        <v>2</v>
      </c>
      <c r="F1084" t="s">
        <v>50</v>
      </c>
      <c r="G1084" t="s">
        <v>100</v>
      </c>
      <c r="H1084" t="s">
        <v>6543</v>
      </c>
      <c r="I1084" t="s">
        <v>52</v>
      </c>
      <c r="J1084" t="s">
        <v>114</v>
      </c>
      <c r="K1084" t="s">
        <v>54</v>
      </c>
      <c r="L1084" t="s">
        <v>102</v>
      </c>
      <c r="O1084" t="s">
        <v>103</v>
      </c>
      <c r="P1084" t="s">
        <v>104</v>
      </c>
      <c r="Q1084" t="s">
        <v>6544</v>
      </c>
      <c r="R1084" t="s">
        <v>6545</v>
      </c>
      <c r="S1084" t="s">
        <v>2895</v>
      </c>
      <c r="T1084" t="s">
        <v>2896</v>
      </c>
      <c r="U1084" t="s">
        <v>2897</v>
      </c>
    </row>
    <row r="1085" spans="1:21" hidden="1">
      <c r="A1085" t="s">
        <v>2288</v>
      </c>
      <c r="B1085" t="s">
        <v>6532</v>
      </c>
      <c r="C1085" t="s">
        <v>5283</v>
      </c>
      <c r="D1085" t="s">
        <v>17</v>
      </c>
      <c r="E1085" t="s">
        <v>2</v>
      </c>
      <c r="F1085" t="s">
        <v>50</v>
      </c>
      <c r="G1085" t="s">
        <v>51</v>
      </c>
      <c r="H1085" t="s">
        <v>6546</v>
      </c>
      <c r="I1085" t="s">
        <v>52</v>
      </c>
      <c r="J1085" t="s">
        <v>53</v>
      </c>
      <c r="K1085" t="s">
        <v>54</v>
      </c>
      <c r="L1085" t="s">
        <v>55</v>
      </c>
      <c r="O1085" t="s">
        <v>56</v>
      </c>
      <c r="P1085" t="s">
        <v>57</v>
      </c>
      <c r="Q1085" t="s">
        <v>6547</v>
      </c>
      <c r="R1085" t="s">
        <v>6548</v>
      </c>
      <c r="S1085" t="s">
        <v>2895</v>
      </c>
      <c r="T1085" t="s">
        <v>2896</v>
      </c>
      <c r="U1085" t="s">
        <v>2897</v>
      </c>
    </row>
    <row r="1086" spans="1:21" hidden="1">
      <c r="A1086" t="s">
        <v>2290</v>
      </c>
      <c r="B1086" t="s">
        <v>6532</v>
      </c>
      <c r="C1086" t="s">
        <v>4493</v>
      </c>
      <c r="D1086" t="s">
        <v>17</v>
      </c>
      <c r="E1086" t="s">
        <v>2</v>
      </c>
      <c r="F1086" t="s">
        <v>50</v>
      </c>
      <c r="G1086" t="s">
        <v>51</v>
      </c>
      <c r="H1086" t="s">
        <v>6549</v>
      </c>
      <c r="I1086" t="s">
        <v>52</v>
      </c>
      <c r="J1086" t="s">
        <v>196</v>
      </c>
      <c r="K1086" t="s">
        <v>54</v>
      </c>
      <c r="L1086" t="s">
        <v>55</v>
      </c>
      <c r="O1086" t="s">
        <v>197</v>
      </c>
      <c r="P1086" t="s">
        <v>198</v>
      </c>
      <c r="Q1086" t="s">
        <v>6550</v>
      </c>
      <c r="R1086" t="s">
        <v>6551</v>
      </c>
      <c r="S1086" t="s">
        <v>2895</v>
      </c>
      <c r="T1086" t="s">
        <v>2896</v>
      </c>
      <c r="U1086" t="s">
        <v>2897</v>
      </c>
    </row>
    <row r="1087" spans="1:21" hidden="1">
      <c r="A1087" t="s">
        <v>2292</v>
      </c>
      <c r="B1087" t="s">
        <v>6552</v>
      </c>
      <c r="C1087" t="s">
        <v>6553</v>
      </c>
      <c r="D1087" t="s">
        <v>17</v>
      </c>
      <c r="E1087" t="s">
        <v>2</v>
      </c>
      <c r="F1087" t="s">
        <v>50</v>
      </c>
      <c r="G1087" t="s">
        <v>100</v>
      </c>
      <c r="H1087" t="s">
        <v>2969</v>
      </c>
      <c r="I1087" t="s">
        <v>52</v>
      </c>
      <c r="J1087" t="s">
        <v>101</v>
      </c>
      <c r="K1087" t="s">
        <v>54</v>
      </c>
      <c r="L1087" t="s">
        <v>102</v>
      </c>
      <c r="O1087" t="s">
        <v>103</v>
      </c>
      <c r="P1087" t="s">
        <v>104</v>
      </c>
      <c r="Q1087" t="s">
        <v>6554</v>
      </c>
      <c r="R1087" t="s">
        <v>2971</v>
      </c>
      <c r="S1087" t="s">
        <v>2895</v>
      </c>
      <c r="T1087" t="s">
        <v>2896</v>
      </c>
      <c r="U1087" t="s">
        <v>2897</v>
      </c>
    </row>
    <row r="1088" spans="1:21" hidden="1">
      <c r="A1088" t="s">
        <v>2294</v>
      </c>
      <c r="B1088" t="s">
        <v>6552</v>
      </c>
      <c r="C1088" t="s">
        <v>6555</v>
      </c>
      <c r="D1088" t="s">
        <v>17</v>
      </c>
      <c r="E1088" t="s">
        <v>2</v>
      </c>
      <c r="F1088" t="s">
        <v>50</v>
      </c>
      <c r="G1088" t="s">
        <v>51</v>
      </c>
      <c r="H1088" t="s">
        <v>6556</v>
      </c>
      <c r="I1088" t="s">
        <v>52</v>
      </c>
      <c r="J1088" t="s">
        <v>121</v>
      </c>
      <c r="K1088" t="s">
        <v>54</v>
      </c>
      <c r="L1088" t="s">
        <v>55</v>
      </c>
      <c r="O1088" t="s">
        <v>122</v>
      </c>
      <c r="P1088" t="s">
        <v>123</v>
      </c>
      <c r="Q1088" t="s">
        <v>6557</v>
      </c>
      <c r="R1088" t="s">
        <v>6558</v>
      </c>
      <c r="S1088" t="s">
        <v>2895</v>
      </c>
      <c r="T1088" t="s">
        <v>2896</v>
      </c>
      <c r="U1088" t="s">
        <v>2897</v>
      </c>
    </row>
    <row r="1089" spans="1:21" hidden="1">
      <c r="A1089" t="s">
        <v>2296</v>
      </c>
      <c r="B1089" t="s">
        <v>6552</v>
      </c>
      <c r="C1089" t="s">
        <v>6559</v>
      </c>
      <c r="D1089" t="s">
        <v>17</v>
      </c>
      <c r="E1089" t="s">
        <v>2</v>
      </c>
      <c r="F1089" t="s">
        <v>50</v>
      </c>
      <c r="G1089" t="s">
        <v>51</v>
      </c>
      <c r="H1089" t="s">
        <v>6560</v>
      </c>
      <c r="I1089" t="s">
        <v>52</v>
      </c>
      <c r="J1089" t="s">
        <v>53</v>
      </c>
      <c r="K1089" t="s">
        <v>54</v>
      </c>
      <c r="L1089" t="s">
        <v>55</v>
      </c>
      <c r="O1089" t="s">
        <v>56</v>
      </c>
      <c r="P1089" t="s">
        <v>57</v>
      </c>
      <c r="Q1089" t="s">
        <v>6561</v>
      </c>
      <c r="R1089" t="s">
        <v>6562</v>
      </c>
      <c r="S1089" t="s">
        <v>2895</v>
      </c>
      <c r="T1089" t="s">
        <v>2896</v>
      </c>
      <c r="U1089" t="s">
        <v>2897</v>
      </c>
    </row>
    <row r="1090" spans="1:21" hidden="1">
      <c r="A1090" t="s">
        <v>2298</v>
      </c>
      <c r="B1090" t="s">
        <v>6552</v>
      </c>
      <c r="C1090" t="s">
        <v>5801</v>
      </c>
      <c r="D1090" t="s">
        <v>17</v>
      </c>
      <c r="E1090" t="s">
        <v>2</v>
      </c>
      <c r="F1090" t="s">
        <v>50</v>
      </c>
      <c r="G1090" t="s">
        <v>51</v>
      </c>
      <c r="H1090" t="s">
        <v>6563</v>
      </c>
      <c r="I1090" t="s">
        <v>52</v>
      </c>
      <c r="J1090" t="s">
        <v>196</v>
      </c>
      <c r="K1090" t="s">
        <v>54</v>
      </c>
      <c r="L1090" t="s">
        <v>55</v>
      </c>
      <c r="O1090" t="s">
        <v>197</v>
      </c>
      <c r="P1090" t="s">
        <v>198</v>
      </c>
      <c r="Q1090" t="s">
        <v>6564</v>
      </c>
      <c r="R1090" t="s">
        <v>6565</v>
      </c>
      <c r="S1090" t="s">
        <v>2895</v>
      </c>
      <c r="T1090" t="s">
        <v>2896</v>
      </c>
      <c r="U1090" t="s">
        <v>2897</v>
      </c>
    </row>
    <row r="1091" spans="1:21" hidden="1">
      <c r="A1091" t="s">
        <v>2300</v>
      </c>
      <c r="B1091" t="s">
        <v>6552</v>
      </c>
      <c r="C1091" t="s">
        <v>6566</v>
      </c>
      <c r="D1091" t="s">
        <v>17</v>
      </c>
      <c r="E1091" t="s">
        <v>2</v>
      </c>
      <c r="F1091" t="s">
        <v>50</v>
      </c>
      <c r="G1091" t="s">
        <v>51</v>
      </c>
      <c r="H1091" t="s">
        <v>4036</v>
      </c>
      <c r="I1091" t="s">
        <v>52</v>
      </c>
      <c r="J1091" t="s">
        <v>60</v>
      </c>
      <c r="K1091" t="s">
        <v>54</v>
      </c>
      <c r="L1091" t="s">
        <v>55</v>
      </c>
      <c r="O1091" t="s">
        <v>61</v>
      </c>
      <c r="P1091" t="s">
        <v>62</v>
      </c>
      <c r="Q1091" t="s">
        <v>6567</v>
      </c>
      <c r="R1091" t="s">
        <v>4038</v>
      </c>
      <c r="S1091" t="s">
        <v>2895</v>
      </c>
      <c r="T1091" t="s">
        <v>2896</v>
      </c>
      <c r="U1091" t="s">
        <v>2897</v>
      </c>
    </row>
    <row r="1092" spans="1:21" hidden="1">
      <c r="A1092" t="s">
        <v>2302</v>
      </c>
      <c r="B1092" t="s">
        <v>6568</v>
      </c>
      <c r="C1092" t="s">
        <v>6054</v>
      </c>
      <c r="D1092" t="s">
        <v>17</v>
      </c>
      <c r="E1092" t="s">
        <v>2</v>
      </c>
      <c r="F1092" t="s">
        <v>149</v>
      </c>
      <c r="G1092" t="s">
        <v>72</v>
      </c>
      <c r="H1092" t="s">
        <v>6569</v>
      </c>
      <c r="I1092" t="s">
        <v>52</v>
      </c>
      <c r="J1092" t="s">
        <v>638</v>
      </c>
      <c r="K1092" t="s">
        <v>54</v>
      </c>
      <c r="L1092" t="s">
        <v>74</v>
      </c>
      <c r="O1092" t="s">
        <v>75</v>
      </c>
      <c r="P1092" t="s">
        <v>76</v>
      </c>
      <c r="Q1092" t="s">
        <v>6570</v>
      </c>
      <c r="R1092" t="s">
        <v>6569</v>
      </c>
      <c r="S1092" t="s">
        <v>2895</v>
      </c>
      <c r="T1092" t="s">
        <v>2896</v>
      </c>
      <c r="U1092" t="s">
        <v>2897</v>
      </c>
    </row>
    <row r="1093" spans="1:21" hidden="1">
      <c r="A1093" t="s">
        <v>2304</v>
      </c>
      <c r="B1093" t="s">
        <v>6568</v>
      </c>
      <c r="C1093" t="s">
        <v>3669</v>
      </c>
      <c r="D1093" t="s">
        <v>17</v>
      </c>
      <c r="E1093" t="s">
        <v>2</v>
      </c>
      <c r="F1093" t="s">
        <v>50</v>
      </c>
      <c r="G1093" t="s">
        <v>51</v>
      </c>
      <c r="H1093" t="s">
        <v>6427</v>
      </c>
      <c r="I1093" t="s">
        <v>52</v>
      </c>
      <c r="J1093" t="s">
        <v>81</v>
      </c>
      <c r="K1093" t="s">
        <v>54</v>
      </c>
      <c r="L1093" t="s">
        <v>55</v>
      </c>
      <c r="O1093" t="s">
        <v>82</v>
      </c>
      <c r="P1093" t="s">
        <v>83</v>
      </c>
      <c r="Q1093" t="s">
        <v>6571</v>
      </c>
      <c r="R1093" t="s">
        <v>6429</v>
      </c>
      <c r="S1093" t="s">
        <v>2895</v>
      </c>
      <c r="T1093" t="s">
        <v>2896</v>
      </c>
      <c r="U1093" t="s">
        <v>2897</v>
      </c>
    </row>
    <row r="1094" spans="1:21" hidden="1">
      <c r="A1094" t="s">
        <v>2306</v>
      </c>
      <c r="B1094" t="s">
        <v>6568</v>
      </c>
      <c r="C1094" t="s">
        <v>6572</v>
      </c>
      <c r="D1094" t="s">
        <v>17</v>
      </c>
      <c r="E1094" t="s">
        <v>2</v>
      </c>
      <c r="F1094" t="s">
        <v>50</v>
      </c>
      <c r="G1094" t="s">
        <v>51</v>
      </c>
      <c r="H1094" t="s">
        <v>6573</v>
      </c>
      <c r="I1094" t="s">
        <v>52</v>
      </c>
      <c r="J1094" t="s">
        <v>126</v>
      </c>
      <c r="K1094" t="s">
        <v>54</v>
      </c>
      <c r="L1094" t="s">
        <v>55</v>
      </c>
      <c r="O1094" t="s">
        <v>56</v>
      </c>
      <c r="P1094" t="s">
        <v>57</v>
      </c>
      <c r="Q1094" t="s">
        <v>6574</v>
      </c>
      <c r="R1094" t="s">
        <v>6575</v>
      </c>
      <c r="S1094" t="s">
        <v>2895</v>
      </c>
      <c r="T1094" t="s">
        <v>2896</v>
      </c>
      <c r="U1094" t="s">
        <v>2897</v>
      </c>
    </row>
    <row r="1095" spans="1:21" hidden="1">
      <c r="A1095" t="s">
        <v>2308</v>
      </c>
      <c r="B1095" t="s">
        <v>6568</v>
      </c>
      <c r="C1095" t="s">
        <v>6576</v>
      </c>
      <c r="D1095" t="s">
        <v>17</v>
      </c>
      <c r="E1095" t="s">
        <v>2</v>
      </c>
      <c r="F1095" t="s">
        <v>149</v>
      </c>
      <c r="G1095" t="s">
        <v>321</v>
      </c>
      <c r="H1095" t="s">
        <v>6577</v>
      </c>
      <c r="I1095" t="s">
        <v>52</v>
      </c>
      <c r="J1095" t="s">
        <v>9</v>
      </c>
      <c r="K1095" t="s">
        <v>54</v>
      </c>
      <c r="L1095" t="s">
        <v>102</v>
      </c>
      <c r="O1095" t="s">
        <v>322</v>
      </c>
      <c r="P1095" t="s">
        <v>323</v>
      </c>
      <c r="Q1095" t="s">
        <v>6578</v>
      </c>
      <c r="R1095" t="s">
        <v>6577</v>
      </c>
      <c r="S1095" t="s">
        <v>2895</v>
      </c>
      <c r="T1095" t="s">
        <v>2896</v>
      </c>
      <c r="U1095" t="s">
        <v>2897</v>
      </c>
    </row>
    <row r="1096" spans="1:21" hidden="1">
      <c r="A1096" t="s">
        <v>2310</v>
      </c>
      <c r="B1096" t="s">
        <v>6568</v>
      </c>
      <c r="C1096" t="s">
        <v>4545</v>
      </c>
      <c r="D1096" t="s">
        <v>17</v>
      </c>
      <c r="E1096" t="s">
        <v>2</v>
      </c>
      <c r="F1096" t="s">
        <v>50</v>
      </c>
      <c r="G1096" t="s">
        <v>100</v>
      </c>
      <c r="H1096" t="s">
        <v>6579</v>
      </c>
      <c r="I1096" t="s">
        <v>52</v>
      </c>
      <c r="J1096" t="s">
        <v>114</v>
      </c>
      <c r="K1096" t="s">
        <v>54</v>
      </c>
      <c r="L1096" t="s">
        <v>102</v>
      </c>
      <c r="O1096" t="s">
        <v>103</v>
      </c>
      <c r="P1096" t="s">
        <v>104</v>
      </c>
      <c r="Q1096" t="s">
        <v>6580</v>
      </c>
      <c r="R1096" t="s">
        <v>6581</v>
      </c>
      <c r="S1096" t="s">
        <v>2895</v>
      </c>
      <c r="T1096" t="s">
        <v>2896</v>
      </c>
      <c r="U1096" t="s">
        <v>2897</v>
      </c>
    </row>
    <row r="1097" spans="1:21" hidden="1">
      <c r="A1097" t="s">
        <v>2312</v>
      </c>
      <c r="B1097" t="s">
        <v>6568</v>
      </c>
      <c r="C1097" t="s">
        <v>3441</v>
      </c>
      <c r="D1097" t="s">
        <v>17</v>
      </c>
      <c r="E1097" t="s">
        <v>2</v>
      </c>
      <c r="F1097" t="s">
        <v>50</v>
      </c>
      <c r="G1097" t="s">
        <v>51</v>
      </c>
      <c r="H1097" t="s">
        <v>6582</v>
      </c>
      <c r="I1097" t="s">
        <v>52</v>
      </c>
      <c r="J1097" t="s">
        <v>121</v>
      </c>
      <c r="K1097" t="s">
        <v>54</v>
      </c>
      <c r="L1097" t="s">
        <v>55</v>
      </c>
      <c r="O1097" t="s">
        <v>122</v>
      </c>
      <c r="P1097" t="s">
        <v>123</v>
      </c>
      <c r="Q1097" t="s">
        <v>6583</v>
      </c>
      <c r="R1097" t="s">
        <v>6584</v>
      </c>
      <c r="S1097" t="s">
        <v>2895</v>
      </c>
      <c r="T1097" t="s">
        <v>2896</v>
      </c>
      <c r="U1097" t="s">
        <v>2897</v>
      </c>
    </row>
    <row r="1098" spans="1:21" hidden="1">
      <c r="A1098" t="s">
        <v>2313</v>
      </c>
      <c r="B1098" t="s">
        <v>6568</v>
      </c>
      <c r="C1098" t="s">
        <v>6585</v>
      </c>
      <c r="D1098" t="s">
        <v>17</v>
      </c>
      <c r="E1098" t="s">
        <v>2</v>
      </c>
      <c r="F1098" t="s">
        <v>50</v>
      </c>
      <c r="G1098" t="s">
        <v>51</v>
      </c>
      <c r="H1098" t="s">
        <v>6586</v>
      </c>
      <c r="I1098" t="s">
        <v>52</v>
      </c>
      <c r="J1098" t="s">
        <v>81</v>
      </c>
      <c r="K1098" t="s">
        <v>54</v>
      </c>
      <c r="L1098" t="s">
        <v>55</v>
      </c>
      <c r="O1098" t="s">
        <v>82</v>
      </c>
      <c r="P1098" t="s">
        <v>83</v>
      </c>
      <c r="Q1098" t="s">
        <v>6587</v>
      </c>
      <c r="R1098" t="s">
        <v>6588</v>
      </c>
      <c r="S1098" t="s">
        <v>2895</v>
      </c>
      <c r="T1098" t="s">
        <v>2896</v>
      </c>
      <c r="U1098" t="s">
        <v>2897</v>
      </c>
    </row>
    <row r="1099" spans="1:21" hidden="1">
      <c r="A1099" t="s">
        <v>2315</v>
      </c>
      <c r="B1099" t="s">
        <v>6568</v>
      </c>
      <c r="C1099" t="s">
        <v>6589</v>
      </c>
      <c r="D1099" t="s">
        <v>17</v>
      </c>
      <c r="E1099" t="s">
        <v>2</v>
      </c>
      <c r="F1099" t="s">
        <v>50</v>
      </c>
      <c r="G1099" t="s">
        <v>51</v>
      </c>
      <c r="H1099" t="s">
        <v>6590</v>
      </c>
      <c r="I1099" t="s">
        <v>52</v>
      </c>
      <c r="J1099" t="s">
        <v>126</v>
      </c>
      <c r="K1099" t="s">
        <v>54</v>
      </c>
      <c r="L1099" t="s">
        <v>55</v>
      </c>
      <c r="O1099" t="s">
        <v>56</v>
      </c>
      <c r="P1099" t="s">
        <v>57</v>
      </c>
      <c r="Q1099" t="s">
        <v>6591</v>
      </c>
      <c r="R1099" t="s">
        <v>6592</v>
      </c>
      <c r="S1099" t="s">
        <v>2895</v>
      </c>
      <c r="T1099" t="s">
        <v>2896</v>
      </c>
      <c r="U1099" t="s">
        <v>2897</v>
      </c>
    </row>
    <row r="1100" spans="1:21" hidden="1">
      <c r="A1100" t="s">
        <v>2317</v>
      </c>
      <c r="B1100" t="s">
        <v>6593</v>
      </c>
      <c r="C1100" t="s">
        <v>6594</v>
      </c>
      <c r="D1100" t="s">
        <v>17</v>
      </c>
      <c r="E1100" t="s">
        <v>2</v>
      </c>
      <c r="F1100" t="s">
        <v>149</v>
      </c>
      <c r="G1100" t="s">
        <v>72</v>
      </c>
      <c r="H1100" t="s">
        <v>6595</v>
      </c>
      <c r="I1100" t="s">
        <v>52</v>
      </c>
      <c r="J1100" t="s">
        <v>316</v>
      </c>
      <c r="K1100" t="s">
        <v>54</v>
      </c>
      <c r="L1100" t="s">
        <v>74</v>
      </c>
      <c r="O1100" t="s">
        <v>75</v>
      </c>
      <c r="P1100" t="s">
        <v>76</v>
      </c>
      <c r="Q1100" t="s">
        <v>6596</v>
      </c>
      <c r="R1100" t="s">
        <v>6595</v>
      </c>
      <c r="S1100" t="s">
        <v>2895</v>
      </c>
      <c r="T1100" t="s">
        <v>2896</v>
      </c>
      <c r="U1100" t="s">
        <v>2897</v>
      </c>
    </row>
    <row r="1101" spans="1:21" hidden="1">
      <c r="A1101" t="s">
        <v>2319</v>
      </c>
      <c r="B1101" t="s">
        <v>6593</v>
      </c>
      <c r="C1101" t="s">
        <v>2935</v>
      </c>
      <c r="D1101" t="s">
        <v>17</v>
      </c>
      <c r="E1101" t="s">
        <v>2</v>
      </c>
      <c r="F1101" t="s">
        <v>50</v>
      </c>
      <c r="G1101" t="s">
        <v>51</v>
      </c>
      <c r="H1101" t="s">
        <v>6597</v>
      </c>
      <c r="I1101" t="s">
        <v>52</v>
      </c>
      <c r="J1101" t="s">
        <v>126</v>
      </c>
      <c r="K1101" t="s">
        <v>54</v>
      </c>
      <c r="L1101" t="s">
        <v>55</v>
      </c>
      <c r="O1101" t="s">
        <v>56</v>
      </c>
      <c r="P1101" t="s">
        <v>57</v>
      </c>
      <c r="Q1101" t="s">
        <v>6598</v>
      </c>
      <c r="R1101" t="s">
        <v>6599</v>
      </c>
      <c r="S1101" t="s">
        <v>2895</v>
      </c>
      <c r="T1101" t="s">
        <v>2896</v>
      </c>
      <c r="U1101" t="s">
        <v>2897</v>
      </c>
    </row>
    <row r="1102" spans="1:21" hidden="1">
      <c r="A1102" t="s">
        <v>2321</v>
      </c>
      <c r="B1102" t="s">
        <v>6593</v>
      </c>
      <c r="C1102" t="s">
        <v>6403</v>
      </c>
      <c r="D1102" t="s">
        <v>17</v>
      </c>
      <c r="E1102" t="s">
        <v>2</v>
      </c>
      <c r="F1102" t="s">
        <v>50</v>
      </c>
      <c r="G1102" t="s">
        <v>100</v>
      </c>
      <c r="H1102" t="s">
        <v>6600</v>
      </c>
      <c r="I1102" t="s">
        <v>52</v>
      </c>
      <c r="J1102" t="s">
        <v>114</v>
      </c>
      <c r="K1102" t="s">
        <v>54</v>
      </c>
      <c r="L1102" t="s">
        <v>102</v>
      </c>
      <c r="O1102" t="s">
        <v>103</v>
      </c>
      <c r="P1102" t="s">
        <v>104</v>
      </c>
      <c r="Q1102" t="s">
        <v>6601</v>
      </c>
      <c r="R1102" t="s">
        <v>6602</v>
      </c>
      <c r="S1102" t="s">
        <v>2895</v>
      </c>
      <c r="T1102" t="s">
        <v>2896</v>
      </c>
      <c r="U1102" t="s">
        <v>2897</v>
      </c>
    </row>
    <row r="1103" spans="1:21" hidden="1">
      <c r="A1103" t="s">
        <v>2323</v>
      </c>
      <c r="B1103" t="s">
        <v>6593</v>
      </c>
      <c r="C1103" t="s">
        <v>6135</v>
      </c>
      <c r="D1103" t="s">
        <v>17</v>
      </c>
      <c r="E1103" t="s">
        <v>2</v>
      </c>
      <c r="F1103" t="s">
        <v>50</v>
      </c>
      <c r="G1103" t="s">
        <v>51</v>
      </c>
      <c r="H1103" t="s">
        <v>6603</v>
      </c>
      <c r="I1103" t="s">
        <v>52</v>
      </c>
      <c r="J1103" t="s">
        <v>65</v>
      </c>
      <c r="K1103" t="s">
        <v>54</v>
      </c>
      <c r="L1103" t="s">
        <v>55</v>
      </c>
      <c r="O1103" t="s">
        <v>66</v>
      </c>
      <c r="P1103" t="s">
        <v>67</v>
      </c>
      <c r="Q1103" t="s">
        <v>6604</v>
      </c>
      <c r="R1103" t="s">
        <v>6605</v>
      </c>
      <c r="S1103" t="s">
        <v>2895</v>
      </c>
      <c r="T1103" t="s">
        <v>2896</v>
      </c>
      <c r="U1103" t="s">
        <v>2897</v>
      </c>
    </row>
    <row r="1104" spans="1:21" hidden="1">
      <c r="A1104" t="s">
        <v>2325</v>
      </c>
      <c r="B1104" t="s">
        <v>6593</v>
      </c>
      <c r="C1104" t="s">
        <v>6606</v>
      </c>
      <c r="D1104" t="s">
        <v>17</v>
      </c>
      <c r="E1104" t="s">
        <v>2</v>
      </c>
      <c r="F1104" t="s">
        <v>50</v>
      </c>
      <c r="G1104" t="s">
        <v>51</v>
      </c>
      <c r="H1104" t="s">
        <v>6607</v>
      </c>
      <c r="I1104" t="s">
        <v>52</v>
      </c>
      <c r="J1104" t="s">
        <v>196</v>
      </c>
      <c r="K1104" t="s">
        <v>54</v>
      </c>
      <c r="L1104" t="s">
        <v>55</v>
      </c>
      <c r="O1104" t="s">
        <v>197</v>
      </c>
      <c r="P1104" t="s">
        <v>198</v>
      </c>
      <c r="Q1104" t="s">
        <v>6608</v>
      </c>
      <c r="R1104" t="s">
        <v>6609</v>
      </c>
      <c r="S1104" t="s">
        <v>2895</v>
      </c>
      <c r="T1104" t="s">
        <v>2896</v>
      </c>
      <c r="U1104" t="s">
        <v>2897</v>
      </c>
    </row>
    <row r="1105" spans="1:21" hidden="1">
      <c r="A1105" t="s">
        <v>2327</v>
      </c>
      <c r="B1105" t="s">
        <v>6593</v>
      </c>
      <c r="C1105" t="s">
        <v>4489</v>
      </c>
      <c r="D1105" t="s">
        <v>17</v>
      </c>
      <c r="E1105" t="s">
        <v>2</v>
      </c>
      <c r="F1105" t="s">
        <v>50</v>
      </c>
      <c r="G1105" t="s">
        <v>51</v>
      </c>
      <c r="H1105" t="s">
        <v>6610</v>
      </c>
      <c r="I1105" t="s">
        <v>52</v>
      </c>
      <c r="J1105" t="s">
        <v>196</v>
      </c>
      <c r="K1105" t="s">
        <v>54</v>
      </c>
      <c r="L1105" t="s">
        <v>55</v>
      </c>
      <c r="O1105" t="s">
        <v>197</v>
      </c>
      <c r="P1105" t="s">
        <v>198</v>
      </c>
      <c r="Q1105" t="s">
        <v>6611</v>
      </c>
      <c r="R1105" t="s">
        <v>6612</v>
      </c>
      <c r="S1105" t="s">
        <v>2895</v>
      </c>
      <c r="T1105" t="s">
        <v>2896</v>
      </c>
      <c r="U1105" t="s">
        <v>2897</v>
      </c>
    </row>
    <row r="1106" spans="1:21" hidden="1">
      <c r="A1106" t="s">
        <v>2329</v>
      </c>
      <c r="B1106" t="s">
        <v>6593</v>
      </c>
      <c r="C1106" t="s">
        <v>6249</v>
      </c>
      <c r="D1106" t="s">
        <v>17</v>
      </c>
      <c r="E1106" t="s">
        <v>2</v>
      </c>
      <c r="F1106" t="s">
        <v>50</v>
      </c>
      <c r="G1106" t="s">
        <v>51</v>
      </c>
      <c r="H1106" t="s">
        <v>6613</v>
      </c>
      <c r="I1106" t="s">
        <v>52</v>
      </c>
      <c r="J1106" t="s">
        <v>53</v>
      </c>
      <c r="K1106" t="s">
        <v>54</v>
      </c>
      <c r="L1106" t="s">
        <v>55</v>
      </c>
      <c r="O1106" t="s">
        <v>56</v>
      </c>
      <c r="P1106" t="s">
        <v>57</v>
      </c>
      <c r="Q1106" t="s">
        <v>6614</v>
      </c>
      <c r="R1106" t="s">
        <v>6615</v>
      </c>
      <c r="S1106" t="s">
        <v>2895</v>
      </c>
      <c r="T1106" t="s">
        <v>2896</v>
      </c>
      <c r="U1106" t="s">
        <v>2897</v>
      </c>
    </row>
    <row r="1107" spans="1:21" hidden="1">
      <c r="A1107" t="s">
        <v>2331</v>
      </c>
      <c r="B1107" t="s">
        <v>6593</v>
      </c>
      <c r="C1107" t="s">
        <v>6616</v>
      </c>
      <c r="D1107" t="s">
        <v>17</v>
      </c>
      <c r="E1107" t="s">
        <v>2</v>
      </c>
      <c r="F1107" t="s">
        <v>50</v>
      </c>
      <c r="G1107" t="s">
        <v>51</v>
      </c>
      <c r="H1107" t="s">
        <v>4257</v>
      </c>
      <c r="I1107" t="s">
        <v>52</v>
      </c>
      <c r="J1107" t="s">
        <v>126</v>
      </c>
      <c r="K1107" t="s">
        <v>54</v>
      </c>
      <c r="L1107" t="s">
        <v>55</v>
      </c>
      <c r="O1107" t="s">
        <v>56</v>
      </c>
      <c r="P1107" t="s">
        <v>57</v>
      </c>
      <c r="Q1107" t="s">
        <v>6617</v>
      </c>
      <c r="R1107" t="s">
        <v>4259</v>
      </c>
      <c r="S1107" t="s">
        <v>2895</v>
      </c>
      <c r="T1107" t="s">
        <v>2896</v>
      </c>
      <c r="U1107" t="s">
        <v>2897</v>
      </c>
    </row>
    <row r="1108" spans="1:21" hidden="1">
      <c r="A1108" t="s">
        <v>2333</v>
      </c>
      <c r="B1108" t="s">
        <v>6593</v>
      </c>
      <c r="C1108" t="s">
        <v>3991</v>
      </c>
      <c r="D1108" t="s">
        <v>17</v>
      </c>
      <c r="E1108" t="s">
        <v>2</v>
      </c>
      <c r="F1108" t="s">
        <v>50</v>
      </c>
      <c r="G1108" t="s">
        <v>51</v>
      </c>
      <c r="H1108" t="s">
        <v>5135</v>
      </c>
      <c r="I1108" t="s">
        <v>52</v>
      </c>
      <c r="J1108" t="s">
        <v>53</v>
      </c>
      <c r="K1108" t="s">
        <v>54</v>
      </c>
      <c r="L1108" t="s">
        <v>55</v>
      </c>
      <c r="O1108" t="s">
        <v>56</v>
      </c>
      <c r="P1108" t="s">
        <v>57</v>
      </c>
      <c r="Q1108" t="s">
        <v>6618</v>
      </c>
      <c r="R1108" t="s">
        <v>5137</v>
      </c>
      <c r="S1108" t="s">
        <v>2895</v>
      </c>
      <c r="T1108" t="s">
        <v>2896</v>
      </c>
      <c r="U1108" t="s">
        <v>2897</v>
      </c>
    </row>
    <row r="1109" spans="1:21" hidden="1">
      <c r="A1109" t="s">
        <v>2335</v>
      </c>
      <c r="B1109" t="s">
        <v>6619</v>
      </c>
      <c r="C1109" t="s">
        <v>6620</v>
      </c>
      <c r="D1109" t="s">
        <v>17</v>
      </c>
      <c r="E1109" t="s">
        <v>2</v>
      </c>
      <c r="F1109" t="s">
        <v>50</v>
      </c>
      <c r="G1109" t="s">
        <v>51</v>
      </c>
      <c r="H1109" t="s">
        <v>6621</v>
      </c>
      <c r="I1109" t="s">
        <v>52</v>
      </c>
      <c r="J1109" t="s">
        <v>196</v>
      </c>
      <c r="K1109" t="s">
        <v>54</v>
      </c>
      <c r="L1109" t="s">
        <v>55</v>
      </c>
      <c r="O1109" t="s">
        <v>197</v>
      </c>
      <c r="P1109" t="s">
        <v>198</v>
      </c>
      <c r="Q1109" t="s">
        <v>6622</v>
      </c>
      <c r="R1109" t="s">
        <v>6623</v>
      </c>
      <c r="S1109" t="s">
        <v>2895</v>
      </c>
      <c r="T1109" t="s">
        <v>2896</v>
      </c>
      <c r="U1109" t="s">
        <v>2897</v>
      </c>
    </row>
    <row r="1110" spans="1:21" hidden="1">
      <c r="A1110" t="s">
        <v>2337</v>
      </c>
      <c r="B1110" t="s">
        <v>6619</v>
      </c>
      <c r="C1110" t="s">
        <v>6624</v>
      </c>
      <c r="D1110" t="s">
        <v>17</v>
      </c>
      <c r="E1110" t="s">
        <v>2</v>
      </c>
      <c r="F1110" t="s">
        <v>50</v>
      </c>
      <c r="G1110" t="s">
        <v>51</v>
      </c>
      <c r="H1110" t="s">
        <v>3140</v>
      </c>
      <c r="I1110" t="s">
        <v>52</v>
      </c>
      <c r="J1110" t="s">
        <v>121</v>
      </c>
      <c r="K1110" t="s">
        <v>54</v>
      </c>
      <c r="L1110" t="s">
        <v>55</v>
      </c>
      <c r="O1110" t="s">
        <v>122</v>
      </c>
      <c r="P1110" t="s">
        <v>123</v>
      </c>
      <c r="Q1110" t="s">
        <v>6625</v>
      </c>
      <c r="R1110" t="s">
        <v>3142</v>
      </c>
      <c r="S1110" t="s">
        <v>2895</v>
      </c>
      <c r="T1110" t="s">
        <v>2896</v>
      </c>
      <c r="U1110" t="s">
        <v>2897</v>
      </c>
    </row>
    <row r="1111" spans="1:21" hidden="1">
      <c r="A1111" t="s">
        <v>2339</v>
      </c>
      <c r="B1111" t="s">
        <v>6619</v>
      </c>
      <c r="C1111" t="s">
        <v>5138</v>
      </c>
      <c r="D1111" t="s">
        <v>17</v>
      </c>
      <c r="E1111" t="s">
        <v>2</v>
      </c>
      <c r="F1111" t="s">
        <v>50</v>
      </c>
      <c r="G1111" t="s">
        <v>88</v>
      </c>
      <c r="H1111" t="s">
        <v>4794</v>
      </c>
      <c r="I1111" t="s">
        <v>52</v>
      </c>
      <c r="J1111" t="s">
        <v>89</v>
      </c>
      <c r="K1111" t="s">
        <v>54</v>
      </c>
      <c r="L1111" t="s">
        <v>90</v>
      </c>
      <c r="M1111" t="s">
        <v>91</v>
      </c>
      <c r="N1111" t="s">
        <v>12</v>
      </c>
      <c r="O1111" t="s">
        <v>92</v>
      </c>
      <c r="P1111" t="s">
        <v>93</v>
      </c>
      <c r="Q1111" t="s">
        <v>6626</v>
      </c>
      <c r="R1111" t="s">
        <v>4796</v>
      </c>
      <c r="S1111" t="s">
        <v>2895</v>
      </c>
      <c r="T1111" t="s">
        <v>2896</v>
      </c>
      <c r="U1111" t="s">
        <v>2897</v>
      </c>
    </row>
    <row r="1112" spans="1:21" hidden="1">
      <c r="A1112" t="s">
        <v>2341</v>
      </c>
      <c r="B1112" t="s">
        <v>6619</v>
      </c>
      <c r="C1112" t="s">
        <v>6627</v>
      </c>
      <c r="D1112" t="s">
        <v>17</v>
      </c>
      <c r="E1112" t="s">
        <v>2</v>
      </c>
      <c r="F1112" t="s">
        <v>50</v>
      </c>
      <c r="G1112" t="s">
        <v>51</v>
      </c>
      <c r="H1112" t="s">
        <v>6628</v>
      </c>
      <c r="I1112" t="s">
        <v>52</v>
      </c>
      <c r="J1112" t="s">
        <v>121</v>
      </c>
      <c r="K1112" t="s">
        <v>54</v>
      </c>
      <c r="L1112" t="s">
        <v>55</v>
      </c>
      <c r="O1112" t="s">
        <v>122</v>
      </c>
      <c r="P1112" t="s">
        <v>123</v>
      </c>
      <c r="Q1112" t="s">
        <v>6629</v>
      </c>
      <c r="R1112" t="s">
        <v>6630</v>
      </c>
      <c r="S1112" t="s">
        <v>2895</v>
      </c>
      <c r="T1112" t="s">
        <v>2896</v>
      </c>
      <c r="U1112" t="s">
        <v>2897</v>
      </c>
    </row>
    <row r="1113" spans="1:21" hidden="1">
      <c r="A1113" t="s">
        <v>2343</v>
      </c>
      <c r="B1113" t="s">
        <v>6619</v>
      </c>
      <c r="C1113" t="s">
        <v>3483</v>
      </c>
      <c r="D1113" t="s">
        <v>17</v>
      </c>
      <c r="E1113" t="s">
        <v>2</v>
      </c>
      <c r="F1113" t="s">
        <v>50</v>
      </c>
      <c r="G1113" t="s">
        <v>51</v>
      </c>
      <c r="H1113" t="s">
        <v>6631</v>
      </c>
      <c r="I1113" t="s">
        <v>52</v>
      </c>
      <c r="J1113" t="s">
        <v>60</v>
      </c>
      <c r="K1113" t="s">
        <v>54</v>
      </c>
      <c r="L1113" t="s">
        <v>55</v>
      </c>
      <c r="O1113" t="s">
        <v>61</v>
      </c>
      <c r="P1113" t="s">
        <v>62</v>
      </c>
      <c r="Q1113" t="s">
        <v>6632</v>
      </c>
      <c r="R1113" t="s">
        <v>6633</v>
      </c>
      <c r="S1113" t="s">
        <v>2895</v>
      </c>
      <c r="T1113" t="s">
        <v>2896</v>
      </c>
      <c r="U1113" t="s">
        <v>2897</v>
      </c>
    </row>
    <row r="1114" spans="1:21" hidden="1">
      <c r="A1114" t="s">
        <v>2345</v>
      </c>
      <c r="B1114" t="s">
        <v>6619</v>
      </c>
      <c r="C1114" t="s">
        <v>6634</v>
      </c>
      <c r="D1114" t="s">
        <v>17</v>
      </c>
      <c r="E1114" t="s">
        <v>2</v>
      </c>
      <c r="F1114" t="s">
        <v>50</v>
      </c>
      <c r="G1114" t="s">
        <v>100</v>
      </c>
      <c r="H1114" t="s">
        <v>6635</v>
      </c>
      <c r="I1114" t="s">
        <v>52</v>
      </c>
      <c r="J1114" t="s">
        <v>114</v>
      </c>
      <c r="K1114" t="s">
        <v>54</v>
      </c>
      <c r="L1114" t="s">
        <v>102</v>
      </c>
      <c r="O1114" t="s">
        <v>103</v>
      </c>
      <c r="P1114" t="s">
        <v>104</v>
      </c>
      <c r="Q1114" t="s">
        <v>6636</v>
      </c>
      <c r="R1114" t="s">
        <v>6637</v>
      </c>
      <c r="S1114" t="s">
        <v>2895</v>
      </c>
      <c r="T1114" t="s">
        <v>2896</v>
      </c>
      <c r="U1114" t="s">
        <v>2897</v>
      </c>
    </row>
    <row r="1115" spans="1:21" hidden="1">
      <c r="A1115" t="s">
        <v>2347</v>
      </c>
      <c r="B1115" t="s">
        <v>6619</v>
      </c>
      <c r="C1115" t="s">
        <v>4569</v>
      </c>
      <c r="D1115" t="s">
        <v>17</v>
      </c>
      <c r="E1115" t="s">
        <v>2</v>
      </c>
      <c r="F1115" t="s">
        <v>50</v>
      </c>
      <c r="G1115" t="s">
        <v>51</v>
      </c>
      <c r="H1115" t="s">
        <v>6638</v>
      </c>
      <c r="I1115" t="s">
        <v>52</v>
      </c>
      <c r="J1115" t="s">
        <v>196</v>
      </c>
      <c r="K1115" t="s">
        <v>54</v>
      </c>
      <c r="L1115" t="s">
        <v>55</v>
      </c>
      <c r="O1115" t="s">
        <v>197</v>
      </c>
      <c r="P1115" t="s">
        <v>198</v>
      </c>
      <c r="Q1115" t="s">
        <v>6639</v>
      </c>
      <c r="R1115" t="s">
        <v>6640</v>
      </c>
      <c r="S1115" t="s">
        <v>2895</v>
      </c>
      <c r="T1115" t="s">
        <v>2896</v>
      </c>
      <c r="U1115" t="s">
        <v>2897</v>
      </c>
    </row>
    <row r="1116" spans="1:21" hidden="1">
      <c r="A1116" t="s">
        <v>2349</v>
      </c>
      <c r="B1116" t="s">
        <v>6619</v>
      </c>
      <c r="C1116" t="s">
        <v>3987</v>
      </c>
      <c r="D1116" t="s">
        <v>17</v>
      </c>
      <c r="E1116" t="s">
        <v>2</v>
      </c>
      <c r="F1116" t="s">
        <v>50</v>
      </c>
      <c r="G1116" t="s">
        <v>100</v>
      </c>
      <c r="H1116" t="s">
        <v>6641</v>
      </c>
      <c r="I1116" t="s">
        <v>52</v>
      </c>
      <c r="J1116" t="s">
        <v>114</v>
      </c>
      <c r="K1116" t="s">
        <v>54</v>
      </c>
      <c r="L1116" t="s">
        <v>102</v>
      </c>
      <c r="O1116" t="s">
        <v>103</v>
      </c>
      <c r="P1116" t="s">
        <v>104</v>
      </c>
      <c r="Q1116" t="s">
        <v>6642</v>
      </c>
      <c r="R1116" t="s">
        <v>6643</v>
      </c>
      <c r="S1116" t="s">
        <v>2895</v>
      </c>
      <c r="T1116" t="s">
        <v>2896</v>
      </c>
      <c r="U1116" t="s">
        <v>2897</v>
      </c>
    </row>
    <row r="1117" spans="1:21" hidden="1">
      <c r="A1117" t="s">
        <v>2351</v>
      </c>
      <c r="B1117" t="s">
        <v>6619</v>
      </c>
      <c r="C1117" t="s">
        <v>4087</v>
      </c>
      <c r="D1117" t="s">
        <v>17</v>
      </c>
      <c r="E1117" t="s">
        <v>2</v>
      </c>
      <c r="F1117" t="s">
        <v>50</v>
      </c>
      <c r="G1117" t="s">
        <v>51</v>
      </c>
      <c r="H1117" t="s">
        <v>6644</v>
      </c>
      <c r="I1117" t="s">
        <v>52</v>
      </c>
      <c r="J1117" t="s">
        <v>121</v>
      </c>
      <c r="K1117" t="s">
        <v>54</v>
      </c>
      <c r="L1117" t="s">
        <v>55</v>
      </c>
      <c r="O1117" t="s">
        <v>122</v>
      </c>
      <c r="P1117" t="s">
        <v>123</v>
      </c>
      <c r="Q1117" t="s">
        <v>6645</v>
      </c>
      <c r="R1117" t="s">
        <v>6646</v>
      </c>
      <c r="S1117" t="s">
        <v>2895</v>
      </c>
      <c r="T1117" t="s">
        <v>2896</v>
      </c>
      <c r="U1117" t="s">
        <v>2897</v>
      </c>
    </row>
    <row r="1118" spans="1:21" hidden="1">
      <c r="A1118" t="s">
        <v>2353</v>
      </c>
      <c r="B1118" t="s">
        <v>6647</v>
      </c>
      <c r="C1118" t="s">
        <v>6374</v>
      </c>
      <c r="D1118" t="s">
        <v>17</v>
      </c>
      <c r="E1118" t="s">
        <v>2</v>
      </c>
      <c r="F1118" t="s">
        <v>50</v>
      </c>
      <c r="G1118" t="s">
        <v>51</v>
      </c>
      <c r="H1118" t="s">
        <v>6648</v>
      </c>
      <c r="I1118" t="s">
        <v>52</v>
      </c>
      <c r="J1118" t="s">
        <v>81</v>
      </c>
      <c r="K1118" t="s">
        <v>54</v>
      </c>
      <c r="L1118" t="s">
        <v>55</v>
      </c>
      <c r="O1118" t="s">
        <v>82</v>
      </c>
      <c r="P1118" t="s">
        <v>83</v>
      </c>
      <c r="Q1118" t="s">
        <v>6649</v>
      </c>
      <c r="R1118" t="s">
        <v>6650</v>
      </c>
      <c r="S1118" t="s">
        <v>2895</v>
      </c>
      <c r="T1118" t="s">
        <v>2896</v>
      </c>
      <c r="U1118" t="s">
        <v>2897</v>
      </c>
    </row>
    <row r="1119" spans="1:21" hidden="1">
      <c r="A1119" t="s">
        <v>2355</v>
      </c>
      <c r="B1119" t="s">
        <v>6647</v>
      </c>
      <c r="C1119" t="s">
        <v>4018</v>
      </c>
      <c r="D1119" t="s">
        <v>17</v>
      </c>
      <c r="E1119" t="s">
        <v>2</v>
      </c>
      <c r="F1119" t="s">
        <v>149</v>
      </c>
      <c r="G1119" t="s">
        <v>72</v>
      </c>
      <c r="H1119" t="s">
        <v>6651</v>
      </c>
      <c r="I1119" t="s">
        <v>52</v>
      </c>
      <c r="J1119" t="s">
        <v>316</v>
      </c>
      <c r="K1119" t="s">
        <v>54</v>
      </c>
      <c r="L1119" t="s">
        <v>74</v>
      </c>
      <c r="O1119" t="s">
        <v>75</v>
      </c>
      <c r="P1119" t="s">
        <v>76</v>
      </c>
      <c r="Q1119" t="s">
        <v>6652</v>
      </c>
      <c r="R1119" t="s">
        <v>6651</v>
      </c>
      <c r="S1119" t="s">
        <v>2895</v>
      </c>
      <c r="T1119" t="s">
        <v>2896</v>
      </c>
      <c r="U1119" t="s">
        <v>2897</v>
      </c>
    </row>
    <row r="1120" spans="1:21" hidden="1">
      <c r="A1120" t="s">
        <v>2357</v>
      </c>
      <c r="B1120" t="s">
        <v>6647</v>
      </c>
      <c r="C1120" t="s">
        <v>4877</v>
      </c>
      <c r="D1120" t="s">
        <v>17</v>
      </c>
      <c r="E1120" t="s">
        <v>2</v>
      </c>
      <c r="F1120" t="s">
        <v>50</v>
      </c>
      <c r="G1120" t="s">
        <v>51</v>
      </c>
      <c r="H1120" t="s">
        <v>6653</v>
      </c>
      <c r="I1120" t="s">
        <v>52</v>
      </c>
      <c r="J1120" t="s">
        <v>121</v>
      </c>
      <c r="K1120" t="s">
        <v>54</v>
      </c>
      <c r="L1120" t="s">
        <v>55</v>
      </c>
      <c r="O1120" t="s">
        <v>122</v>
      </c>
      <c r="P1120" t="s">
        <v>123</v>
      </c>
      <c r="Q1120" t="s">
        <v>6654</v>
      </c>
      <c r="R1120" t="s">
        <v>6655</v>
      </c>
      <c r="S1120" t="s">
        <v>2895</v>
      </c>
      <c r="T1120" t="s">
        <v>2896</v>
      </c>
      <c r="U1120" t="s">
        <v>2897</v>
      </c>
    </row>
    <row r="1121" spans="1:21" hidden="1">
      <c r="A1121" t="s">
        <v>2359</v>
      </c>
      <c r="B1121" t="s">
        <v>6647</v>
      </c>
      <c r="C1121" t="s">
        <v>6204</v>
      </c>
      <c r="D1121" t="s">
        <v>17</v>
      </c>
      <c r="E1121" t="s">
        <v>2</v>
      </c>
      <c r="F1121" t="s">
        <v>50</v>
      </c>
      <c r="G1121" t="s">
        <v>100</v>
      </c>
      <c r="H1121" t="s">
        <v>6656</v>
      </c>
      <c r="I1121" t="s">
        <v>52</v>
      </c>
      <c r="J1121" t="s">
        <v>114</v>
      </c>
      <c r="K1121" t="s">
        <v>54</v>
      </c>
      <c r="L1121" t="s">
        <v>102</v>
      </c>
      <c r="O1121" t="s">
        <v>103</v>
      </c>
      <c r="P1121" t="s">
        <v>104</v>
      </c>
      <c r="Q1121" t="s">
        <v>6657</v>
      </c>
      <c r="R1121" t="s">
        <v>6658</v>
      </c>
      <c r="S1121" t="s">
        <v>2895</v>
      </c>
      <c r="T1121" t="s">
        <v>2896</v>
      </c>
      <c r="U1121" t="s">
        <v>2897</v>
      </c>
    </row>
    <row r="1122" spans="1:21" hidden="1">
      <c r="A1122" t="s">
        <v>2360</v>
      </c>
      <c r="B1122" t="s">
        <v>6647</v>
      </c>
      <c r="C1122" t="s">
        <v>6659</v>
      </c>
      <c r="D1122" t="s">
        <v>17</v>
      </c>
      <c r="E1122" t="s">
        <v>2</v>
      </c>
      <c r="F1122" t="s">
        <v>50</v>
      </c>
      <c r="G1122" t="s">
        <v>100</v>
      </c>
      <c r="H1122" t="s">
        <v>2969</v>
      </c>
      <c r="I1122" t="s">
        <v>52</v>
      </c>
      <c r="J1122" t="s">
        <v>101</v>
      </c>
      <c r="K1122" t="s">
        <v>54</v>
      </c>
      <c r="L1122" t="s">
        <v>102</v>
      </c>
      <c r="O1122" t="s">
        <v>103</v>
      </c>
      <c r="P1122" t="s">
        <v>104</v>
      </c>
      <c r="Q1122" t="s">
        <v>6660</v>
      </c>
      <c r="R1122" t="s">
        <v>2971</v>
      </c>
      <c r="S1122" t="s">
        <v>2895</v>
      </c>
      <c r="T1122" t="s">
        <v>2896</v>
      </c>
      <c r="U1122" t="s">
        <v>2897</v>
      </c>
    </row>
    <row r="1123" spans="1:21" hidden="1">
      <c r="A1123" t="s">
        <v>2362</v>
      </c>
      <c r="B1123" t="s">
        <v>6647</v>
      </c>
      <c r="C1123" t="s">
        <v>3248</v>
      </c>
      <c r="D1123" t="s">
        <v>17</v>
      </c>
      <c r="E1123" t="s">
        <v>2</v>
      </c>
      <c r="F1123" t="s">
        <v>50</v>
      </c>
      <c r="G1123" t="s">
        <v>100</v>
      </c>
      <c r="H1123" t="s">
        <v>2969</v>
      </c>
      <c r="I1123" t="s">
        <v>52</v>
      </c>
      <c r="J1123" t="s">
        <v>101</v>
      </c>
      <c r="K1123" t="s">
        <v>54</v>
      </c>
      <c r="L1123" t="s">
        <v>102</v>
      </c>
      <c r="O1123" t="s">
        <v>103</v>
      </c>
      <c r="P1123" t="s">
        <v>104</v>
      </c>
      <c r="Q1123" t="s">
        <v>6661</v>
      </c>
      <c r="R1123" t="s">
        <v>2971</v>
      </c>
      <c r="S1123" t="s">
        <v>2895</v>
      </c>
      <c r="T1123" t="s">
        <v>2896</v>
      </c>
      <c r="U1123" t="s">
        <v>2897</v>
      </c>
    </row>
    <row r="1124" spans="1:21" hidden="1">
      <c r="A1124" t="s">
        <v>2364</v>
      </c>
      <c r="B1124" t="s">
        <v>6647</v>
      </c>
      <c r="C1124" t="s">
        <v>6662</v>
      </c>
      <c r="D1124" t="s">
        <v>17</v>
      </c>
      <c r="E1124" t="s">
        <v>2</v>
      </c>
      <c r="F1124" t="s">
        <v>50</v>
      </c>
      <c r="G1124" t="s">
        <v>51</v>
      </c>
      <c r="H1124" t="s">
        <v>6663</v>
      </c>
      <c r="I1124" t="s">
        <v>52</v>
      </c>
      <c r="J1124" t="s">
        <v>121</v>
      </c>
      <c r="K1124" t="s">
        <v>54</v>
      </c>
      <c r="L1124" t="s">
        <v>55</v>
      </c>
      <c r="O1124" t="s">
        <v>122</v>
      </c>
      <c r="P1124" t="s">
        <v>123</v>
      </c>
      <c r="Q1124" t="s">
        <v>6664</v>
      </c>
      <c r="R1124" t="s">
        <v>6665</v>
      </c>
      <c r="S1124" t="s">
        <v>2895</v>
      </c>
      <c r="T1124" t="s">
        <v>2896</v>
      </c>
      <c r="U1124" t="s">
        <v>2897</v>
      </c>
    </row>
    <row r="1125" spans="1:21" hidden="1">
      <c r="A1125" t="s">
        <v>2366</v>
      </c>
      <c r="B1125" t="s">
        <v>6647</v>
      </c>
      <c r="C1125" t="s">
        <v>4925</v>
      </c>
      <c r="D1125" t="s">
        <v>17</v>
      </c>
      <c r="E1125" t="s">
        <v>2</v>
      </c>
      <c r="F1125" t="s">
        <v>50</v>
      </c>
      <c r="G1125" t="s">
        <v>51</v>
      </c>
      <c r="H1125" t="s">
        <v>6666</v>
      </c>
      <c r="I1125" t="s">
        <v>52</v>
      </c>
      <c r="J1125" t="s">
        <v>126</v>
      </c>
      <c r="K1125" t="s">
        <v>54</v>
      </c>
      <c r="L1125" t="s">
        <v>55</v>
      </c>
      <c r="O1125" t="s">
        <v>56</v>
      </c>
      <c r="P1125" t="s">
        <v>57</v>
      </c>
      <c r="Q1125" t="s">
        <v>6667</v>
      </c>
      <c r="R1125" t="s">
        <v>6668</v>
      </c>
      <c r="S1125" t="s">
        <v>2895</v>
      </c>
      <c r="T1125" t="s">
        <v>2896</v>
      </c>
      <c r="U1125" t="s">
        <v>2897</v>
      </c>
    </row>
    <row r="1126" spans="1:21" hidden="1">
      <c r="A1126" t="s">
        <v>2368</v>
      </c>
      <c r="B1126" t="s">
        <v>6647</v>
      </c>
      <c r="C1126" t="s">
        <v>4956</v>
      </c>
      <c r="D1126" t="s">
        <v>17</v>
      </c>
      <c r="E1126" t="s">
        <v>2</v>
      </c>
      <c r="F1126" t="s">
        <v>50</v>
      </c>
      <c r="G1126" t="s">
        <v>51</v>
      </c>
      <c r="H1126" t="s">
        <v>6669</v>
      </c>
      <c r="I1126" t="s">
        <v>52</v>
      </c>
      <c r="J1126" t="s">
        <v>126</v>
      </c>
      <c r="K1126" t="s">
        <v>54</v>
      </c>
      <c r="L1126" t="s">
        <v>55</v>
      </c>
      <c r="O1126" t="s">
        <v>56</v>
      </c>
      <c r="P1126" t="s">
        <v>57</v>
      </c>
      <c r="Q1126" t="s">
        <v>6670</v>
      </c>
      <c r="R1126" t="s">
        <v>6671</v>
      </c>
      <c r="S1126" t="s">
        <v>2895</v>
      </c>
      <c r="T1126" t="s">
        <v>2896</v>
      </c>
      <c r="U1126" t="s">
        <v>2897</v>
      </c>
    </row>
    <row r="1127" spans="1:21" hidden="1">
      <c r="A1127" t="s">
        <v>2370</v>
      </c>
      <c r="B1127" t="s">
        <v>6672</v>
      </c>
      <c r="C1127" t="s">
        <v>6673</v>
      </c>
      <c r="D1127" t="s">
        <v>17</v>
      </c>
      <c r="E1127" t="s">
        <v>2</v>
      </c>
      <c r="F1127" t="s">
        <v>50</v>
      </c>
      <c r="G1127" t="s">
        <v>51</v>
      </c>
      <c r="H1127" t="s">
        <v>6674</v>
      </c>
      <c r="I1127" t="s">
        <v>52</v>
      </c>
      <c r="J1127" t="s">
        <v>53</v>
      </c>
      <c r="K1127" t="s">
        <v>54</v>
      </c>
      <c r="L1127" t="s">
        <v>55</v>
      </c>
      <c r="O1127" t="s">
        <v>56</v>
      </c>
      <c r="P1127" t="s">
        <v>57</v>
      </c>
      <c r="Q1127" t="s">
        <v>6675</v>
      </c>
      <c r="R1127" t="s">
        <v>6676</v>
      </c>
      <c r="S1127" t="s">
        <v>2895</v>
      </c>
      <c r="T1127" t="s">
        <v>2896</v>
      </c>
      <c r="U1127" t="s">
        <v>2897</v>
      </c>
    </row>
    <row r="1128" spans="1:21" hidden="1">
      <c r="A1128" t="s">
        <v>2372</v>
      </c>
      <c r="B1128" t="s">
        <v>6672</v>
      </c>
      <c r="C1128" t="s">
        <v>6677</v>
      </c>
      <c r="D1128" t="s">
        <v>17</v>
      </c>
      <c r="E1128" t="s">
        <v>2</v>
      </c>
      <c r="F1128" t="s">
        <v>50</v>
      </c>
      <c r="G1128" t="s">
        <v>51</v>
      </c>
      <c r="H1128" t="s">
        <v>6678</v>
      </c>
      <c r="I1128" t="s">
        <v>52</v>
      </c>
      <c r="J1128" t="s">
        <v>65</v>
      </c>
      <c r="K1128" t="s">
        <v>54</v>
      </c>
      <c r="L1128" t="s">
        <v>55</v>
      </c>
      <c r="O1128" t="s">
        <v>66</v>
      </c>
      <c r="P1128" t="s">
        <v>67</v>
      </c>
      <c r="Q1128" t="s">
        <v>6679</v>
      </c>
      <c r="R1128" t="s">
        <v>6680</v>
      </c>
      <c r="S1128" t="s">
        <v>2895</v>
      </c>
      <c r="T1128" t="s">
        <v>2896</v>
      </c>
      <c r="U1128" t="s">
        <v>2897</v>
      </c>
    </row>
    <row r="1129" spans="1:21" hidden="1">
      <c r="A1129" t="s">
        <v>2374</v>
      </c>
      <c r="B1129" t="s">
        <v>6672</v>
      </c>
      <c r="C1129" t="s">
        <v>4982</v>
      </c>
      <c r="D1129" t="s">
        <v>17</v>
      </c>
      <c r="E1129" t="s">
        <v>2</v>
      </c>
      <c r="F1129" t="s">
        <v>50</v>
      </c>
      <c r="G1129" t="s">
        <v>100</v>
      </c>
      <c r="H1129" t="s">
        <v>6681</v>
      </c>
      <c r="I1129" t="s">
        <v>52</v>
      </c>
      <c r="J1129" t="s">
        <v>114</v>
      </c>
      <c r="K1129" t="s">
        <v>54</v>
      </c>
      <c r="L1129" t="s">
        <v>102</v>
      </c>
      <c r="O1129" t="s">
        <v>103</v>
      </c>
      <c r="P1129" t="s">
        <v>104</v>
      </c>
      <c r="Q1129" t="s">
        <v>6682</v>
      </c>
      <c r="R1129" t="s">
        <v>6683</v>
      </c>
      <c r="S1129" t="s">
        <v>2895</v>
      </c>
      <c r="T1129" t="s">
        <v>2896</v>
      </c>
      <c r="U1129" t="s">
        <v>2897</v>
      </c>
    </row>
    <row r="1130" spans="1:21" hidden="1">
      <c r="A1130" t="s">
        <v>2376</v>
      </c>
      <c r="B1130" t="s">
        <v>6672</v>
      </c>
      <c r="C1130" t="s">
        <v>4649</v>
      </c>
      <c r="D1130" t="s">
        <v>17</v>
      </c>
      <c r="E1130" t="s">
        <v>2</v>
      </c>
      <c r="F1130" t="s">
        <v>50</v>
      </c>
      <c r="G1130" t="s">
        <v>100</v>
      </c>
      <c r="H1130" t="s">
        <v>2969</v>
      </c>
      <c r="I1130" t="s">
        <v>52</v>
      </c>
      <c r="J1130" t="s">
        <v>101</v>
      </c>
      <c r="K1130" t="s">
        <v>54</v>
      </c>
      <c r="L1130" t="s">
        <v>102</v>
      </c>
      <c r="O1130" t="s">
        <v>103</v>
      </c>
      <c r="P1130" t="s">
        <v>104</v>
      </c>
      <c r="Q1130" t="s">
        <v>6684</v>
      </c>
      <c r="R1130" t="s">
        <v>2971</v>
      </c>
      <c r="S1130" t="s">
        <v>2895</v>
      </c>
      <c r="T1130" t="s">
        <v>2896</v>
      </c>
      <c r="U1130" t="s">
        <v>2897</v>
      </c>
    </row>
    <row r="1131" spans="1:21" hidden="1">
      <c r="A1131" t="s">
        <v>2378</v>
      </c>
      <c r="B1131" t="s">
        <v>6672</v>
      </c>
      <c r="C1131" t="s">
        <v>6685</v>
      </c>
      <c r="D1131" t="s">
        <v>17</v>
      </c>
      <c r="E1131" t="s">
        <v>2</v>
      </c>
      <c r="F1131" t="s">
        <v>50</v>
      </c>
      <c r="G1131" t="s">
        <v>51</v>
      </c>
      <c r="H1131" t="s">
        <v>3714</v>
      </c>
      <c r="I1131" t="s">
        <v>52</v>
      </c>
      <c r="J1131" t="s">
        <v>126</v>
      </c>
      <c r="K1131" t="s">
        <v>54</v>
      </c>
      <c r="L1131" t="s">
        <v>55</v>
      </c>
      <c r="O1131" t="s">
        <v>56</v>
      </c>
      <c r="P1131" t="s">
        <v>57</v>
      </c>
      <c r="Q1131" t="s">
        <v>6686</v>
      </c>
      <c r="R1131" t="s">
        <v>3716</v>
      </c>
      <c r="S1131" t="s">
        <v>2895</v>
      </c>
      <c r="T1131" t="s">
        <v>2896</v>
      </c>
      <c r="U1131" t="s">
        <v>2897</v>
      </c>
    </row>
    <row r="1132" spans="1:21" hidden="1">
      <c r="A1132" t="s">
        <v>2380</v>
      </c>
      <c r="B1132" t="s">
        <v>6672</v>
      </c>
      <c r="C1132" t="s">
        <v>4087</v>
      </c>
      <c r="D1132" t="s">
        <v>17</v>
      </c>
      <c r="E1132" t="s">
        <v>2</v>
      </c>
      <c r="F1132" t="s">
        <v>50</v>
      </c>
      <c r="G1132" t="s">
        <v>51</v>
      </c>
      <c r="H1132" t="s">
        <v>6687</v>
      </c>
      <c r="I1132" t="s">
        <v>52</v>
      </c>
      <c r="J1132" t="s">
        <v>65</v>
      </c>
      <c r="K1132" t="s">
        <v>54</v>
      </c>
      <c r="L1132" t="s">
        <v>55</v>
      </c>
      <c r="O1132" t="s">
        <v>66</v>
      </c>
      <c r="P1132" t="s">
        <v>67</v>
      </c>
      <c r="Q1132" t="s">
        <v>6688</v>
      </c>
      <c r="R1132" t="s">
        <v>6689</v>
      </c>
      <c r="S1132" t="s">
        <v>2895</v>
      </c>
      <c r="T1132" t="s">
        <v>2896</v>
      </c>
      <c r="U1132" t="s">
        <v>2897</v>
      </c>
    </row>
    <row r="1133" spans="1:21" hidden="1">
      <c r="A1133" t="s">
        <v>2382</v>
      </c>
      <c r="B1133" t="s">
        <v>6672</v>
      </c>
      <c r="C1133" t="s">
        <v>6690</v>
      </c>
      <c r="D1133" t="s">
        <v>17</v>
      </c>
      <c r="E1133" t="s">
        <v>2</v>
      </c>
      <c r="F1133" t="s">
        <v>50</v>
      </c>
      <c r="G1133" t="s">
        <v>51</v>
      </c>
      <c r="H1133" t="s">
        <v>6691</v>
      </c>
      <c r="I1133" t="s">
        <v>52</v>
      </c>
      <c r="J1133" t="s">
        <v>196</v>
      </c>
      <c r="K1133" t="s">
        <v>54</v>
      </c>
      <c r="L1133" t="s">
        <v>55</v>
      </c>
      <c r="O1133" t="s">
        <v>197</v>
      </c>
      <c r="P1133" t="s">
        <v>198</v>
      </c>
      <c r="Q1133" t="s">
        <v>6692</v>
      </c>
      <c r="R1133" t="s">
        <v>6693</v>
      </c>
      <c r="S1133" t="s">
        <v>2895</v>
      </c>
      <c r="T1133" t="s">
        <v>2896</v>
      </c>
      <c r="U1133" t="s">
        <v>2897</v>
      </c>
    </row>
    <row r="1134" spans="1:21" hidden="1">
      <c r="A1134" t="s">
        <v>2384</v>
      </c>
      <c r="B1134" t="s">
        <v>6694</v>
      </c>
      <c r="C1134" t="s">
        <v>6695</v>
      </c>
      <c r="D1134" t="s">
        <v>17</v>
      </c>
      <c r="E1134" t="s">
        <v>2</v>
      </c>
      <c r="F1134" t="s">
        <v>50</v>
      </c>
      <c r="G1134" t="s">
        <v>100</v>
      </c>
      <c r="H1134" t="s">
        <v>6696</v>
      </c>
      <c r="I1134" t="s">
        <v>52</v>
      </c>
      <c r="J1134" t="s">
        <v>114</v>
      </c>
      <c r="K1134" t="s">
        <v>54</v>
      </c>
      <c r="L1134" t="s">
        <v>102</v>
      </c>
      <c r="O1134" t="s">
        <v>103</v>
      </c>
      <c r="P1134" t="s">
        <v>104</v>
      </c>
      <c r="Q1134" t="s">
        <v>6697</v>
      </c>
      <c r="R1134" t="s">
        <v>6698</v>
      </c>
      <c r="S1134" t="s">
        <v>2895</v>
      </c>
      <c r="T1134" t="s">
        <v>2896</v>
      </c>
      <c r="U1134" t="s">
        <v>2897</v>
      </c>
    </row>
    <row r="1135" spans="1:21" hidden="1">
      <c r="A1135" t="s">
        <v>2386</v>
      </c>
      <c r="B1135" t="s">
        <v>6694</v>
      </c>
      <c r="C1135" t="s">
        <v>6417</v>
      </c>
      <c r="D1135" t="s">
        <v>17</v>
      </c>
      <c r="E1135" t="s">
        <v>2</v>
      </c>
      <c r="F1135" t="s">
        <v>149</v>
      </c>
      <c r="G1135" t="s">
        <v>72</v>
      </c>
      <c r="H1135" t="s">
        <v>6699</v>
      </c>
      <c r="I1135" t="s">
        <v>52</v>
      </c>
      <c r="J1135" t="s">
        <v>233</v>
      </c>
      <c r="K1135" t="s">
        <v>54</v>
      </c>
      <c r="L1135" t="s">
        <v>74</v>
      </c>
      <c r="O1135" t="s">
        <v>75</v>
      </c>
      <c r="P1135" t="s">
        <v>76</v>
      </c>
      <c r="Q1135" t="s">
        <v>6700</v>
      </c>
      <c r="R1135" t="s">
        <v>6699</v>
      </c>
      <c r="S1135" t="s">
        <v>2895</v>
      </c>
      <c r="T1135" t="s">
        <v>2896</v>
      </c>
      <c r="U1135" t="s">
        <v>2897</v>
      </c>
    </row>
    <row r="1136" spans="1:21" hidden="1">
      <c r="A1136" t="s">
        <v>2388</v>
      </c>
      <c r="B1136" t="s">
        <v>6694</v>
      </c>
      <c r="C1136" t="s">
        <v>4768</v>
      </c>
      <c r="D1136" t="s">
        <v>17</v>
      </c>
      <c r="E1136" t="s">
        <v>2</v>
      </c>
      <c r="F1136" t="s">
        <v>50</v>
      </c>
      <c r="G1136" t="s">
        <v>100</v>
      </c>
      <c r="H1136" t="s">
        <v>2969</v>
      </c>
      <c r="I1136" t="s">
        <v>52</v>
      </c>
      <c r="J1136" t="s">
        <v>101</v>
      </c>
      <c r="K1136" t="s">
        <v>54</v>
      </c>
      <c r="L1136" t="s">
        <v>102</v>
      </c>
      <c r="O1136" t="s">
        <v>103</v>
      </c>
      <c r="P1136" t="s">
        <v>104</v>
      </c>
      <c r="Q1136" t="s">
        <v>6701</v>
      </c>
      <c r="R1136" t="s">
        <v>2971</v>
      </c>
      <c r="S1136" t="s">
        <v>2895</v>
      </c>
      <c r="T1136" t="s">
        <v>2896</v>
      </c>
      <c r="U1136" t="s">
        <v>2897</v>
      </c>
    </row>
    <row r="1137" spans="1:21" hidden="1">
      <c r="A1137" t="s">
        <v>2390</v>
      </c>
      <c r="B1137" t="s">
        <v>6694</v>
      </c>
      <c r="C1137" t="s">
        <v>4726</v>
      </c>
      <c r="D1137" t="s">
        <v>17</v>
      </c>
      <c r="E1137" t="s">
        <v>2</v>
      </c>
      <c r="F1137" t="s">
        <v>50</v>
      </c>
      <c r="G1137" t="s">
        <v>100</v>
      </c>
      <c r="H1137" t="s">
        <v>6702</v>
      </c>
      <c r="I1137" t="s">
        <v>52</v>
      </c>
      <c r="J1137" t="s">
        <v>114</v>
      </c>
      <c r="K1137" t="s">
        <v>54</v>
      </c>
      <c r="L1137" t="s">
        <v>102</v>
      </c>
      <c r="O1137" t="s">
        <v>103</v>
      </c>
      <c r="P1137" t="s">
        <v>104</v>
      </c>
      <c r="Q1137" t="s">
        <v>6703</v>
      </c>
      <c r="R1137" t="s">
        <v>6704</v>
      </c>
      <c r="S1137" t="s">
        <v>2895</v>
      </c>
      <c r="T1137" t="s">
        <v>2896</v>
      </c>
      <c r="U1137" t="s">
        <v>2897</v>
      </c>
    </row>
    <row r="1138" spans="1:21" hidden="1">
      <c r="A1138" t="s">
        <v>2392</v>
      </c>
      <c r="B1138" t="s">
        <v>6694</v>
      </c>
      <c r="C1138" t="s">
        <v>6221</v>
      </c>
      <c r="D1138" t="s">
        <v>17</v>
      </c>
      <c r="E1138" t="s">
        <v>2</v>
      </c>
      <c r="F1138" t="s">
        <v>50</v>
      </c>
      <c r="G1138" t="s">
        <v>51</v>
      </c>
      <c r="H1138" t="s">
        <v>6705</v>
      </c>
      <c r="I1138" t="s">
        <v>52</v>
      </c>
      <c r="J1138" t="s">
        <v>126</v>
      </c>
      <c r="K1138" t="s">
        <v>54</v>
      </c>
      <c r="L1138" t="s">
        <v>55</v>
      </c>
      <c r="O1138" t="s">
        <v>56</v>
      </c>
      <c r="P1138" t="s">
        <v>57</v>
      </c>
      <c r="Q1138" t="s">
        <v>6706</v>
      </c>
      <c r="R1138" t="s">
        <v>6707</v>
      </c>
      <c r="S1138" t="s">
        <v>2895</v>
      </c>
      <c r="T1138" t="s">
        <v>2896</v>
      </c>
      <c r="U1138" t="s">
        <v>2897</v>
      </c>
    </row>
    <row r="1139" spans="1:21" hidden="1">
      <c r="A1139" t="s">
        <v>2394</v>
      </c>
      <c r="B1139" t="s">
        <v>6694</v>
      </c>
      <c r="C1139" t="s">
        <v>5211</v>
      </c>
      <c r="D1139" t="s">
        <v>17</v>
      </c>
      <c r="E1139" t="s">
        <v>2</v>
      </c>
      <c r="F1139" t="s">
        <v>50</v>
      </c>
      <c r="G1139" t="s">
        <v>100</v>
      </c>
      <c r="H1139" t="s">
        <v>2973</v>
      </c>
      <c r="I1139" t="s">
        <v>52</v>
      </c>
      <c r="J1139" t="s">
        <v>107</v>
      </c>
      <c r="K1139" t="s">
        <v>54</v>
      </c>
      <c r="L1139" t="s">
        <v>102</v>
      </c>
      <c r="O1139" t="s">
        <v>108</v>
      </c>
      <c r="P1139" t="s">
        <v>109</v>
      </c>
      <c r="Q1139" t="s">
        <v>6708</v>
      </c>
      <c r="R1139" t="s">
        <v>2975</v>
      </c>
      <c r="S1139" t="s">
        <v>2895</v>
      </c>
      <c r="T1139" t="s">
        <v>2896</v>
      </c>
      <c r="U1139" t="s">
        <v>2897</v>
      </c>
    </row>
    <row r="1140" spans="1:21" hidden="1">
      <c r="A1140" t="s">
        <v>2396</v>
      </c>
      <c r="B1140" t="s">
        <v>6694</v>
      </c>
      <c r="C1140" t="s">
        <v>6709</v>
      </c>
      <c r="D1140" t="s">
        <v>17</v>
      </c>
      <c r="E1140" t="s">
        <v>2</v>
      </c>
      <c r="F1140" t="s">
        <v>50</v>
      </c>
      <c r="G1140" t="s">
        <v>51</v>
      </c>
      <c r="H1140" t="s">
        <v>6710</v>
      </c>
      <c r="I1140" t="s">
        <v>52</v>
      </c>
      <c r="J1140" t="s">
        <v>60</v>
      </c>
      <c r="K1140" t="s">
        <v>54</v>
      </c>
      <c r="L1140" t="s">
        <v>55</v>
      </c>
      <c r="O1140" t="s">
        <v>61</v>
      </c>
      <c r="P1140" t="s">
        <v>62</v>
      </c>
      <c r="Q1140" t="s">
        <v>6711</v>
      </c>
      <c r="R1140" t="s">
        <v>6712</v>
      </c>
      <c r="S1140" t="s">
        <v>2895</v>
      </c>
      <c r="T1140" t="s">
        <v>2896</v>
      </c>
      <c r="U1140" t="s">
        <v>2897</v>
      </c>
    </row>
    <row r="1141" spans="1:21" hidden="1">
      <c r="A1141" t="s">
        <v>2398</v>
      </c>
      <c r="B1141" t="s">
        <v>6694</v>
      </c>
      <c r="C1141" t="s">
        <v>3003</v>
      </c>
      <c r="D1141" t="s">
        <v>17</v>
      </c>
      <c r="E1141" t="s">
        <v>2</v>
      </c>
      <c r="F1141" t="s">
        <v>50</v>
      </c>
      <c r="G1141" t="s">
        <v>100</v>
      </c>
      <c r="H1141" t="s">
        <v>6713</v>
      </c>
      <c r="I1141" t="s">
        <v>52</v>
      </c>
      <c r="J1141" t="s">
        <v>114</v>
      </c>
      <c r="K1141" t="s">
        <v>54</v>
      </c>
      <c r="L1141" t="s">
        <v>102</v>
      </c>
      <c r="O1141" t="s">
        <v>103</v>
      </c>
      <c r="P1141" t="s">
        <v>104</v>
      </c>
      <c r="Q1141" t="s">
        <v>6714</v>
      </c>
      <c r="R1141" t="s">
        <v>6715</v>
      </c>
      <c r="S1141" t="s">
        <v>2895</v>
      </c>
      <c r="T1141" t="s">
        <v>2896</v>
      </c>
      <c r="U1141" t="s">
        <v>2897</v>
      </c>
    </row>
    <row r="1142" spans="1:21" hidden="1">
      <c r="A1142" t="s">
        <v>2400</v>
      </c>
      <c r="B1142" t="s">
        <v>6694</v>
      </c>
      <c r="C1142" t="s">
        <v>6294</v>
      </c>
      <c r="D1142" t="s">
        <v>17</v>
      </c>
      <c r="E1142" t="s">
        <v>2</v>
      </c>
      <c r="F1142" t="s">
        <v>50</v>
      </c>
      <c r="G1142" t="s">
        <v>51</v>
      </c>
      <c r="H1142" t="s">
        <v>6716</v>
      </c>
      <c r="I1142" t="s">
        <v>52</v>
      </c>
      <c r="J1142" t="s">
        <v>53</v>
      </c>
      <c r="K1142" t="s">
        <v>54</v>
      </c>
      <c r="L1142" t="s">
        <v>55</v>
      </c>
      <c r="O1142" t="s">
        <v>56</v>
      </c>
      <c r="P1142" t="s">
        <v>57</v>
      </c>
      <c r="Q1142" t="s">
        <v>6717</v>
      </c>
      <c r="R1142" t="s">
        <v>6718</v>
      </c>
      <c r="S1142" t="s">
        <v>2895</v>
      </c>
      <c r="T1142" t="s">
        <v>2896</v>
      </c>
      <c r="U1142" t="s">
        <v>2897</v>
      </c>
    </row>
    <row r="1143" spans="1:21" hidden="1">
      <c r="A1143" t="s">
        <v>2402</v>
      </c>
      <c r="B1143" t="s">
        <v>6719</v>
      </c>
      <c r="C1143" t="s">
        <v>5714</v>
      </c>
      <c r="D1143" t="s">
        <v>17</v>
      </c>
      <c r="E1143" t="s">
        <v>2</v>
      </c>
      <c r="F1143" t="s">
        <v>149</v>
      </c>
      <c r="G1143" t="s">
        <v>72</v>
      </c>
      <c r="H1143" t="s">
        <v>6720</v>
      </c>
      <c r="I1143" t="s">
        <v>52</v>
      </c>
      <c r="J1143" t="s">
        <v>2404</v>
      </c>
      <c r="K1143" t="s">
        <v>54</v>
      </c>
      <c r="L1143" t="s">
        <v>74</v>
      </c>
      <c r="O1143" t="s">
        <v>75</v>
      </c>
      <c r="P1143" t="s">
        <v>2405</v>
      </c>
      <c r="Q1143" t="s">
        <v>6721</v>
      </c>
      <c r="R1143" t="s">
        <v>6720</v>
      </c>
      <c r="S1143" t="s">
        <v>2895</v>
      </c>
      <c r="T1143" t="s">
        <v>2896</v>
      </c>
      <c r="U1143" t="s">
        <v>2897</v>
      </c>
    </row>
    <row r="1144" spans="1:21" hidden="1">
      <c r="A1144" t="s">
        <v>2406</v>
      </c>
      <c r="B1144" t="s">
        <v>6719</v>
      </c>
      <c r="C1144" t="s">
        <v>6722</v>
      </c>
      <c r="D1144" t="s">
        <v>17</v>
      </c>
      <c r="E1144" t="s">
        <v>2</v>
      </c>
      <c r="F1144" t="s">
        <v>149</v>
      </c>
      <c r="G1144" t="s">
        <v>72</v>
      </c>
      <c r="H1144" t="s">
        <v>6723</v>
      </c>
      <c r="I1144" t="s">
        <v>52</v>
      </c>
      <c r="J1144" t="s">
        <v>2408</v>
      </c>
      <c r="K1144" t="s">
        <v>54</v>
      </c>
      <c r="L1144" t="s">
        <v>74</v>
      </c>
      <c r="O1144" t="s">
        <v>75</v>
      </c>
      <c r="P1144" t="s">
        <v>2405</v>
      </c>
      <c r="Q1144" t="s">
        <v>6724</v>
      </c>
      <c r="R1144" t="s">
        <v>6723</v>
      </c>
      <c r="S1144" t="s">
        <v>2895</v>
      </c>
      <c r="T1144" t="s">
        <v>2896</v>
      </c>
      <c r="U1144" t="s">
        <v>2897</v>
      </c>
    </row>
    <row r="1145" spans="1:21" hidden="1">
      <c r="A1145" t="s">
        <v>2409</v>
      </c>
      <c r="B1145" t="s">
        <v>6719</v>
      </c>
      <c r="C1145" t="s">
        <v>6725</v>
      </c>
      <c r="D1145" t="s">
        <v>17</v>
      </c>
      <c r="E1145" t="s">
        <v>2</v>
      </c>
      <c r="F1145" t="s">
        <v>149</v>
      </c>
      <c r="G1145" t="s">
        <v>72</v>
      </c>
      <c r="H1145" t="s">
        <v>6726</v>
      </c>
      <c r="I1145" t="s">
        <v>52</v>
      </c>
      <c r="J1145" t="s">
        <v>2411</v>
      </c>
      <c r="K1145" t="s">
        <v>54</v>
      </c>
      <c r="L1145" t="s">
        <v>74</v>
      </c>
      <c r="O1145" t="s">
        <v>75</v>
      </c>
      <c r="P1145" t="s">
        <v>2405</v>
      </c>
      <c r="Q1145" t="s">
        <v>6727</v>
      </c>
      <c r="R1145" t="s">
        <v>6726</v>
      </c>
      <c r="S1145" t="s">
        <v>2895</v>
      </c>
      <c r="T1145" t="s">
        <v>2896</v>
      </c>
      <c r="U1145" t="s">
        <v>2897</v>
      </c>
    </row>
    <row r="1146" spans="1:21" hidden="1">
      <c r="A1146" t="s">
        <v>2412</v>
      </c>
      <c r="B1146" t="s">
        <v>6719</v>
      </c>
      <c r="C1146" t="s">
        <v>4191</v>
      </c>
      <c r="D1146" t="s">
        <v>17</v>
      </c>
      <c r="E1146" t="s">
        <v>2</v>
      </c>
      <c r="F1146" t="s">
        <v>50</v>
      </c>
      <c r="G1146" t="s">
        <v>51</v>
      </c>
      <c r="H1146" t="s">
        <v>5265</v>
      </c>
      <c r="I1146" t="s">
        <v>52</v>
      </c>
      <c r="J1146" t="s">
        <v>121</v>
      </c>
      <c r="K1146" t="s">
        <v>54</v>
      </c>
      <c r="L1146" t="s">
        <v>55</v>
      </c>
      <c r="O1146" t="s">
        <v>122</v>
      </c>
      <c r="P1146" t="s">
        <v>123</v>
      </c>
      <c r="Q1146" t="s">
        <v>6728</v>
      </c>
      <c r="R1146" t="s">
        <v>5267</v>
      </c>
      <c r="S1146" t="s">
        <v>2895</v>
      </c>
      <c r="T1146" t="s">
        <v>2896</v>
      </c>
      <c r="U1146" t="s">
        <v>2897</v>
      </c>
    </row>
    <row r="1147" spans="1:21" hidden="1">
      <c r="A1147" t="s">
        <v>2414</v>
      </c>
      <c r="B1147" t="s">
        <v>6719</v>
      </c>
      <c r="C1147" t="s">
        <v>6729</v>
      </c>
      <c r="D1147" t="s">
        <v>17</v>
      </c>
      <c r="E1147" t="s">
        <v>2</v>
      </c>
      <c r="F1147" t="s">
        <v>50</v>
      </c>
      <c r="G1147" t="s">
        <v>51</v>
      </c>
      <c r="H1147" t="s">
        <v>6730</v>
      </c>
      <c r="I1147" t="s">
        <v>52</v>
      </c>
      <c r="J1147" t="s">
        <v>81</v>
      </c>
      <c r="K1147" t="s">
        <v>54</v>
      </c>
      <c r="L1147" t="s">
        <v>55</v>
      </c>
      <c r="O1147" t="s">
        <v>82</v>
      </c>
      <c r="P1147" t="s">
        <v>83</v>
      </c>
      <c r="Q1147" t="s">
        <v>6731</v>
      </c>
      <c r="R1147" t="s">
        <v>6732</v>
      </c>
      <c r="S1147" t="s">
        <v>2895</v>
      </c>
      <c r="T1147" t="s">
        <v>2896</v>
      </c>
      <c r="U1147" t="s">
        <v>2897</v>
      </c>
    </row>
    <row r="1148" spans="1:21" hidden="1">
      <c r="A1148" t="s">
        <v>2416</v>
      </c>
      <c r="B1148" t="s">
        <v>6719</v>
      </c>
      <c r="C1148" t="s">
        <v>3329</v>
      </c>
      <c r="D1148" t="s">
        <v>17</v>
      </c>
      <c r="E1148" t="s">
        <v>2</v>
      </c>
      <c r="F1148" t="s">
        <v>50</v>
      </c>
      <c r="G1148" t="s">
        <v>51</v>
      </c>
      <c r="H1148" t="s">
        <v>6733</v>
      </c>
      <c r="I1148" t="s">
        <v>52</v>
      </c>
      <c r="J1148" t="s">
        <v>121</v>
      </c>
      <c r="K1148" t="s">
        <v>54</v>
      </c>
      <c r="L1148" t="s">
        <v>55</v>
      </c>
      <c r="O1148" t="s">
        <v>122</v>
      </c>
      <c r="P1148" t="s">
        <v>123</v>
      </c>
      <c r="Q1148" t="s">
        <v>6734</v>
      </c>
      <c r="R1148" t="s">
        <v>6735</v>
      </c>
      <c r="S1148" t="s">
        <v>2895</v>
      </c>
      <c r="T1148" t="s">
        <v>2896</v>
      </c>
      <c r="U1148" t="s">
        <v>2897</v>
      </c>
    </row>
    <row r="1149" spans="1:21" hidden="1">
      <c r="A1149" t="s">
        <v>2418</v>
      </c>
      <c r="B1149" t="s">
        <v>6719</v>
      </c>
      <c r="C1149" t="s">
        <v>3946</v>
      </c>
      <c r="D1149" t="s">
        <v>17</v>
      </c>
      <c r="E1149" t="s">
        <v>2</v>
      </c>
      <c r="F1149" t="s">
        <v>149</v>
      </c>
      <c r="G1149" t="s">
        <v>72</v>
      </c>
      <c r="H1149" t="s">
        <v>6736</v>
      </c>
      <c r="I1149" t="s">
        <v>52</v>
      </c>
      <c r="J1149" t="s">
        <v>2420</v>
      </c>
      <c r="K1149" t="s">
        <v>54</v>
      </c>
      <c r="L1149" t="s">
        <v>74</v>
      </c>
      <c r="O1149" t="s">
        <v>75</v>
      </c>
      <c r="P1149" t="s">
        <v>2405</v>
      </c>
      <c r="Q1149" t="s">
        <v>6737</v>
      </c>
      <c r="R1149" t="s">
        <v>6736</v>
      </c>
      <c r="S1149" t="s">
        <v>2895</v>
      </c>
      <c r="T1149" t="s">
        <v>2896</v>
      </c>
      <c r="U1149" t="s">
        <v>2897</v>
      </c>
    </row>
    <row r="1150" spans="1:21" hidden="1">
      <c r="A1150" t="s">
        <v>2421</v>
      </c>
      <c r="B1150" t="s">
        <v>6719</v>
      </c>
      <c r="C1150" t="s">
        <v>6738</v>
      </c>
      <c r="D1150" t="s">
        <v>17</v>
      </c>
      <c r="E1150" t="s">
        <v>2</v>
      </c>
      <c r="F1150" t="s">
        <v>50</v>
      </c>
      <c r="G1150" t="s">
        <v>51</v>
      </c>
      <c r="H1150" t="s">
        <v>6739</v>
      </c>
      <c r="I1150" t="s">
        <v>52</v>
      </c>
      <c r="J1150" t="s">
        <v>126</v>
      </c>
      <c r="K1150" t="s">
        <v>54</v>
      </c>
      <c r="L1150" t="s">
        <v>55</v>
      </c>
      <c r="O1150" t="s">
        <v>56</v>
      </c>
      <c r="P1150" t="s">
        <v>57</v>
      </c>
      <c r="Q1150" t="s">
        <v>6740</v>
      </c>
      <c r="R1150" t="s">
        <v>6741</v>
      </c>
      <c r="S1150" t="s">
        <v>2895</v>
      </c>
      <c r="T1150" t="s">
        <v>2896</v>
      </c>
      <c r="U1150" t="s">
        <v>2897</v>
      </c>
    </row>
    <row r="1151" spans="1:21" hidden="1">
      <c r="A1151" t="s">
        <v>2423</v>
      </c>
      <c r="B1151" t="s">
        <v>6719</v>
      </c>
      <c r="C1151" t="s">
        <v>5180</v>
      </c>
      <c r="D1151" t="s">
        <v>17</v>
      </c>
      <c r="E1151" t="s">
        <v>2</v>
      </c>
      <c r="F1151" t="s">
        <v>50</v>
      </c>
      <c r="G1151" t="s">
        <v>100</v>
      </c>
      <c r="H1151" t="s">
        <v>6742</v>
      </c>
      <c r="I1151" t="s">
        <v>52</v>
      </c>
      <c r="J1151" t="s">
        <v>114</v>
      </c>
      <c r="K1151" t="s">
        <v>54</v>
      </c>
      <c r="L1151" t="s">
        <v>102</v>
      </c>
      <c r="O1151" t="s">
        <v>103</v>
      </c>
      <c r="P1151" t="s">
        <v>104</v>
      </c>
      <c r="Q1151" t="s">
        <v>6743</v>
      </c>
      <c r="R1151" t="s">
        <v>6744</v>
      </c>
      <c r="S1151" t="s">
        <v>2895</v>
      </c>
      <c r="T1151" t="s">
        <v>2896</v>
      </c>
      <c r="U1151" t="s">
        <v>2897</v>
      </c>
    </row>
    <row r="1152" spans="1:21" hidden="1">
      <c r="A1152" t="s">
        <v>2425</v>
      </c>
      <c r="B1152" t="s">
        <v>6719</v>
      </c>
      <c r="C1152" t="s">
        <v>3919</v>
      </c>
      <c r="D1152" t="s">
        <v>17</v>
      </c>
      <c r="E1152" t="s">
        <v>2</v>
      </c>
      <c r="F1152" t="s">
        <v>50</v>
      </c>
      <c r="G1152" t="s">
        <v>51</v>
      </c>
      <c r="H1152" t="s">
        <v>6745</v>
      </c>
      <c r="I1152" t="s">
        <v>52</v>
      </c>
      <c r="J1152" t="s">
        <v>126</v>
      </c>
      <c r="K1152" t="s">
        <v>54</v>
      </c>
      <c r="L1152" t="s">
        <v>55</v>
      </c>
      <c r="O1152" t="s">
        <v>56</v>
      </c>
      <c r="P1152" t="s">
        <v>57</v>
      </c>
      <c r="Q1152" t="s">
        <v>6746</v>
      </c>
      <c r="R1152" t="s">
        <v>6747</v>
      </c>
      <c r="S1152" t="s">
        <v>2895</v>
      </c>
      <c r="T1152" t="s">
        <v>2896</v>
      </c>
      <c r="U1152" t="s">
        <v>2897</v>
      </c>
    </row>
    <row r="1153" spans="1:21" hidden="1">
      <c r="A1153" t="s">
        <v>2427</v>
      </c>
      <c r="B1153" t="s">
        <v>6719</v>
      </c>
      <c r="C1153" t="s">
        <v>3064</v>
      </c>
      <c r="D1153" t="s">
        <v>17</v>
      </c>
      <c r="E1153" t="s">
        <v>2</v>
      </c>
      <c r="F1153" t="s">
        <v>50</v>
      </c>
      <c r="G1153" t="s">
        <v>51</v>
      </c>
      <c r="H1153" t="s">
        <v>6748</v>
      </c>
      <c r="I1153" t="s">
        <v>52</v>
      </c>
      <c r="J1153" t="s">
        <v>53</v>
      </c>
      <c r="K1153" t="s">
        <v>54</v>
      </c>
      <c r="L1153" t="s">
        <v>55</v>
      </c>
      <c r="O1153" t="s">
        <v>56</v>
      </c>
      <c r="P1153" t="s">
        <v>57</v>
      </c>
      <c r="Q1153" t="s">
        <v>6749</v>
      </c>
      <c r="R1153" t="s">
        <v>6750</v>
      </c>
      <c r="S1153" t="s">
        <v>2895</v>
      </c>
      <c r="T1153" t="s">
        <v>2896</v>
      </c>
      <c r="U1153" t="s">
        <v>2897</v>
      </c>
    </row>
    <row r="1154" spans="1:21" hidden="1">
      <c r="A1154" t="s">
        <v>2429</v>
      </c>
      <c r="B1154" t="s">
        <v>6751</v>
      </c>
      <c r="C1154" t="s">
        <v>6019</v>
      </c>
      <c r="D1154" t="s">
        <v>17</v>
      </c>
      <c r="E1154" t="s">
        <v>2</v>
      </c>
      <c r="F1154" t="s">
        <v>50</v>
      </c>
      <c r="G1154" t="s">
        <v>100</v>
      </c>
      <c r="H1154" t="s">
        <v>4990</v>
      </c>
      <c r="I1154" t="s">
        <v>52</v>
      </c>
      <c r="J1154" t="s">
        <v>114</v>
      </c>
      <c r="K1154" t="s">
        <v>54</v>
      </c>
      <c r="L1154" t="s">
        <v>102</v>
      </c>
      <c r="O1154" t="s">
        <v>103</v>
      </c>
      <c r="P1154" t="s">
        <v>104</v>
      </c>
      <c r="Q1154" t="s">
        <v>6752</v>
      </c>
      <c r="R1154" t="s">
        <v>4992</v>
      </c>
      <c r="S1154" t="s">
        <v>2895</v>
      </c>
      <c r="T1154" t="s">
        <v>2896</v>
      </c>
      <c r="U1154" t="s">
        <v>2897</v>
      </c>
    </row>
    <row r="1155" spans="1:21" hidden="1">
      <c r="A1155" t="s">
        <v>2431</v>
      </c>
      <c r="B1155" t="s">
        <v>6751</v>
      </c>
      <c r="C1155" t="s">
        <v>4221</v>
      </c>
      <c r="D1155" t="s">
        <v>17</v>
      </c>
      <c r="E1155" t="s">
        <v>2</v>
      </c>
      <c r="F1155" t="s">
        <v>50</v>
      </c>
      <c r="G1155" t="s">
        <v>51</v>
      </c>
      <c r="H1155" t="s">
        <v>6753</v>
      </c>
      <c r="I1155" t="s">
        <v>52</v>
      </c>
      <c r="J1155" t="s">
        <v>196</v>
      </c>
      <c r="K1155" t="s">
        <v>54</v>
      </c>
      <c r="L1155" t="s">
        <v>55</v>
      </c>
      <c r="O1155" t="s">
        <v>197</v>
      </c>
      <c r="P1155" t="s">
        <v>198</v>
      </c>
      <c r="Q1155" t="s">
        <v>6754</v>
      </c>
      <c r="R1155" t="s">
        <v>6755</v>
      </c>
      <c r="S1155" t="s">
        <v>2895</v>
      </c>
      <c r="T1155" t="s">
        <v>2896</v>
      </c>
      <c r="U1155" t="s">
        <v>2897</v>
      </c>
    </row>
    <row r="1156" spans="1:21" hidden="1">
      <c r="A1156" t="s">
        <v>2433</v>
      </c>
      <c r="B1156" t="s">
        <v>6751</v>
      </c>
      <c r="C1156" t="s">
        <v>6496</v>
      </c>
      <c r="D1156" t="s">
        <v>17</v>
      </c>
      <c r="E1156" t="s">
        <v>2</v>
      </c>
      <c r="F1156" t="s">
        <v>149</v>
      </c>
      <c r="G1156" t="s">
        <v>72</v>
      </c>
      <c r="H1156" t="s">
        <v>6756</v>
      </c>
      <c r="I1156" t="s">
        <v>52</v>
      </c>
      <c r="J1156" t="s">
        <v>2435</v>
      </c>
      <c r="K1156" t="s">
        <v>54</v>
      </c>
      <c r="L1156" t="s">
        <v>74</v>
      </c>
      <c r="O1156" t="s">
        <v>75</v>
      </c>
      <c r="P1156" t="s">
        <v>2405</v>
      </c>
      <c r="Q1156" t="s">
        <v>6757</v>
      </c>
      <c r="R1156" t="s">
        <v>6756</v>
      </c>
      <c r="S1156" t="s">
        <v>2895</v>
      </c>
      <c r="T1156" t="s">
        <v>2896</v>
      </c>
      <c r="U1156" t="s">
        <v>2897</v>
      </c>
    </row>
    <row r="1157" spans="1:21" hidden="1">
      <c r="A1157" t="s">
        <v>2436</v>
      </c>
      <c r="B1157" t="s">
        <v>6751</v>
      </c>
      <c r="C1157" t="s">
        <v>6758</v>
      </c>
      <c r="D1157" t="s">
        <v>17</v>
      </c>
      <c r="E1157" t="s">
        <v>2</v>
      </c>
      <c r="F1157" t="s">
        <v>50</v>
      </c>
      <c r="G1157" t="s">
        <v>51</v>
      </c>
      <c r="H1157" t="s">
        <v>3061</v>
      </c>
      <c r="I1157" t="s">
        <v>52</v>
      </c>
      <c r="J1157" t="s">
        <v>53</v>
      </c>
      <c r="K1157" t="s">
        <v>54</v>
      </c>
      <c r="L1157" t="s">
        <v>55</v>
      </c>
      <c r="O1157" t="s">
        <v>56</v>
      </c>
      <c r="P1157" t="s">
        <v>57</v>
      </c>
      <c r="Q1157" t="s">
        <v>6759</v>
      </c>
      <c r="R1157" t="s">
        <v>3063</v>
      </c>
      <c r="S1157" t="s">
        <v>2895</v>
      </c>
      <c r="T1157" t="s">
        <v>2896</v>
      </c>
      <c r="U1157" t="s">
        <v>2897</v>
      </c>
    </row>
    <row r="1158" spans="1:21" hidden="1">
      <c r="A1158" t="s">
        <v>2438</v>
      </c>
      <c r="B1158" t="s">
        <v>6751</v>
      </c>
      <c r="C1158" t="s">
        <v>5856</v>
      </c>
      <c r="D1158" t="s">
        <v>17</v>
      </c>
      <c r="E1158" t="s">
        <v>2</v>
      </c>
      <c r="F1158" t="s">
        <v>50</v>
      </c>
      <c r="G1158" t="s">
        <v>51</v>
      </c>
      <c r="H1158" t="s">
        <v>6760</v>
      </c>
      <c r="I1158" t="s">
        <v>52</v>
      </c>
      <c r="J1158" t="s">
        <v>121</v>
      </c>
      <c r="K1158" t="s">
        <v>54</v>
      </c>
      <c r="L1158" t="s">
        <v>55</v>
      </c>
      <c r="O1158" t="s">
        <v>122</v>
      </c>
      <c r="P1158" t="s">
        <v>123</v>
      </c>
      <c r="Q1158" t="s">
        <v>6761</v>
      </c>
      <c r="R1158" t="s">
        <v>6762</v>
      </c>
      <c r="S1158" t="s">
        <v>2895</v>
      </c>
      <c r="T1158" t="s">
        <v>2896</v>
      </c>
      <c r="U1158" t="s">
        <v>2897</v>
      </c>
    </row>
    <row r="1159" spans="1:21" hidden="1">
      <c r="A1159" t="s">
        <v>2440</v>
      </c>
      <c r="B1159" t="s">
        <v>6751</v>
      </c>
      <c r="C1159" t="s">
        <v>4008</v>
      </c>
      <c r="D1159" t="s">
        <v>17</v>
      </c>
      <c r="E1159" t="s">
        <v>2</v>
      </c>
      <c r="F1159" t="s">
        <v>149</v>
      </c>
      <c r="G1159" t="s">
        <v>72</v>
      </c>
      <c r="H1159" t="s">
        <v>6763</v>
      </c>
      <c r="I1159" t="s">
        <v>52</v>
      </c>
      <c r="J1159" t="s">
        <v>2442</v>
      </c>
      <c r="K1159" t="s">
        <v>54</v>
      </c>
      <c r="L1159" t="s">
        <v>74</v>
      </c>
      <c r="O1159" t="s">
        <v>75</v>
      </c>
      <c r="P1159" t="s">
        <v>2405</v>
      </c>
      <c r="Q1159" t="s">
        <v>6764</v>
      </c>
      <c r="R1159" t="s">
        <v>6763</v>
      </c>
      <c r="S1159" t="s">
        <v>2895</v>
      </c>
      <c r="T1159" t="s">
        <v>2896</v>
      </c>
      <c r="U1159" t="s">
        <v>2897</v>
      </c>
    </row>
    <row r="1160" spans="1:21" hidden="1">
      <c r="A1160" t="s">
        <v>2443</v>
      </c>
      <c r="B1160" t="s">
        <v>6751</v>
      </c>
      <c r="C1160" t="s">
        <v>6765</v>
      </c>
      <c r="D1160" t="s">
        <v>17</v>
      </c>
      <c r="E1160" t="s">
        <v>2</v>
      </c>
      <c r="F1160" t="s">
        <v>50</v>
      </c>
      <c r="G1160" t="s">
        <v>51</v>
      </c>
      <c r="H1160" t="s">
        <v>6766</v>
      </c>
      <c r="I1160" t="s">
        <v>52</v>
      </c>
      <c r="J1160" t="s">
        <v>126</v>
      </c>
      <c r="K1160" t="s">
        <v>54</v>
      </c>
      <c r="L1160" t="s">
        <v>55</v>
      </c>
      <c r="O1160" t="s">
        <v>56</v>
      </c>
      <c r="P1160" t="s">
        <v>57</v>
      </c>
      <c r="Q1160" t="s">
        <v>6767</v>
      </c>
      <c r="R1160" t="s">
        <v>6768</v>
      </c>
      <c r="S1160" t="s">
        <v>2895</v>
      </c>
      <c r="T1160" t="s">
        <v>2896</v>
      </c>
      <c r="U1160" t="s">
        <v>2897</v>
      </c>
    </row>
    <row r="1161" spans="1:21" hidden="1">
      <c r="A1161" t="s">
        <v>2445</v>
      </c>
      <c r="B1161" t="s">
        <v>6751</v>
      </c>
      <c r="C1161" t="s">
        <v>4839</v>
      </c>
      <c r="D1161" t="s">
        <v>17</v>
      </c>
      <c r="E1161" t="s">
        <v>2</v>
      </c>
      <c r="F1161" t="s">
        <v>50</v>
      </c>
      <c r="G1161" t="s">
        <v>72</v>
      </c>
      <c r="H1161" t="s">
        <v>6769</v>
      </c>
      <c r="I1161" t="s">
        <v>52</v>
      </c>
      <c r="J1161" t="s">
        <v>150</v>
      </c>
      <c r="K1161" t="s">
        <v>54</v>
      </c>
      <c r="L1161" t="s">
        <v>74</v>
      </c>
      <c r="O1161" t="s">
        <v>75</v>
      </c>
      <c r="P1161" t="s">
        <v>76</v>
      </c>
      <c r="Q1161" t="s">
        <v>6770</v>
      </c>
      <c r="R1161" t="s">
        <v>6771</v>
      </c>
      <c r="S1161" t="s">
        <v>2895</v>
      </c>
      <c r="T1161" t="s">
        <v>2896</v>
      </c>
      <c r="U1161" t="s">
        <v>2897</v>
      </c>
    </row>
    <row r="1162" spans="1:21" hidden="1">
      <c r="A1162" t="s">
        <v>2447</v>
      </c>
      <c r="B1162" t="s">
        <v>6751</v>
      </c>
      <c r="C1162" t="s">
        <v>6772</v>
      </c>
      <c r="D1162" t="s">
        <v>17</v>
      </c>
      <c r="E1162" t="s">
        <v>2</v>
      </c>
      <c r="F1162" t="s">
        <v>149</v>
      </c>
      <c r="G1162" t="s">
        <v>72</v>
      </c>
      <c r="H1162" t="s">
        <v>6763</v>
      </c>
      <c r="I1162" t="s">
        <v>52</v>
      </c>
      <c r="J1162" t="s">
        <v>2449</v>
      </c>
      <c r="K1162" t="s">
        <v>54</v>
      </c>
      <c r="L1162" t="s">
        <v>74</v>
      </c>
      <c r="O1162" t="s">
        <v>75</v>
      </c>
      <c r="P1162" t="s">
        <v>2405</v>
      </c>
      <c r="Q1162" t="s">
        <v>6773</v>
      </c>
      <c r="R1162" t="s">
        <v>6763</v>
      </c>
      <c r="S1162" t="s">
        <v>2895</v>
      </c>
      <c r="T1162" t="s">
        <v>2896</v>
      </c>
      <c r="U1162" t="s">
        <v>2897</v>
      </c>
    </row>
    <row r="1163" spans="1:21" hidden="1">
      <c r="A1163" t="s">
        <v>2450</v>
      </c>
      <c r="B1163" t="s">
        <v>6774</v>
      </c>
      <c r="C1163" t="s">
        <v>4768</v>
      </c>
      <c r="D1163" t="s">
        <v>17</v>
      </c>
      <c r="E1163" t="s">
        <v>2</v>
      </c>
      <c r="F1163" t="s">
        <v>50</v>
      </c>
      <c r="G1163" t="s">
        <v>51</v>
      </c>
      <c r="H1163" t="s">
        <v>6775</v>
      </c>
      <c r="I1163" t="s">
        <v>52</v>
      </c>
      <c r="J1163" t="s">
        <v>196</v>
      </c>
      <c r="K1163" t="s">
        <v>54</v>
      </c>
      <c r="L1163" t="s">
        <v>55</v>
      </c>
      <c r="O1163" t="s">
        <v>197</v>
      </c>
      <c r="P1163" t="s">
        <v>198</v>
      </c>
      <c r="Q1163" t="s">
        <v>6776</v>
      </c>
      <c r="R1163" t="s">
        <v>6777</v>
      </c>
      <c r="S1163" t="s">
        <v>2895</v>
      </c>
      <c r="T1163" t="s">
        <v>2896</v>
      </c>
      <c r="U1163" t="s">
        <v>2897</v>
      </c>
    </row>
    <row r="1164" spans="1:21" hidden="1">
      <c r="A1164" t="s">
        <v>2452</v>
      </c>
      <c r="B1164" t="s">
        <v>6774</v>
      </c>
      <c r="C1164" t="s">
        <v>6778</v>
      </c>
      <c r="D1164" t="s">
        <v>17</v>
      </c>
      <c r="E1164" t="s">
        <v>2</v>
      </c>
      <c r="F1164" t="s">
        <v>50</v>
      </c>
      <c r="G1164" t="s">
        <v>100</v>
      </c>
      <c r="H1164" t="s">
        <v>6779</v>
      </c>
      <c r="I1164" t="s">
        <v>52</v>
      </c>
      <c r="J1164" t="s">
        <v>177</v>
      </c>
      <c r="K1164" t="s">
        <v>54</v>
      </c>
      <c r="L1164" t="s">
        <v>102</v>
      </c>
      <c r="O1164" t="s">
        <v>178</v>
      </c>
      <c r="P1164" t="s">
        <v>179</v>
      </c>
      <c r="Q1164" t="s">
        <v>6780</v>
      </c>
      <c r="R1164" t="s">
        <v>6781</v>
      </c>
      <c r="S1164" t="s">
        <v>2895</v>
      </c>
      <c r="T1164" t="s">
        <v>2896</v>
      </c>
      <c r="U1164" t="s">
        <v>2897</v>
      </c>
    </row>
    <row r="1165" spans="1:21" hidden="1">
      <c r="A1165" t="s">
        <v>2454</v>
      </c>
      <c r="B1165" t="s">
        <v>6774</v>
      </c>
      <c r="C1165" t="s">
        <v>4413</v>
      </c>
      <c r="D1165" t="s">
        <v>17</v>
      </c>
      <c r="E1165" t="s">
        <v>2</v>
      </c>
      <c r="F1165" t="s">
        <v>50</v>
      </c>
      <c r="G1165" t="s">
        <v>51</v>
      </c>
      <c r="H1165" t="s">
        <v>6782</v>
      </c>
      <c r="I1165" t="s">
        <v>52</v>
      </c>
      <c r="J1165" t="s">
        <v>126</v>
      </c>
      <c r="K1165" t="s">
        <v>54</v>
      </c>
      <c r="L1165" t="s">
        <v>55</v>
      </c>
      <c r="O1165" t="s">
        <v>56</v>
      </c>
      <c r="P1165" t="s">
        <v>57</v>
      </c>
      <c r="Q1165" t="s">
        <v>6783</v>
      </c>
      <c r="R1165" t="s">
        <v>6784</v>
      </c>
      <c r="S1165" t="s">
        <v>2895</v>
      </c>
      <c r="T1165" t="s">
        <v>2896</v>
      </c>
      <c r="U1165" t="s">
        <v>2897</v>
      </c>
    </row>
    <row r="1166" spans="1:21" hidden="1">
      <c r="A1166" t="s">
        <v>2456</v>
      </c>
      <c r="B1166" t="s">
        <v>6774</v>
      </c>
      <c r="C1166" t="s">
        <v>6785</v>
      </c>
      <c r="D1166" t="s">
        <v>17</v>
      </c>
      <c r="E1166" t="s">
        <v>2</v>
      </c>
      <c r="F1166" t="s">
        <v>149</v>
      </c>
      <c r="G1166" t="s">
        <v>72</v>
      </c>
      <c r="H1166" t="s">
        <v>6763</v>
      </c>
      <c r="I1166" t="s">
        <v>52</v>
      </c>
      <c r="J1166" t="s">
        <v>2458</v>
      </c>
      <c r="K1166" t="s">
        <v>54</v>
      </c>
      <c r="L1166" t="s">
        <v>74</v>
      </c>
      <c r="O1166" t="s">
        <v>75</v>
      </c>
      <c r="P1166" t="s">
        <v>2405</v>
      </c>
      <c r="Q1166" t="s">
        <v>6786</v>
      </c>
      <c r="R1166" t="s">
        <v>6763</v>
      </c>
      <c r="S1166" t="s">
        <v>2895</v>
      </c>
      <c r="T1166" t="s">
        <v>2896</v>
      </c>
      <c r="U1166" t="s">
        <v>2897</v>
      </c>
    </row>
    <row r="1167" spans="1:21" hidden="1">
      <c r="A1167" t="s">
        <v>2459</v>
      </c>
      <c r="B1167" t="s">
        <v>6774</v>
      </c>
      <c r="C1167" t="s">
        <v>4291</v>
      </c>
      <c r="D1167" t="s">
        <v>17</v>
      </c>
      <c r="E1167" t="s">
        <v>2</v>
      </c>
      <c r="F1167" t="s">
        <v>149</v>
      </c>
      <c r="G1167" t="s">
        <v>72</v>
      </c>
      <c r="H1167" t="s">
        <v>6726</v>
      </c>
      <c r="I1167" t="s">
        <v>52</v>
      </c>
      <c r="J1167" t="s">
        <v>2461</v>
      </c>
      <c r="K1167" t="s">
        <v>54</v>
      </c>
      <c r="L1167" t="s">
        <v>74</v>
      </c>
      <c r="O1167" t="s">
        <v>75</v>
      </c>
      <c r="P1167" t="s">
        <v>2405</v>
      </c>
      <c r="Q1167" t="s">
        <v>6787</v>
      </c>
      <c r="R1167" t="s">
        <v>6726</v>
      </c>
      <c r="S1167" t="s">
        <v>2895</v>
      </c>
      <c r="T1167" t="s">
        <v>2896</v>
      </c>
      <c r="U1167" t="s">
        <v>2897</v>
      </c>
    </row>
    <row r="1168" spans="1:21" hidden="1">
      <c r="A1168" t="s">
        <v>2462</v>
      </c>
      <c r="B1168" t="s">
        <v>6774</v>
      </c>
      <c r="C1168" t="s">
        <v>6788</v>
      </c>
      <c r="D1168" t="s">
        <v>17</v>
      </c>
      <c r="E1168" t="s">
        <v>2</v>
      </c>
      <c r="F1168" t="s">
        <v>50</v>
      </c>
      <c r="G1168" t="s">
        <v>51</v>
      </c>
      <c r="H1168" t="s">
        <v>6789</v>
      </c>
      <c r="I1168" t="s">
        <v>52</v>
      </c>
      <c r="J1168" t="s">
        <v>81</v>
      </c>
      <c r="K1168" t="s">
        <v>54</v>
      </c>
      <c r="L1168" t="s">
        <v>55</v>
      </c>
      <c r="O1168" t="s">
        <v>82</v>
      </c>
      <c r="P1168" t="s">
        <v>83</v>
      </c>
      <c r="Q1168" t="s">
        <v>6790</v>
      </c>
      <c r="R1168" t="s">
        <v>6791</v>
      </c>
      <c r="S1168" t="s">
        <v>2895</v>
      </c>
      <c r="T1168" t="s">
        <v>2896</v>
      </c>
      <c r="U1168" t="s">
        <v>2897</v>
      </c>
    </row>
    <row r="1169" spans="1:21" hidden="1">
      <c r="A1169" t="s">
        <v>2464</v>
      </c>
      <c r="B1169" t="s">
        <v>6774</v>
      </c>
      <c r="C1169" t="s">
        <v>3388</v>
      </c>
      <c r="D1169" t="s">
        <v>17</v>
      </c>
      <c r="E1169" t="s">
        <v>2</v>
      </c>
      <c r="F1169" t="s">
        <v>50</v>
      </c>
      <c r="G1169" t="s">
        <v>51</v>
      </c>
      <c r="H1169" t="s">
        <v>6792</v>
      </c>
      <c r="I1169" t="s">
        <v>52</v>
      </c>
      <c r="J1169" t="s">
        <v>65</v>
      </c>
      <c r="K1169" t="s">
        <v>54</v>
      </c>
      <c r="L1169" t="s">
        <v>55</v>
      </c>
      <c r="O1169" t="s">
        <v>66</v>
      </c>
      <c r="P1169" t="s">
        <v>67</v>
      </c>
      <c r="Q1169" t="s">
        <v>6793</v>
      </c>
      <c r="R1169" t="s">
        <v>6794</v>
      </c>
      <c r="S1169" t="s">
        <v>2895</v>
      </c>
      <c r="T1169" t="s">
        <v>2896</v>
      </c>
      <c r="U1169" t="s">
        <v>2897</v>
      </c>
    </row>
    <row r="1170" spans="1:21" hidden="1">
      <c r="A1170" t="s">
        <v>2466</v>
      </c>
      <c r="B1170" t="s">
        <v>6774</v>
      </c>
      <c r="C1170" t="s">
        <v>2943</v>
      </c>
      <c r="D1170" t="s">
        <v>17</v>
      </c>
      <c r="E1170" t="s">
        <v>2</v>
      </c>
      <c r="F1170" t="s">
        <v>50</v>
      </c>
      <c r="G1170" t="s">
        <v>51</v>
      </c>
      <c r="H1170" t="s">
        <v>6795</v>
      </c>
      <c r="I1170" t="s">
        <v>52</v>
      </c>
      <c r="J1170" t="s">
        <v>65</v>
      </c>
      <c r="K1170" t="s">
        <v>54</v>
      </c>
      <c r="L1170" t="s">
        <v>55</v>
      </c>
      <c r="O1170" t="s">
        <v>66</v>
      </c>
      <c r="P1170" t="s">
        <v>67</v>
      </c>
      <c r="Q1170" t="s">
        <v>6796</v>
      </c>
      <c r="R1170" t="s">
        <v>6797</v>
      </c>
      <c r="S1170" t="s">
        <v>2895</v>
      </c>
      <c r="T1170" t="s">
        <v>2896</v>
      </c>
      <c r="U1170" t="s">
        <v>2897</v>
      </c>
    </row>
    <row r="1171" spans="1:21" hidden="1">
      <c r="A1171" t="s">
        <v>2468</v>
      </c>
      <c r="B1171" t="s">
        <v>6774</v>
      </c>
      <c r="C1171" t="s">
        <v>4909</v>
      </c>
      <c r="D1171" t="s">
        <v>17</v>
      </c>
      <c r="E1171" t="s">
        <v>2</v>
      </c>
      <c r="F1171" t="s">
        <v>50</v>
      </c>
      <c r="G1171" t="s">
        <v>100</v>
      </c>
      <c r="H1171" t="s">
        <v>2969</v>
      </c>
      <c r="I1171" t="s">
        <v>52</v>
      </c>
      <c r="J1171" t="s">
        <v>101</v>
      </c>
      <c r="K1171" t="s">
        <v>54</v>
      </c>
      <c r="L1171" t="s">
        <v>102</v>
      </c>
      <c r="O1171" t="s">
        <v>103</v>
      </c>
      <c r="P1171" t="s">
        <v>104</v>
      </c>
      <c r="Q1171" t="s">
        <v>6798</v>
      </c>
      <c r="R1171" t="s">
        <v>2971</v>
      </c>
      <c r="S1171" t="s">
        <v>2895</v>
      </c>
      <c r="T1171" t="s">
        <v>2896</v>
      </c>
      <c r="U1171" t="s">
        <v>2897</v>
      </c>
    </row>
    <row r="1172" spans="1:21" hidden="1">
      <c r="A1172" t="s">
        <v>2470</v>
      </c>
      <c r="B1172" t="s">
        <v>6774</v>
      </c>
      <c r="C1172" t="s">
        <v>5811</v>
      </c>
      <c r="D1172" t="s">
        <v>17</v>
      </c>
      <c r="E1172" t="s">
        <v>2</v>
      </c>
      <c r="F1172" t="s">
        <v>50</v>
      </c>
      <c r="G1172" t="s">
        <v>88</v>
      </c>
      <c r="H1172" t="s">
        <v>5223</v>
      </c>
      <c r="I1172" t="s">
        <v>52</v>
      </c>
      <c r="J1172" t="s">
        <v>89</v>
      </c>
      <c r="K1172" t="s">
        <v>54</v>
      </c>
      <c r="L1172" t="s">
        <v>90</v>
      </c>
      <c r="M1172" t="s">
        <v>91</v>
      </c>
      <c r="N1172" t="s">
        <v>12</v>
      </c>
      <c r="O1172" t="s">
        <v>92</v>
      </c>
      <c r="P1172" t="s">
        <v>93</v>
      </c>
      <c r="Q1172" t="s">
        <v>6799</v>
      </c>
      <c r="R1172" t="s">
        <v>5225</v>
      </c>
      <c r="S1172" t="s">
        <v>2895</v>
      </c>
      <c r="T1172" t="s">
        <v>2896</v>
      </c>
      <c r="U1172" t="s">
        <v>2897</v>
      </c>
    </row>
    <row r="1173" spans="1:21" hidden="1">
      <c r="A1173" t="s">
        <v>2472</v>
      </c>
      <c r="B1173" t="s">
        <v>6774</v>
      </c>
      <c r="C1173" t="s">
        <v>6504</v>
      </c>
      <c r="D1173" t="s">
        <v>17</v>
      </c>
      <c r="E1173" t="s">
        <v>2</v>
      </c>
      <c r="F1173" t="s">
        <v>50</v>
      </c>
      <c r="G1173" t="s">
        <v>100</v>
      </c>
      <c r="H1173" t="s">
        <v>2969</v>
      </c>
      <c r="I1173" t="s">
        <v>52</v>
      </c>
      <c r="J1173" t="s">
        <v>101</v>
      </c>
      <c r="K1173" t="s">
        <v>54</v>
      </c>
      <c r="L1173" t="s">
        <v>102</v>
      </c>
      <c r="O1173" t="s">
        <v>103</v>
      </c>
      <c r="P1173" t="s">
        <v>104</v>
      </c>
      <c r="Q1173" t="s">
        <v>6800</v>
      </c>
      <c r="R1173" t="s">
        <v>2971</v>
      </c>
      <c r="S1173" t="s">
        <v>2895</v>
      </c>
      <c r="T1173" t="s">
        <v>2896</v>
      </c>
      <c r="U1173" t="s">
        <v>2897</v>
      </c>
    </row>
    <row r="1174" spans="1:21" hidden="1">
      <c r="A1174" t="s">
        <v>2474</v>
      </c>
      <c r="B1174" t="s">
        <v>6774</v>
      </c>
      <c r="C1174" t="s">
        <v>6772</v>
      </c>
      <c r="D1174" t="s">
        <v>17</v>
      </c>
      <c r="E1174" t="s">
        <v>2</v>
      </c>
      <c r="F1174" t="s">
        <v>50</v>
      </c>
      <c r="G1174" t="s">
        <v>51</v>
      </c>
      <c r="H1174" t="s">
        <v>6801</v>
      </c>
      <c r="I1174" t="s">
        <v>52</v>
      </c>
      <c r="J1174" t="s">
        <v>121</v>
      </c>
      <c r="K1174" t="s">
        <v>54</v>
      </c>
      <c r="L1174" t="s">
        <v>55</v>
      </c>
      <c r="O1174" t="s">
        <v>122</v>
      </c>
      <c r="P1174" t="s">
        <v>123</v>
      </c>
      <c r="Q1174" t="s">
        <v>6802</v>
      </c>
      <c r="R1174" t="s">
        <v>6803</v>
      </c>
      <c r="S1174" t="s">
        <v>2895</v>
      </c>
      <c r="T1174" t="s">
        <v>2896</v>
      </c>
      <c r="U1174" t="s">
        <v>2897</v>
      </c>
    </row>
    <row r="1175" spans="1:21" hidden="1">
      <c r="A1175" t="s">
        <v>2476</v>
      </c>
      <c r="B1175" t="s">
        <v>6774</v>
      </c>
      <c r="C1175" t="s">
        <v>6804</v>
      </c>
      <c r="D1175" t="s">
        <v>17</v>
      </c>
      <c r="E1175" t="s">
        <v>2</v>
      </c>
      <c r="F1175" t="s">
        <v>149</v>
      </c>
      <c r="G1175" t="s">
        <v>72</v>
      </c>
      <c r="H1175" t="s">
        <v>6723</v>
      </c>
      <c r="I1175" t="s">
        <v>52</v>
      </c>
      <c r="J1175" t="s">
        <v>2478</v>
      </c>
      <c r="K1175" t="s">
        <v>54</v>
      </c>
      <c r="L1175" t="s">
        <v>74</v>
      </c>
      <c r="O1175" t="s">
        <v>75</v>
      </c>
      <c r="P1175" t="s">
        <v>2405</v>
      </c>
      <c r="Q1175" t="s">
        <v>6805</v>
      </c>
      <c r="R1175" t="s">
        <v>6723</v>
      </c>
      <c r="S1175" t="s">
        <v>2895</v>
      </c>
      <c r="T1175" t="s">
        <v>2896</v>
      </c>
      <c r="U1175" t="s">
        <v>2897</v>
      </c>
    </row>
    <row r="1176" spans="1:21" hidden="1">
      <c r="A1176" t="s">
        <v>2479</v>
      </c>
      <c r="B1176" t="s">
        <v>6806</v>
      </c>
      <c r="C1176" t="s">
        <v>4211</v>
      </c>
      <c r="D1176" t="s">
        <v>17</v>
      </c>
      <c r="E1176" t="s">
        <v>2</v>
      </c>
      <c r="F1176" t="s">
        <v>149</v>
      </c>
      <c r="G1176" t="s">
        <v>72</v>
      </c>
      <c r="H1176" t="s">
        <v>6723</v>
      </c>
      <c r="I1176" t="s">
        <v>52</v>
      </c>
      <c r="J1176" t="s">
        <v>2481</v>
      </c>
      <c r="K1176" t="s">
        <v>54</v>
      </c>
      <c r="L1176" t="s">
        <v>74</v>
      </c>
      <c r="O1176" t="s">
        <v>75</v>
      </c>
      <c r="P1176" t="s">
        <v>2405</v>
      </c>
      <c r="Q1176" t="s">
        <v>6807</v>
      </c>
      <c r="R1176" t="s">
        <v>6723</v>
      </c>
      <c r="S1176" t="s">
        <v>2895</v>
      </c>
      <c r="T1176" t="s">
        <v>2896</v>
      </c>
      <c r="U1176" t="s">
        <v>2897</v>
      </c>
    </row>
    <row r="1177" spans="1:21" hidden="1">
      <c r="A1177" t="s">
        <v>2482</v>
      </c>
      <c r="B1177" t="s">
        <v>6806</v>
      </c>
      <c r="C1177" t="s">
        <v>3595</v>
      </c>
      <c r="D1177" t="s">
        <v>17</v>
      </c>
      <c r="E1177" t="s">
        <v>2</v>
      </c>
      <c r="F1177" t="s">
        <v>50</v>
      </c>
      <c r="G1177" t="s">
        <v>100</v>
      </c>
      <c r="H1177" t="s">
        <v>6808</v>
      </c>
      <c r="I1177" t="s">
        <v>52</v>
      </c>
      <c r="J1177" t="s">
        <v>114</v>
      </c>
      <c r="K1177" t="s">
        <v>54</v>
      </c>
      <c r="L1177" t="s">
        <v>102</v>
      </c>
      <c r="O1177" t="s">
        <v>103</v>
      </c>
      <c r="P1177" t="s">
        <v>104</v>
      </c>
      <c r="Q1177" t="s">
        <v>6809</v>
      </c>
      <c r="R1177" t="s">
        <v>6810</v>
      </c>
      <c r="S1177" t="s">
        <v>2895</v>
      </c>
      <c r="T1177" t="s">
        <v>2896</v>
      </c>
      <c r="U1177" t="s">
        <v>2897</v>
      </c>
    </row>
    <row r="1178" spans="1:21" hidden="1">
      <c r="A1178" t="s">
        <v>2484</v>
      </c>
      <c r="B1178" t="s">
        <v>6806</v>
      </c>
      <c r="C1178" t="s">
        <v>6019</v>
      </c>
      <c r="D1178" t="s">
        <v>17</v>
      </c>
      <c r="E1178" t="s">
        <v>2</v>
      </c>
      <c r="F1178" t="s">
        <v>50</v>
      </c>
      <c r="G1178" t="s">
        <v>88</v>
      </c>
      <c r="H1178" t="s">
        <v>6200</v>
      </c>
      <c r="I1178" t="s">
        <v>52</v>
      </c>
      <c r="J1178" t="s">
        <v>89</v>
      </c>
      <c r="K1178" t="s">
        <v>54</v>
      </c>
      <c r="L1178" t="s">
        <v>90</v>
      </c>
      <c r="M1178" t="s">
        <v>91</v>
      </c>
      <c r="N1178" t="s">
        <v>12</v>
      </c>
      <c r="O1178" t="s">
        <v>92</v>
      </c>
      <c r="P1178" t="s">
        <v>93</v>
      </c>
      <c r="Q1178" t="s">
        <v>6811</v>
      </c>
      <c r="R1178" t="s">
        <v>6202</v>
      </c>
      <c r="S1178" t="s">
        <v>2895</v>
      </c>
      <c r="T1178" t="s">
        <v>2896</v>
      </c>
      <c r="U1178" t="s">
        <v>2897</v>
      </c>
    </row>
    <row r="1179" spans="1:21" hidden="1">
      <c r="A1179" t="s">
        <v>2486</v>
      </c>
      <c r="B1179" t="s">
        <v>6806</v>
      </c>
      <c r="C1179" t="s">
        <v>6812</v>
      </c>
      <c r="D1179" t="s">
        <v>17</v>
      </c>
      <c r="E1179" t="s">
        <v>2</v>
      </c>
      <c r="F1179" t="s">
        <v>50</v>
      </c>
      <c r="G1179" t="s">
        <v>51</v>
      </c>
      <c r="H1179" t="s">
        <v>6813</v>
      </c>
      <c r="I1179" t="s">
        <v>52</v>
      </c>
      <c r="J1179" t="s">
        <v>65</v>
      </c>
      <c r="K1179" t="s">
        <v>54</v>
      </c>
      <c r="L1179" t="s">
        <v>55</v>
      </c>
      <c r="O1179" t="s">
        <v>66</v>
      </c>
      <c r="P1179" t="s">
        <v>67</v>
      </c>
      <c r="Q1179" t="s">
        <v>6814</v>
      </c>
      <c r="R1179" t="s">
        <v>6815</v>
      </c>
      <c r="S1179" t="s">
        <v>2895</v>
      </c>
      <c r="T1179" t="s">
        <v>2896</v>
      </c>
      <c r="U1179" t="s">
        <v>2897</v>
      </c>
    </row>
    <row r="1180" spans="1:21" hidden="1">
      <c r="A1180" t="s">
        <v>2488</v>
      </c>
      <c r="B1180" t="s">
        <v>6806</v>
      </c>
      <c r="C1180" t="s">
        <v>3162</v>
      </c>
      <c r="D1180" t="s">
        <v>17</v>
      </c>
      <c r="E1180" t="s">
        <v>2</v>
      </c>
      <c r="F1180" t="s">
        <v>50</v>
      </c>
      <c r="G1180" t="s">
        <v>2490</v>
      </c>
      <c r="H1180" t="s">
        <v>6816</v>
      </c>
      <c r="I1180" t="s">
        <v>52</v>
      </c>
      <c r="J1180" t="s">
        <v>2491</v>
      </c>
      <c r="K1180" t="s">
        <v>54</v>
      </c>
      <c r="L1180" t="s">
        <v>1970</v>
      </c>
      <c r="M1180" t="s">
        <v>91</v>
      </c>
      <c r="N1180" t="s">
        <v>12</v>
      </c>
      <c r="O1180" t="s">
        <v>2492</v>
      </c>
      <c r="P1180" t="s">
        <v>2493</v>
      </c>
      <c r="Q1180" t="s">
        <v>6817</v>
      </c>
      <c r="R1180" t="s">
        <v>6818</v>
      </c>
      <c r="S1180" t="s">
        <v>2895</v>
      </c>
      <c r="T1180" t="s">
        <v>2896</v>
      </c>
      <c r="U1180" t="s">
        <v>2897</v>
      </c>
    </row>
    <row r="1181" spans="1:21" hidden="1">
      <c r="A1181" t="s">
        <v>2494</v>
      </c>
      <c r="B1181" t="s">
        <v>6806</v>
      </c>
      <c r="C1181" t="s">
        <v>3744</v>
      </c>
      <c r="D1181" t="s">
        <v>17</v>
      </c>
      <c r="E1181" t="s">
        <v>2</v>
      </c>
      <c r="F1181" t="s">
        <v>50</v>
      </c>
      <c r="G1181" t="s">
        <v>100</v>
      </c>
      <c r="H1181" t="s">
        <v>2969</v>
      </c>
      <c r="I1181" t="s">
        <v>52</v>
      </c>
      <c r="J1181" t="s">
        <v>101</v>
      </c>
      <c r="K1181" t="s">
        <v>54</v>
      </c>
      <c r="L1181" t="s">
        <v>102</v>
      </c>
      <c r="O1181" t="s">
        <v>103</v>
      </c>
      <c r="P1181" t="s">
        <v>104</v>
      </c>
      <c r="Q1181" t="s">
        <v>6819</v>
      </c>
      <c r="R1181" t="s">
        <v>2971</v>
      </c>
      <c r="S1181" t="s">
        <v>2895</v>
      </c>
      <c r="T1181" t="s">
        <v>2896</v>
      </c>
      <c r="U1181" t="s">
        <v>2897</v>
      </c>
    </row>
    <row r="1182" spans="1:21" hidden="1">
      <c r="A1182" t="s">
        <v>2496</v>
      </c>
      <c r="B1182" t="s">
        <v>6806</v>
      </c>
      <c r="C1182" t="s">
        <v>6288</v>
      </c>
      <c r="D1182" t="s">
        <v>17</v>
      </c>
      <c r="E1182" t="s">
        <v>2</v>
      </c>
      <c r="F1182" t="s">
        <v>149</v>
      </c>
      <c r="G1182" t="s">
        <v>72</v>
      </c>
      <c r="H1182" t="s">
        <v>6756</v>
      </c>
      <c r="I1182" t="s">
        <v>52</v>
      </c>
      <c r="J1182" t="s">
        <v>2498</v>
      </c>
      <c r="K1182" t="s">
        <v>54</v>
      </c>
      <c r="L1182" t="s">
        <v>74</v>
      </c>
      <c r="O1182" t="s">
        <v>75</v>
      </c>
      <c r="P1182" t="s">
        <v>2405</v>
      </c>
      <c r="Q1182" t="s">
        <v>6820</v>
      </c>
      <c r="R1182" t="s">
        <v>6756</v>
      </c>
      <c r="S1182" t="s">
        <v>2895</v>
      </c>
      <c r="T1182" t="s">
        <v>2896</v>
      </c>
      <c r="U1182" t="s">
        <v>2897</v>
      </c>
    </row>
    <row r="1183" spans="1:21" hidden="1">
      <c r="A1183" t="s">
        <v>2499</v>
      </c>
      <c r="B1183" t="s">
        <v>6806</v>
      </c>
      <c r="C1183" t="s">
        <v>6821</v>
      </c>
      <c r="D1183" t="s">
        <v>17</v>
      </c>
      <c r="E1183" t="s">
        <v>2</v>
      </c>
      <c r="F1183" t="s">
        <v>50</v>
      </c>
      <c r="G1183" t="s">
        <v>51</v>
      </c>
      <c r="H1183" t="s">
        <v>6822</v>
      </c>
      <c r="I1183" t="s">
        <v>52</v>
      </c>
      <c r="J1183" t="s">
        <v>196</v>
      </c>
      <c r="K1183" t="s">
        <v>54</v>
      </c>
      <c r="L1183" t="s">
        <v>55</v>
      </c>
      <c r="O1183" t="s">
        <v>197</v>
      </c>
      <c r="P1183" t="s">
        <v>198</v>
      </c>
      <c r="Q1183" t="s">
        <v>6823</v>
      </c>
      <c r="R1183" t="s">
        <v>6824</v>
      </c>
      <c r="S1183" t="s">
        <v>2895</v>
      </c>
      <c r="T1183" t="s">
        <v>2896</v>
      </c>
      <c r="U1183" t="s">
        <v>2897</v>
      </c>
    </row>
    <row r="1184" spans="1:21" hidden="1">
      <c r="A1184" t="s">
        <v>2501</v>
      </c>
      <c r="B1184" t="s">
        <v>6806</v>
      </c>
      <c r="C1184" t="s">
        <v>3987</v>
      </c>
      <c r="D1184" t="s">
        <v>17</v>
      </c>
      <c r="E1184" t="s">
        <v>2</v>
      </c>
      <c r="F1184" t="s">
        <v>50</v>
      </c>
      <c r="G1184" t="s">
        <v>51</v>
      </c>
      <c r="H1184" t="s">
        <v>6825</v>
      </c>
      <c r="I1184" t="s">
        <v>52</v>
      </c>
      <c r="J1184" t="s">
        <v>53</v>
      </c>
      <c r="K1184" t="s">
        <v>54</v>
      </c>
      <c r="L1184" t="s">
        <v>55</v>
      </c>
      <c r="O1184" t="s">
        <v>56</v>
      </c>
      <c r="P1184" t="s">
        <v>57</v>
      </c>
      <c r="Q1184" t="s">
        <v>6826</v>
      </c>
      <c r="R1184" t="s">
        <v>6827</v>
      </c>
      <c r="S1184" t="s">
        <v>2895</v>
      </c>
      <c r="T1184" t="s">
        <v>2896</v>
      </c>
      <c r="U1184" t="s">
        <v>2897</v>
      </c>
    </row>
    <row r="1185" spans="1:21" hidden="1">
      <c r="A1185" t="s">
        <v>2503</v>
      </c>
      <c r="B1185" t="s">
        <v>6806</v>
      </c>
      <c r="C1185" t="s">
        <v>3149</v>
      </c>
      <c r="D1185" t="s">
        <v>17</v>
      </c>
      <c r="E1185" t="s">
        <v>2</v>
      </c>
      <c r="F1185" t="s">
        <v>149</v>
      </c>
      <c r="G1185" t="s">
        <v>72</v>
      </c>
      <c r="H1185" t="s">
        <v>6763</v>
      </c>
      <c r="I1185" t="s">
        <v>52</v>
      </c>
      <c r="J1185" t="s">
        <v>2505</v>
      </c>
      <c r="K1185" t="s">
        <v>54</v>
      </c>
      <c r="L1185" t="s">
        <v>74</v>
      </c>
      <c r="O1185" t="s">
        <v>75</v>
      </c>
      <c r="P1185" t="s">
        <v>2405</v>
      </c>
      <c r="Q1185" t="s">
        <v>6828</v>
      </c>
      <c r="R1185" t="s">
        <v>6763</v>
      </c>
      <c r="S1185" t="s">
        <v>2895</v>
      </c>
      <c r="T1185" t="s">
        <v>2896</v>
      </c>
      <c r="U1185" t="s">
        <v>2897</v>
      </c>
    </row>
    <row r="1186" spans="1:21" hidden="1">
      <c r="A1186" t="s">
        <v>2506</v>
      </c>
      <c r="B1186" t="s">
        <v>6829</v>
      </c>
      <c r="C1186" t="s">
        <v>4276</v>
      </c>
      <c r="D1186" t="s">
        <v>17</v>
      </c>
      <c r="E1186" t="s">
        <v>2</v>
      </c>
      <c r="F1186" t="s">
        <v>50</v>
      </c>
      <c r="G1186" t="s">
        <v>72</v>
      </c>
      <c r="H1186" t="s">
        <v>6830</v>
      </c>
      <c r="I1186" t="s">
        <v>52</v>
      </c>
      <c r="J1186" t="s">
        <v>316</v>
      </c>
      <c r="K1186" t="s">
        <v>54</v>
      </c>
      <c r="L1186" t="s">
        <v>74</v>
      </c>
      <c r="O1186" t="s">
        <v>75</v>
      </c>
      <c r="P1186" t="s">
        <v>76</v>
      </c>
      <c r="Q1186" t="s">
        <v>6831</v>
      </c>
      <c r="R1186" t="s">
        <v>6832</v>
      </c>
      <c r="S1186" t="s">
        <v>2895</v>
      </c>
      <c r="T1186" t="s">
        <v>2896</v>
      </c>
      <c r="U1186" t="s">
        <v>2897</v>
      </c>
    </row>
    <row r="1187" spans="1:21" hidden="1">
      <c r="A1187" t="s">
        <v>2508</v>
      </c>
      <c r="B1187" t="s">
        <v>6829</v>
      </c>
      <c r="C1187" t="s">
        <v>5350</v>
      </c>
      <c r="D1187" t="s">
        <v>17</v>
      </c>
      <c r="E1187" t="s">
        <v>2</v>
      </c>
      <c r="F1187" t="s">
        <v>50</v>
      </c>
      <c r="G1187" t="s">
        <v>100</v>
      </c>
      <c r="H1187" t="s">
        <v>4486</v>
      </c>
      <c r="I1187" t="s">
        <v>52</v>
      </c>
      <c r="J1187" t="s">
        <v>114</v>
      </c>
      <c r="K1187" t="s">
        <v>54</v>
      </c>
      <c r="L1187" t="s">
        <v>102</v>
      </c>
      <c r="O1187" t="s">
        <v>103</v>
      </c>
      <c r="P1187" t="s">
        <v>104</v>
      </c>
      <c r="Q1187" t="s">
        <v>6833</v>
      </c>
      <c r="R1187" t="s">
        <v>4488</v>
      </c>
      <c r="S1187" t="s">
        <v>2895</v>
      </c>
      <c r="T1187" t="s">
        <v>2896</v>
      </c>
      <c r="U1187" t="s">
        <v>2897</v>
      </c>
    </row>
    <row r="1188" spans="1:21" hidden="1">
      <c r="A1188" t="s">
        <v>2510</v>
      </c>
      <c r="B1188" t="s">
        <v>6829</v>
      </c>
      <c r="C1188" t="s">
        <v>4248</v>
      </c>
      <c r="D1188" t="s">
        <v>17</v>
      </c>
      <c r="E1188" t="s">
        <v>2</v>
      </c>
      <c r="F1188" t="s">
        <v>50</v>
      </c>
      <c r="G1188" t="s">
        <v>51</v>
      </c>
      <c r="H1188" t="s">
        <v>6834</v>
      </c>
      <c r="I1188" t="s">
        <v>52</v>
      </c>
      <c r="J1188" t="s">
        <v>60</v>
      </c>
      <c r="K1188" t="s">
        <v>54</v>
      </c>
      <c r="L1188" t="s">
        <v>55</v>
      </c>
      <c r="O1188" t="s">
        <v>61</v>
      </c>
      <c r="P1188" t="s">
        <v>62</v>
      </c>
      <c r="Q1188" t="s">
        <v>6835</v>
      </c>
      <c r="R1188" t="s">
        <v>6836</v>
      </c>
      <c r="S1188" t="s">
        <v>2895</v>
      </c>
      <c r="T1188" t="s">
        <v>2896</v>
      </c>
      <c r="U1188" t="s">
        <v>2897</v>
      </c>
    </row>
    <row r="1189" spans="1:21" hidden="1">
      <c r="A1189" t="s">
        <v>2512</v>
      </c>
      <c r="B1189" t="s">
        <v>6829</v>
      </c>
      <c r="C1189" t="s">
        <v>4175</v>
      </c>
      <c r="D1189" t="s">
        <v>17</v>
      </c>
      <c r="E1189" t="s">
        <v>2</v>
      </c>
      <c r="F1189" t="s">
        <v>50</v>
      </c>
      <c r="G1189" t="s">
        <v>100</v>
      </c>
      <c r="H1189" t="s">
        <v>2969</v>
      </c>
      <c r="I1189" t="s">
        <v>52</v>
      </c>
      <c r="J1189" t="s">
        <v>101</v>
      </c>
      <c r="K1189" t="s">
        <v>54</v>
      </c>
      <c r="L1189" t="s">
        <v>102</v>
      </c>
      <c r="O1189" t="s">
        <v>103</v>
      </c>
      <c r="P1189" t="s">
        <v>104</v>
      </c>
      <c r="Q1189" t="s">
        <v>6837</v>
      </c>
      <c r="R1189" t="s">
        <v>2971</v>
      </c>
      <c r="S1189" t="s">
        <v>2895</v>
      </c>
      <c r="T1189" t="s">
        <v>2896</v>
      </c>
      <c r="U1189" t="s">
        <v>2897</v>
      </c>
    </row>
    <row r="1190" spans="1:21" hidden="1">
      <c r="A1190" t="s">
        <v>2514</v>
      </c>
      <c r="B1190" t="s">
        <v>6829</v>
      </c>
      <c r="C1190" t="s">
        <v>3388</v>
      </c>
      <c r="D1190" t="s">
        <v>17</v>
      </c>
      <c r="E1190" t="s">
        <v>2</v>
      </c>
      <c r="F1190" t="s">
        <v>50</v>
      </c>
      <c r="G1190" t="s">
        <v>51</v>
      </c>
      <c r="H1190" t="s">
        <v>6838</v>
      </c>
      <c r="I1190" t="s">
        <v>52</v>
      </c>
      <c r="J1190" t="s">
        <v>60</v>
      </c>
      <c r="K1190" t="s">
        <v>54</v>
      </c>
      <c r="L1190" t="s">
        <v>55</v>
      </c>
      <c r="O1190" t="s">
        <v>61</v>
      </c>
      <c r="P1190" t="s">
        <v>62</v>
      </c>
      <c r="Q1190" t="s">
        <v>6839</v>
      </c>
      <c r="R1190" t="s">
        <v>6840</v>
      </c>
      <c r="S1190" t="s">
        <v>2895</v>
      </c>
      <c r="T1190" t="s">
        <v>2896</v>
      </c>
      <c r="U1190" t="s">
        <v>2897</v>
      </c>
    </row>
    <row r="1191" spans="1:21" hidden="1">
      <c r="A1191" t="s">
        <v>2516</v>
      </c>
      <c r="B1191" t="s">
        <v>6829</v>
      </c>
      <c r="C1191" t="s">
        <v>6841</v>
      </c>
      <c r="D1191" t="s">
        <v>17</v>
      </c>
      <c r="E1191" t="s">
        <v>2</v>
      </c>
      <c r="F1191" t="s">
        <v>50</v>
      </c>
      <c r="G1191" t="s">
        <v>51</v>
      </c>
      <c r="H1191" t="s">
        <v>6842</v>
      </c>
      <c r="I1191" t="s">
        <v>52</v>
      </c>
      <c r="J1191" t="s">
        <v>121</v>
      </c>
      <c r="K1191" t="s">
        <v>54</v>
      </c>
      <c r="L1191" t="s">
        <v>55</v>
      </c>
      <c r="O1191" t="s">
        <v>122</v>
      </c>
      <c r="P1191" t="s">
        <v>123</v>
      </c>
      <c r="Q1191" t="s">
        <v>6843</v>
      </c>
      <c r="R1191" t="s">
        <v>6844</v>
      </c>
      <c r="S1191" t="s">
        <v>2895</v>
      </c>
      <c r="T1191" t="s">
        <v>2896</v>
      </c>
      <c r="U1191" t="s">
        <v>2897</v>
      </c>
    </row>
    <row r="1192" spans="1:21" hidden="1">
      <c r="A1192" t="s">
        <v>2518</v>
      </c>
      <c r="B1192" t="s">
        <v>6829</v>
      </c>
      <c r="C1192" t="s">
        <v>4950</v>
      </c>
      <c r="D1192" t="s">
        <v>17</v>
      </c>
      <c r="E1192" t="s">
        <v>2</v>
      </c>
      <c r="F1192" t="s">
        <v>149</v>
      </c>
      <c r="G1192" t="s">
        <v>72</v>
      </c>
      <c r="H1192" t="s">
        <v>6723</v>
      </c>
      <c r="I1192" t="s">
        <v>52</v>
      </c>
      <c r="J1192" t="s">
        <v>2520</v>
      </c>
      <c r="K1192" t="s">
        <v>54</v>
      </c>
      <c r="L1192" t="s">
        <v>74</v>
      </c>
      <c r="O1192" t="s">
        <v>75</v>
      </c>
      <c r="P1192" t="s">
        <v>2405</v>
      </c>
      <c r="Q1192" t="s">
        <v>6845</v>
      </c>
      <c r="R1192" t="s">
        <v>6723</v>
      </c>
      <c r="S1192" t="s">
        <v>2895</v>
      </c>
      <c r="T1192" t="s">
        <v>2896</v>
      </c>
      <c r="U1192" t="s">
        <v>2897</v>
      </c>
    </row>
    <row r="1193" spans="1:21" hidden="1">
      <c r="A1193" t="s">
        <v>2521</v>
      </c>
      <c r="B1193" t="s">
        <v>6829</v>
      </c>
      <c r="C1193" t="s">
        <v>6390</v>
      </c>
      <c r="D1193" t="s">
        <v>17</v>
      </c>
      <c r="E1193" t="s">
        <v>2</v>
      </c>
      <c r="F1193" t="s">
        <v>50</v>
      </c>
      <c r="G1193" t="s">
        <v>51</v>
      </c>
      <c r="H1193" t="s">
        <v>6846</v>
      </c>
      <c r="I1193" t="s">
        <v>52</v>
      </c>
      <c r="J1193" t="s">
        <v>60</v>
      </c>
      <c r="K1193" t="s">
        <v>54</v>
      </c>
      <c r="L1193" t="s">
        <v>55</v>
      </c>
      <c r="O1193" t="s">
        <v>61</v>
      </c>
      <c r="P1193" t="s">
        <v>62</v>
      </c>
      <c r="Q1193" t="s">
        <v>6847</v>
      </c>
      <c r="R1193" t="s">
        <v>6848</v>
      </c>
      <c r="S1193" t="s">
        <v>2895</v>
      </c>
      <c r="T1193" t="s">
        <v>2896</v>
      </c>
      <c r="U1193" t="s">
        <v>2897</v>
      </c>
    </row>
    <row r="1194" spans="1:21" hidden="1">
      <c r="A1194" t="s">
        <v>2523</v>
      </c>
      <c r="B1194" t="s">
        <v>6829</v>
      </c>
      <c r="C1194" t="s">
        <v>6849</v>
      </c>
      <c r="D1194" t="s">
        <v>17</v>
      </c>
      <c r="E1194" t="s">
        <v>2</v>
      </c>
      <c r="F1194" t="s">
        <v>149</v>
      </c>
      <c r="G1194" t="s">
        <v>72</v>
      </c>
      <c r="H1194" t="s">
        <v>6763</v>
      </c>
      <c r="I1194" t="s">
        <v>52</v>
      </c>
      <c r="J1194" t="s">
        <v>2525</v>
      </c>
      <c r="K1194" t="s">
        <v>54</v>
      </c>
      <c r="L1194" t="s">
        <v>74</v>
      </c>
      <c r="O1194" t="s">
        <v>75</v>
      </c>
      <c r="P1194" t="s">
        <v>2405</v>
      </c>
      <c r="Q1194" t="s">
        <v>6850</v>
      </c>
      <c r="R1194" t="s">
        <v>6763</v>
      </c>
      <c r="S1194" t="s">
        <v>2895</v>
      </c>
      <c r="T1194" t="s">
        <v>2896</v>
      </c>
      <c r="U1194" t="s">
        <v>2897</v>
      </c>
    </row>
    <row r="1195" spans="1:21" hidden="1">
      <c r="A1195" t="s">
        <v>2526</v>
      </c>
      <c r="B1195" t="s">
        <v>6829</v>
      </c>
      <c r="C1195" t="s">
        <v>4394</v>
      </c>
      <c r="D1195" t="s">
        <v>17</v>
      </c>
      <c r="E1195" t="s">
        <v>2</v>
      </c>
      <c r="F1195" t="s">
        <v>149</v>
      </c>
      <c r="G1195" t="s">
        <v>72</v>
      </c>
      <c r="H1195" t="s">
        <v>6851</v>
      </c>
      <c r="I1195" t="s">
        <v>52</v>
      </c>
      <c r="J1195" t="s">
        <v>2528</v>
      </c>
      <c r="K1195" t="s">
        <v>54</v>
      </c>
      <c r="L1195" t="s">
        <v>74</v>
      </c>
      <c r="O1195" t="s">
        <v>75</v>
      </c>
      <c r="P1195" t="s">
        <v>2405</v>
      </c>
      <c r="Q1195" t="s">
        <v>6852</v>
      </c>
      <c r="R1195" t="s">
        <v>6851</v>
      </c>
      <c r="S1195" t="s">
        <v>2895</v>
      </c>
      <c r="T1195" t="s">
        <v>2896</v>
      </c>
      <c r="U1195" t="s">
        <v>2897</v>
      </c>
    </row>
    <row r="1196" spans="1:21" hidden="1">
      <c r="A1196" t="s">
        <v>2529</v>
      </c>
      <c r="B1196" t="s">
        <v>6853</v>
      </c>
      <c r="C1196" t="s">
        <v>5585</v>
      </c>
      <c r="D1196" t="s">
        <v>17</v>
      </c>
      <c r="E1196" t="s">
        <v>2</v>
      </c>
      <c r="F1196" t="s">
        <v>149</v>
      </c>
      <c r="G1196" t="s">
        <v>72</v>
      </c>
      <c r="H1196" t="s">
        <v>6736</v>
      </c>
      <c r="I1196" t="s">
        <v>52</v>
      </c>
      <c r="J1196" t="s">
        <v>2531</v>
      </c>
      <c r="K1196" t="s">
        <v>54</v>
      </c>
      <c r="L1196" t="s">
        <v>74</v>
      </c>
      <c r="O1196" t="s">
        <v>75</v>
      </c>
      <c r="P1196" t="s">
        <v>2405</v>
      </c>
      <c r="Q1196" t="s">
        <v>6854</v>
      </c>
      <c r="R1196" t="s">
        <v>6736</v>
      </c>
      <c r="S1196" t="s">
        <v>2895</v>
      </c>
      <c r="T1196" t="s">
        <v>2896</v>
      </c>
      <c r="U1196" t="s">
        <v>2897</v>
      </c>
    </row>
    <row r="1197" spans="1:21" hidden="1">
      <c r="A1197" t="s">
        <v>2532</v>
      </c>
      <c r="B1197" t="s">
        <v>6853</v>
      </c>
      <c r="C1197" t="s">
        <v>6855</v>
      </c>
      <c r="D1197" t="s">
        <v>17</v>
      </c>
      <c r="E1197" t="s">
        <v>2</v>
      </c>
      <c r="F1197" t="s">
        <v>50</v>
      </c>
      <c r="G1197" t="s">
        <v>51</v>
      </c>
      <c r="H1197" t="s">
        <v>6856</v>
      </c>
      <c r="I1197" t="s">
        <v>52</v>
      </c>
      <c r="J1197" t="s">
        <v>126</v>
      </c>
      <c r="K1197" t="s">
        <v>54</v>
      </c>
      <c r="L1197" t="s">
        <v>55</v>
      </c>
      <c r="O1197" t="s">
        <v>56</v>
      </c>
      <c r="P1197" t="s">
        <v>57</v>
      </c>
      <c r="Q1197" t="s">
        <v>6857</v>
      </c>
      <c r="R1197" t="s">
        <v>6858</v>
      </c>
      <c r="S1197" t="s">
        <v>2895</v>
      </c>
      <c r="T1197" t="s">
        <v>2896</v>
      </c>
      <c r="U1197" t="s">
        <v>2897</v>
      </c>
    </row>
    <row r="1198" spans="1:21" hidden="1">
      <c r="A1198" t="s">
        <v>2534</v>
      </c>
      <c r="B1198" t="s">
        <v>6853</v>
      </c>
      <c r="C1198" t="s">
        <v>5838</v>
      </c>
      <c r="D1198" t="s">
        <v>17</v>
      </c>
      <c r="E1198" t="s">
        <v>2</v>
      </c>
      <c r="F1198" t="s">
        <v>149</v>
      </c>
      <c r="G1198" t="s">
        <v>72</v>
      </c>
      <c r="H1198" t="s">
        <v>6723</v>
      </c>
      <c r="I1198" t="s">
        <v>52</v>
      </c>
      <c r="J1198" t="s">
        <v>2536</v>
      </c>
      <c r="K1198" t="s">
        <v>54</v>
      </c>
      <c r="L1198" t="s">
        <v>74</v>
      </c>
      <c r="O1198" t="s">
        <v>75</v>
      </c>
      <c r="P1198" t="s">
        <v>2405</v>
      </c>
      <c r="Q1198" t="s">
        <v>6859</v>
      </c>
      <c r="R1198" t="s">
        <v>6723</v>
      </c>
      <c r="S1198" t="s">
        <v>2895</v>
      </c>
      <c r="T1198" t="s">
        <v>2896</v>
      </c>
      <c r="U1198" t="s">
        <v>2897</v>
      </c>
    </row>
    <row r="1199" spans="1:21" hidden="1">
      <c r="A1199" t="s">
        <v>2537</v>
      </c>
      <c r="B1199" t="s">
        <v>6853</v>
      </c>
      <c r="C1199" t="s">
        <v>4265</v>
      </c>
      <c r="D1199" t="s">
        <v>17</v>
      </c>
      <c r="E1199" t="s">
        <v>2</v>
      </c>
      <c r="F1199" t="s">
        <v>50</v>
      </c>
      <c r="G1199" t="s">
        <v>100</v>
      </c>
      <c r="H1199" t="s">
        <v>2969</v>
      </c>
      <c r="I1199" t="s">
        <v>52</v>
      </c>
      <c r="J1199" t="s">
        <v>101</v>
      </c>
      <c r="K1199" t="s">
        <v>54</v>
      </c>
      <c r="L1199" t="s">
        <v>102</v>
      </c>
      <c r="O1199" t="s">
        <v>103</v>
      </c>
      <c r="P1199" t="s">
        <v>104</v>
      </c>
      <c r="Q1199" t="s">
        <v>6860</v>
      </c>
      <c r="R1199" t="s">
        <v>2971</v>
      </c>
      <c r="S1199" t="s">
        <v>2895</v>
      </c>
      <c r="T1199" t="s">
        <v>2896</v>
      </c>
      <c r="U1199" t="s">
        <v>2897</v>
      </c>
    </row>
    <row r="1200" spans="1:21" hidden="1">
      <c r="A1200" t="s">
        <v>2539</v>
      </c>
      <c r="B1200" t="s">
        <v>6853</v>
      </c>
      <c r="C1200" t="s">
        <v>6861</v>
      </c>
      <c r="D1200" t="s">
        <v>17</v>
      </c>
      <c r="E1200" t="s">
        <v>2</v>
      </c>
      <c r="F1200" t="s">
        <v>50</v>
      </c>
      <c r="G1200" t="s">
        <v>51</v>
      </c>
      <c r="H1200" t="s">
        <v>6862</v>
      </c>
      <c r="I1200" t="s">
        <v>52</v>
      </c>
      <c r="J1200" t="s">
        <v>121</v>
      </c>
      <c r="K1200" t="s">
        <v>54</v>
      </c>
      <c r="L1200" t="s">
        <v>55</v>
      </c>
      <c r="O1200" t="s">
        <v>122</v>
      </c>
      <c r="P1200" t="s">
        <v>123</v>
      </c>
      <c r="Q1200" t="s">
        <v>6863</v>
      </c>
      <c r="R1200" t="s">
        <v>6864</v>
      </c>
      <c r="S1200" t="s">
        <v>2895</v>
      </c>
      <c r="T1200" t="s">
        <v>2896</v>
      </c>
      <c r="U1200" t="s">
        <v>2897</v>
      </c>
    </row>
    <row r="1201" spans="1:21" hidden="1">
      <c r="A1201" t="s">
        <v>2541</v>
      </c>
      <c r="B1201" t="s">
        <v>6853</v>
      </c>
      <c r="C1201" t="s">
        <v>3541</v>
      </c>
      <c r="D1201" t="s">
        <v>17</v>
      </c>
      <c r="E1201" t="s">
        <v>2</v>
      </c>
      <c r="F1201" t="s">
        <v>149</v>
      </c>
      <c r="G1201" t="s">
        <v>72</v>
      </c>
      <c r="H1201" t="s">
        <v>6726</v>
      </c>
      <c r="I1201" t="s">
        <v>52</v>
      </c>
      <c r="J1201" t="s">
        <v>2543</v>
      </c>
      <c r="K1201" t="s">
        <v>54</v>
      </c>
      <c r="L1201" t="s">
        <v>74</v>
      </c>
      <c r="O1201" t="s">
        <v>75</v>
      </c>
      <c r="P1201" t="s">
        <v>2405</v>
      </c>
      <c r="Q1201" t="s">
        <v>6865</v>
      </c>
      <c r="R1201" t="s">
        <v>6726</v>
      </c>
      <c r="S1201" t="s">
        <v>2895</v>
      </c>
      <c r="T1201" t="s">
        <v>2896</v>
      </c>
      <c r="U1201" t="s">
        <v>2897</v>
      </c>
    </row>
    <row r="1202" spans="1:21" hidden="1">
      <c r="A1202" t="s">
        <v>2544</v>
      </c>
      <c r="B1202" t="s">
        <v>6853</v>
      </c>
      <c r="C1202" t="s">
        <v>6866</v>
      </c>
      <c r="D1202" t="s">
        <v>17</v>
      </c>
      <c r="E1202" t="s">
        <v>2</v>
      </c>
      <c r="F1202" t="s">
        <v>50</v>
      </c>
      <c r="G1202" t="s">
        <v>100</v>
      </c>
      <c r="H1202" t="s">
        <v>5177</v>
      </c>
      <c r="I1202" t="s">
        <v>52</v>
      </c>
      <c r="J1202" t="s">
        <v>114</v>
      </c>
      <c r="K1202" t="s">
        <v>54</v>
      </c>
      <c r="L1202" t="s">
        <v>102</v>
      </c>
      <c r="O1202" t="s">
        <v>103</v>
      </c>
      <c r="P1202" t="s">
        <v>104</v>
      </c>
      <c r="Q1202" t="s">
        <v>6867</v>
      </c>
      <c r="R1202" t="s">
        <v>5179</v>
      </c>
      <c r="S1202" t="s">
        <v>2895</v>
      </c>
      <c r="T1202" t="s">
        <v>2896</v>
      </c>
      <c r="U1202" t="s">
        <v>2897</v>
      </c>
    </row>
    <row r="1203" spans="1:21" hidden="1">
      <c r="A1203" t="s">
        <v>2546</v>
      </c>
      <c r="B1203" t="s">
        <v>6853</v>
      </c>
      <c r="C1203" t="s">
        <v>5426</v>
      </c>
      <c r="D1203" t="s">
        <v>17</v>
      </c>
      <c r="E1203" t="s">
        <v>2</v>
      </c>
      <c r="F1203" t="s">
        <v>50</v>
      </c>
      <c r="G1203" t="s">
        <v>51</v>
      </c>
      <c r="H1203" t="s">
        <v>6868</v>
      </c>
      <c r="I1203" t="s">
        <v>52</v>
      </c>
      <c r="J1203" t="s">
        <v>53</v>
      </c>
      <c r="K1203" t="s">
        <v>54</v>
      </c>
      <c r="L1203" t="s">
        <v>55</v>
      </c>
      <c r="O1203" t="s">
        <v>56</v>
      </c>
      <c r="P1203" t="s">
        <v>57</v>
      </c>
      <c r="Q1203" t="s">
        <v>6869</v>
      </c>
      <c r="R1203" t="s">
        <v>6870</v>
      </c>
      <c r="S1203" t="s">
        <v>2895</v>
      </c>
      <c r="T1203" t="s">
        <v>2896</v>
      </c>
      <c r="U1203" t="s">
        <v>2897</v>
      </c>
    </row>
    <row r="1204" spans="1:21" hidden="1">
      <c r="A1204" t="s">
        <v>2547</v>
      </c>
      <c r="B1204" t="s">
        <v>6871</v>
      </c>
      <c r="C1204" t="s">
        <v>3399</v>
      </c>
      <c r="D1204" t="s">
        <v>17</v>
      </c>
      <c r="E1204" t="s">
        <v>2</v>
      </c>
      <c r="F1204" t="s">
        <v>50</v>
      </c>
      <c r="G1204" t="s">
        <v>51</v>
      </c>
      <c r="H1204" t="s">
        <v>6872</v>
      </c>
      <c r="I1204" t="s">
        <v>52</v>
      </c>
      <c r="J1204" t="s">
        <v>81</v>
      </c>
      <c r="K1204" t="s">
        <v>54</v>
      </c>
      <c r="L1204" t="s">
        <v>55</v>
      </c>
      <c r="O1204" t="s">
        <v>82</v>
      </c>
      <c r="P1204" t="s">
        <v>83</v>
      </c>
      <c r="Q1204" t="s">
        <v>6873</v>
      </c>
      <c r="R1204" t="s">
        <v>6874</v>
      </c>
      <c r="S1204" t="s">
        <v>2895</v>
      </c>
      <c r="T1204" t="s">
        <v>2896</v>
      </c>
      <c r="U1204" t="s">
        <v>2897</v>
      </c>
    </row>
    <row r="1205" spans="1:21" hidden="1">
      <c r="A1205" t="s">
        <v>2549</v>
      </c>
      <c r="B1205" t="s">
        <v>6871</v>
      </c>
      <c r="C1205" t="s">
        <v>4401</v>
      </c>
      <c r="D1205" t="s">
        <v>17</v>
      </c>
      <c r="E1205" t="s">
        <v>2</v>
      </c>
      <c r="F1205" t="s">
        <v>50</v>
      </c>
      <c r="G1205" t="s">
        <v>51</v>
      </c>
      <c r="H1205" t="s">
        <v>6875</v>
      </c>
      <c r="I1205" t="s">
        <v>52</v>
      </c>
      <c r="J1205" t="s">
        <v>53</v>
      </c>
      <c r="K1205" t="s">
        <v>54</v>
      </c>
      <c r="L1205" t="s">
        <v>55</v>
      </c>
      <c r="O1205" t="s">
        <v>56</v>
      </c>
      <c r="P1205" t="s">
        <v>57</v>
      </c>
      <c r="Q1205" t="s">
        <v>6876</v>
      </c>
      <c r="R1205" t="s">
        <v>6877</v>
      </c>
      <c r="S1205" t="s">
        <v>2895</v>
      </c>
      <c r="T1205" t="s">
        <v>2896</v>
      </c>
      <c r="U1205" t="s">
        <v>2897</v>
      </c>
    </row>
    <row r="1206" spans="1:21" hidden="1">
      <c r="A1206" t="s">
        <v>2551</v>
      </c>
      <c r="B1206" t="s">
        <v>6871</v>
      </c>
      <c r="C1206" t="s">
        <v>4248</v>
      </c>
      <c r="D1206" t="s">
        <v>17</v>
      </c>
      <c r="E1206" t="s">
        <v>2</v>
      </c>
      <c r="F1206" t="s">
        <v>50</v>
      </c>
      <c r="G1206" t="s">
        <v>2490</v>
      </c>
      <c r="H1206" t="s">
        <v>6878</v>
      </c>
      <c r="I1206" t="s">
        <v>52</v>
      </c>
      <c r="J1206" t="s">
        <v>2491</v>
      </c>
      <c r="K1206" t="s">
        <v>54</v>
      </c>
      <c r="L1206" t="s">
        <v>1970</v>
      </c>
      <c r="M1206" t="s">
        <v>91</v>
      </c>
      <c r="N1206" t="s">
        <v>12</v>
      </c>
      <c r="O1206" t="s">
        <v>2492</v>
      </c>
      <c r="P1206" t="s">
        <v>2493</v>
      </c>
      <c r="Q1206" t="s">
        <v>6764</v>
      </c>
      <c r="R1206" t="s">
        <v>6879</v>
      </c>
      <c r="S1206" t="s">
        <v>2895</v>
      </c>
      <c r="T1206" t="s">
        <v>2896</v>
      </c>
      <c r="U1206" t="s">
        <v>2897</v>
      </c>
    </row>
    <row r="1207" spans="1:21" hidden="1">
      <c r="A1207" t="s">
        <v>2553</v>
      </c>
      <c r="B1207" t="s">
        <v>6871</v>
      </c>
      <c r="C1207" t="s">
        <v>6880</v>
      </c>
      <c r="D1207" t="s">
        <v>17</v>
      </c>
      <c r="E1207" t="s">
        <v>2</v>
      </c>
      <c r="F1207" t="s">
        <v>50</v>
      </c>
      <c r="G1207" t="s">
        <v>100</v>
      </c>
      <c r="H1207" t="s">
        <v>6881</v>
      </c>
      <c r="I1207" t="s">
        <v>52</v>
      </c>
      <c r="J1207" t="s">
        <v>114</v>
      </c>
      <c r="K1207" t="s">
        <v>54</v>
      </c>
      <c r="L1207" t="s">
        <v>102</v>
      </c>
      <c r="O1207" t="s">
        <v>103</v>
      </c>
      <c r="P1207" t="s">
        <v>104</v>
      </c>
      <c r="Q1207" t="s">
        <v>6882</v>
      </c>
      <c r="R1207" t="s">
        <v>6883</v>
      </c>
      <c r="S1207" t="s">
        <v>2895</v>
      </c>
      <c r="T1207" t="s">
        <v>2896</v>
      </c>
      <c r="U1207" t="s">
        <v>2897</v>
      </c>
    </row>
    <row r="1208" spans="1:21" hidden="1">
      <c r="A1208" t="s">
        <v>2555</v>
      </c>
      <c r="B1208" t="s">
        <v>6871</v>
      </c>
      <c r="C1208" t="s">
        <v>4757</v>
      </c>
      <c r="D1208" t="s">
        <v>17</v>
      </c>
      <c r="E1208" t="s">
        <v>2</v>
      </c>
      <c r="F1208" t="s">
        <v>149</v>
      </c>
      <c r="G1208" t="s">
        <v>72</v>
      </c>
      <c r="H1208" t="s">
        <v>6763</v>
      </c>
      <c r="I1208" t="s">
        <v>52</v>
      </c>
      <c r="J1208" t="s">
        <v>2557</v>
      </c>
      <c r="K1208" t="s">
        <v>54</v>
      </c>
      <c r="L1208" t="s">
        <v>74</v>
      </c>
      <c r="O1208" t="s">
        <v>75</v>
      </c>
      <c r="P1208" t="s">
        <v>2405</v>
      </c>
      <c r="Q1208" t="s">
        <v>6884</v>
      </c>
      <c r="R1208" t="s">
        <v>6763</v>
      </c>
      <c r="S1208" t="s">
        <v>2895</v>
      </c>
      <c r="T1208" t="s">
        <v>2896</v>
      </c>
      <c r="U1208" t="s">
        <v>2897</v>
      </c>
    </row>
    <row r="1209" spans="1:21" hidden="1">
      <c r="A1209" t="s">
        <v>2558</v>
      </c>
      <c r="B1209" t="s">
        <v>6871</v>
      </c>
      <c r="C1209" t="s">
        <v>6885</v>
      </c>
      <c r="D1209" t="s">
        <v>17</v>
      </c>
      <c r="E1209" t="s">
        <v>2</v>
      </c>
      <c r="F1209" t="s">
        <v>50</v>
      </c>
      <c r="G1209" t="s">
        <v>51</v>
      </c>
      <c r="H1209" t="s">
        <v>6886</v>
      </c>
      <c r="I1209" t="s">
        <v>52</v>
      </c>
      <c r="J1209" t="s">
        <v>65</v>
      </c>
      <c r="K1209" t="s">
        <v>54</v>
      </c>
      <c r="L1209" t="s">
        <v>55</v>
      </c>
      <c r="O1209" t="s">
        <v>66</v>
      </c>
      <c r="P1209" t="s">
        <v>67</v>
      </c>
      <c r="Q1209" t="s">
        <v>6887</v>
      </c>
      <c r="R1209" t="s">
        <v>6888</v>
      </c>
      <c r="S1209" t="s">
        <v>2895</v>
      </c>
      <c r="T1209" t="s">
        <v>2896</v>
      </c>
      <c r="U1209" t="s">
        <v>2897</v>
      </c>
    </row>
    <row r="1210" spans="1:21" hidden="1">
      <c r="A1210" t="s">
        <v>2560</v>
      </c>
      <c r="B1210" t="s">
        <v>6871</v>
      </c>
      <c r="C1210" t="s">
        <v>3554</v>
      </c>
      <c r="D1210" t="s">
        <v>17</v>
      </c>
      <c r="E1210" t="s">
        <v>2</v>
      </c>
      <c r="F1210" t="s">
        <v>149</v>
      </c>
      <c r="G1210" t="s">
        <v>72</v>
      </c>
      <c r="H1210" t="s">
        <v>6736</v>
      </c>
      <c r="I1210" t="s">
        <v>52</v>
      </c>
      <c r="J1210" t="s">
        <v>2562</v>
      </c>
      <c r="K1210" t="s">
        <v>54</v>
      </c>
      <c r="L1210" t="s">
        <v>74</v>
      </c>
      <c r="O1210" t="s">
        <v>75</v>
      </c>
      <c r="P1210" t="s">
        <v>2405</v>
      </c>
      <c r="Q1210" t="s">
        <v>6889</v>
      </c>
      <c r="R1210" t="s">
        <v>6736</v>
      </c>
      <c r="S1210" t="s">
        <v>2895</v>
      </c>
      <c r="T1210" t="s">
        <v>2896</v>
      </c>
      <c r="U1210" t="s">
        <v>2897</v>
      </c>
    </row>
    <row r="1211" spans="1:21" hidden="1">
      <c r="A1211" t="s">
        <v>2563</v>
      </c>
      <c r="B1211" t="s">
        <v>6871</v>
      </c>
      <c r="C1211" t="s">
        <v>6890</v>
      </c>
      <c r="D1211" t="s">
        <v>17</v>
      </c>
      <c r="E1211" t="s">
        <v>2</v>
      </c>
      <c r="F1211" t="s">
        <v>50</v>
      </c>
      <c r="G1211" t="s">
        <v>51</v>
      </c>
      <c r="H1211" t="s">
        <v>3961</v>
      </c>
      <c r="I1211" t="s">
        <v>52</v>
      </c>
      <c r="J1211" t="s">
        <v>126</v>
      </c>
      <c r="K1211" t="s">
        <v>54</v>
      </c>
      <c r="L1211" t="s">
        <v>55</v>
      </c>
      <c r="O1211" t="s">
        <v>56</v>
      </c>
      <c r="P1211" t="s">
        <v>57</v>
      </c>
      <c r="Q1211" t="s">
        <v>6891</v>
      </c>
      <c r="R1211" t="s">
        <v>3963</v>
      </c>
      <c r="S1211" t="s">
        <v>2895</v>
      </c>
      <c r="T1211" t="s">
        <v>2896</v>
      </c>
      <c r="U1211" t="s">
        <v>2897</v>
      </c>
    </row>
    <row r="1212" spans="1:21" hidden="1">
      <c r="A1212" t="s">
        <v>2565</v>
      </c>
      <c r="B1212" t="s">
        <v>6871</v>
      </c>
      <c r="C1212" t="s">
        <v>4447</v>
      </c>
      <c r="D1212" t="s">
        <v>17</v>
      </c>
      <c r="E1212" t="s">
        <v>2</v>
      </c>
      <c r="F1212" t="s">
        <v>50</v>
      </c>
      <c r="G1212" t="s">
        <v>51</v>
      </c>
      <c r="H1212" t="s">
        <v>6892</v>
      </c>
      <c r="I1212" t="s">
        <v>52</v>
      </c>
      <c r="J1212" t="s">
        <v>81</v>
      </c>
      <c r="K1212" t="s">
        <v>54</v>
      </c>
      <c r="L1212" t="s">
        <v>55</v>
      </c>
      <c r="O1212" t="s">
        <v>82</v>
      </c>
      <c r="P1212" t="s">
        <v>83</v>
      </c>
      <c r="Q1212" t="s">
        <v>6893</v>
      </c>
      <c r="R1212" t="s">
        <v>6894</v>
      </c>
      <c r="S1212" t="s">
        <v>2895</v>
      </c>
      <c r="T1212" t="s">
        <v>2896</v>
      </c>
      <c r="U1212" t="s">
        <v>2897</v>
      </c>
    </row>
    <row r="1213" spans="1:21" hidden="1">
      <c r="A1213" t="s">
        <v>2567</v>
      </c>
      <c r="B1213" t="s">
        <v>6871</v>
      </c>
      <c r="C1213" t="s">
        <v>3959</v>
      </c>
      <c r="D1213" t="s">
        <v>17</v>
      </c>
      <c r="E1213" t="s">
        <v>2</v>
      </c>
      <c r="F1213" t="s">
        <v>50</v>
      </c>
      <c r="G1213" t="s">
        <v>51</v>
      </c>
      <c r="H1213" t="s">
        <v>6895</v>
      </c>
      <c r="I1213" t="s">
        <v>52</v>
      </c>
      <c r="J1213" t="s">
        <v>60</v>
      </c>
      <c r="K1213" t="s">
        <v>54</v>
      </c>
      <c r="L1213" t="s">
        <v>55</v>
      </c>
      <c r="O1213" t="s">
        <v>61</v>
      </c>
      <c r="P1213" t="s">
        <v>62</v>
      </c>
      <c r="Q1213" t="s">
        <v>6896</v>
      </c>
      <c r="R1213" t="s">
        <v>6897</v>
      </c>
      <c r="S1213" t="s">
        <v>2895</v>
      </c>
      <c r="T1213" t="s">
        <v>2896</v>
      </c>
      <c r="U1213" t="s">
        <v>2897</v>
      </c>
    </row>
    <row r="1214" spans="1:21" hidden="1">
      <c r="A1214" t="s">
        <v>2569</v>
      </c>
      <c r="B1214" t="s">
        <v>6871</v>
      </c>
      <c r="C1214" t="s">
        <v>3584</v>
      </c>
      <c r="D1214" t="s">
        <v>17</v>
      </c>
      <c r="E1214" t="s">
        <v>2</v>
      </c>
      <c r="F1214" t="s">
        <v>149</v>
      </c>
      <c r="G1214" t="s">
        <v>72</v>
      </c>
      <c r="H1214" t="s">
        <v>6763</v>
      </c>
      <c r="I1214" t="s">
        <v>52</v>
      </c>
      <c r="J1214" t="s">
        <v>2570</v>
      </c>
      <c r="K1214" t="s">
        <v>54</v>
      </c>
      <c r="L1214" t="s">
        <v>74</v>
      </c>
      <c r="O1214" t="s">
        <v>75</v>
      </c>
      <c r="P1214" t="s">
        <v>2405</v>
      </c>
      <c r="Q1214" t="s">
        <v>6898</v>
      </c>
      <c r="R1214" t="s">
        <v>6763</v>
      </c>
      <c r="S1214" t="s">
        <v>2895</v>
      </c>
      <c r="T1214" t="s">
        <v>2896</v>
      </c>
      <c r="U1214" t="s">
        <v>2897</v>
      </c>
    </row>
    <row r="1215" spans="1:21" hidden="1">
      <c r="A1215" t="s">
        <v>2571</v>
      </c>
      <c r="B1215" t="s">
        <v>6899</v>
      </c>
      <c r="C1215" t="s">
        <v>3629</v>
      </c>
      <c r="D1215" t="s">
        <v>17</v>
      </c>
      <c r="E1215" t="s">
        <v>2</v>
      </c>
      <c r="F1215" t="s">
        <v>149</v>
      </c>
      <c r="G1215" t="s">
        <v>72</v>
      </c>
      <c r="H1215" t="s">
        <v>6726</v>
      </c>
      <c r="I1215" t="s">
        <v>52</v>
      </c>
      <c r="J1215" t="s">
        <v>2573</v>
      </c>
      <c r="K1215" t="s">
        <v>54</v>
      </c>
      <c r="L1215" t="s">
        <v>74</v>
      </c>
      <c r="O1215" t="s">
        <v>75</v>
      </c>
      <c r="P1215" t="s">
        <v>2405</v>
      </c>
      <c r="Q1215" t="s">
        <v>6900</v>
      </c>
      <c r="R1215" t="s">
        <v>6726</v>
      </c>
      <c r="S1215" t="s">
        <v>2895</v>
      </c>
      <c r="T1215" t="s">
        <v>2896</v>
      </c>
      <c r="U1215" t="s">
        <v>2897</v>
      </c>
    </row>
    <row r="1216" spans="1:21" hidden="1">
      <c r="A1216" t="s">
        <v>2574</v>
      </c>
      <c r="B1216" t="s">
        <v>6899</v>
      </c>
      <c r="C1216" t="s">
        <v>6901</v>
      </c>
      <c r="D1216" t="s">
        <v>17</v>
      </c>
      <c r="E1216" t="s">
        <v>2</v>
      </c>
      <c r="F1216" t="s">
        <v>149</v>
      </c>
      <c r="G1216" t="s">
        <v>72</v>
      </c>
      <c r="H1216" t="s">
        <v>6723</v>
      </c>
      <c r="I1216" t="s">
        <v>52</v>
      </c>
      <c r="J1216" t="s">
        <v>2576</v>
      </c>
      <c r="K1216" t="s">
        <v>54</v>
      </c>
      <c r="L1216" t="s">
        <v>74</v>
      </c>
      <c r="O1216" t="s">
        <v>75</v>
      </c>
      <c r="P1216" t="s">
        <v>2405</v>
      </c>
      <c r="Q1216" t="s">
        <v>6902</v>
      </c>
      <c r="R1216" t="s">
        <v>6723</v>
      </c>
      <c r="S1216" t="s">
        <v>2895</v>
      </c>
      <c r="T1216" t="s">
        <v>2896</v>
      </c>
      <c r="U1216" t="s">
        <v>2897</v>
      </c>
    </row>
    <row r="1217" spans="1:21" hidden="1">
      <c r="A1217" t="s">
        <v>2577</v>
      </c>
      <c r="B1217" t="s">
        <v>6899</v>
      </c>
      <c r="C1217" t="s">
        <v>6903</v>
      </c>
      <c r="D1217" t="s">
        <v>17</v>
      </c>
      <c r="E1217" t="s">
        <v>2</v>
      </c>
      <c r="F1217" t="s">
        <v>50</v>
      </c>
      <c r="G1217" t="s">
        <v>51</v>
      </c>
      <c r="H1217" t="s">
        <v>6904</v>
      </c>
      <c r="I1217" t="s">
        <v>52</v>
      </c>
      <c r="J1217" t="s">
        <v>196</v>
      </c>
      <c r="K1217" t="s">
        <v>54</v>
      </c>
      <c r="L1217" t="s">
        <v>55</v>
      </c>
      <c r="O1217" t="s">
        <v>197</v>
      </c>
      <c r="P1217" t="s">
        <v>198</v>
      </c>
      <c r="Q1217" t="s">
        <v>6905</v>
      </c>
      <c r="R1217" t="s">
        <v>6906</v>
      </c>
      <c r="S1217" t="s">
        <v>2895</v>
      </c>
      <c r="T1217" t="s">
        <v>2896</v>
      </c>
      <c r="U1217" t="s">
        <v>2897</v>
      </c>
    </row>
    <row r="1218" spans="1:21" hidden="1">
      <c r="A1218" t="s">
        <v>2579</v>
      </c>
      <c r="B1218" t="s">
        <v>6899</v>
      </c>
      <c r="C1218" t="s">
        <v>6907</v>
      </c>
      <c r="D1218" t="s">
        <v>17</v>
      </c>
      <c r="E1218" t="s">
        <v>2</v>
      </c>
      <c r="F1218" t="s">
        <v>50</v>
      </c>
      <c r="G1218" t="s">
        <v>51</v>
      </c>
      <c r="H1218" t="s">
        <v>6908</v>
      </c>
      <c r="I1218" t="s">
        <v>52</v>
      </c>
      <c r="J1218" t="s">
        <v>53</v>
      </c>
      <c r="K1218" t="s">
        <v>54</v>
      </c>
      <c r="L1218" t="s">
        <v>55</v>
      </c>
      <c r="O1218" t="s">
        <v>56</v>
      </c>
      <c r="P1218" t="s">
        <v>57</v>
      </c>
      <c r="Q1218" t="s">
        <v>6909</v>
      </c>
      <c r="R1218" t="s">
        <v>6910</v>
      </c>
      <c r="S1218" t="s">
        <v>2895</v>
      </c>
      <c r="T1218" t="s">
        <v>2896</v>
      </c>
      <c r="U1218" t="s">
        <v>2897</v>
      </c>
    </row>
    <row r="1219" spans="1:21" hidden="1">
      <c r="A1219" t="s">
        <v>2581</v>
      </c>
      <c r="B1219" t="s">
        <v>6899</v>
      </c>
      <c r="C1219" t="s">
        <v>5445</v>
      </c>
      <c r="D1219" t="s">
        <v>17</v>
      </c>
      <c r="E1219" t="s">
        <v>2</v>
      </c>
      <c r="F1219" t="s">
        <v>149</v>
      </c>
      <c r="G1219" t="s">
        <v>72</v>
      </c>
      <c r="H1219" t="s">
        <v>6723</v>
      </c>
      <c r="I1219" t="s">
        <v>52</v>
      </c>
      <c r="J1219" t="s">
        <v>2583</v>
      </c>
      <c r="K1219" t="s">
        <v>54</v>
      </c>
      <c r="L1219" t="s">
        <v>74</v>
      </c>
      <c r="O1219" t="s">
        <v>75</v>
      </c>
      <c r="P1219" t="s">
        <v>2405</v>
      </c>
      <c r="Q1219" t="s">
        <v>6911</v>
      </c>
      <c r="R1219" t="s">
        <v>6723</v>
      </c>
      <c r="S1219" t="s">
        <v>2895</v>
      </c>
      <c r="T1219" t="s">
        <v>2896</v>
      </c>
      <c r="U1219" t="s">
        <v>2897</v>
      </c>
    </row>
    <row r="1220" spans="1:21" hidden="1">
      <c r="A1220" t="s">
        <v>2584</v>
      </c>
      <c r="B1220" t="s">
        <v>6899</v>
      </c>
      <c r="C1220" t="s">
        <v>6333</v>
      </c>
      <c r="D1220" t="s">
        <v>17</v>
      </c>
      <c r="E1220" t="s">
        <v>2</v>
      </c>
      <c r="F1220" t="s">
        <v>50</v>
      </c>
      <c r="G1220" t="s">
        <v>51</v>
      </c>
      <c r="H1220" t="s">
        <v>6912</v>
      </c>
      <c r="I1220" t="s">
        <v>52</v>
      </c>
      <c r="J1220" t="s">
        <v>53</v>
      </c>
      <c r="K1220" t="s">
        <v>54</v>
      </c>
      <c r="L1220" t="s">
        <v>55</v>
      </c>
      <c r="O1220" t="s">
        <v>56</v>
      </c>
      <c r="P1220" t="s">
        <v>57</v>
      </c>
      <c r="Q1220" t="s">
        <v>6913</v>
      </c>
      <c r="R1220" t="s">
        <v>6914</v>
      </c>
      <c r="S1220" t="s">
        <v>2895</v>
      </c>
      <c r="T1220" t="s">
        <v>2896</v>
      </c>
      <c r="U1220" t="s">
        <v>2897</v>
      </c>
    </row>
    <row r="1221" spans="1:21" hidden="1">
      <c r="A1221" t="s">
        <v>2586</v>
      </c>
      <c r="B1221" t="s">
        <v>6899</v>
      </c>
      <c r="C1221" t="s">
        <v>3847</v>
      </c>
      <c r="D1221" t="s">
        <v>17</v>
      </c>
      <c r="E1221" t="s">
        <v>2</v>
      </c>
      <c r="F1221" t="s">
        <v>50</v>
      </c>
      <c r="G1221" t="s">
        <v>51</v>
      </c>
      <c r="H1221" t="s">
        <v>4677</v>
      </c>
      <c r="I1221" t="s">
        <v>52</v>
      </c>
      <c r="J1221" t="s">
        <v>53</v>
      </c>
      <c r="K1221" t="s">
        <v>54</v>
      </c>
      <c r="L1221" t="s">
        <v>55</v>
      </c>
      <c r="O1221" t="s">
        <v>56</v>
      </c>
      <c r="P1221" t="s">
        <v>57</v>
      </c>
      <c r="Q1221" t="s">
        <v>6915</v>
      </c>
      <c r="R1221" t="s">
        <v>4679</v>
      </c>
      <c r="S1221" t="s">
        <v>2895</v>
      </c>
      <c r="T1221" t="s">
        <v>2896</v>
      </c>
      <c r="U1221" t="s">
        <v>2897</v>
      </c>
    </row>
    <row r="1222" spans="1:21" hidden="1">
      <c r="A1222" t="s">
        <v>2588</v>
      </c>
      <c r="B1222" t="s">
        <v>6899</v>
      </c>
      <c r="C1222" t="s">
        <v>4688</v>
      </c>
      <c r="D1222" t="s">
        <v>17</v>
      </c>
      <c r="E1222" t="s">
        <v>2</v>
      </c>
      <c r="F1222" t="s">
        <v>50</v>
      </c>
      <c r="G1222" t="s">
        <v>100</v>
      </c>
      <c r="H1222" t="s">
        <v>5328</v>
      </c>
      <c r="I1222" t="s">
        <v>52</v>
      </c>
      <c r="J1222" t="s">
        <v>114</v>
      </c>
      <c r="K1222" t="s">
        <v>54</v>
      </c>
      <c r="L1222" t="s">
        <v>102</v>
      </c>
      <c r="O1222" t="s">
        <v>103</v>
      </c>
      <c r="P1222" t="s">
        <v>104</v>
      </c>
      <c r="Q1222" t="s">
        <v>6916</v>
      </c>
      <c r="R1222" t="s">
        <v>5330</v>
      </c>
      <c r="S1222" t="s">
        <v>2895</v>
      </c>
      <c r="T1222" t="s">
        <v>2896</v>
      </c>
      <c r="U1222" t="s">
        <v>2897</v>
      </c>
    </row>
    <row r="1223" spans="1:21" hidden="1">
      <c r="A1223" t="s">
        <v>2590</v>
      </c>
      <c r="B1223" t="s">
        <v>6917</v>
      </c>
      <c r="C1223" t="s">
        <v>6230</v>
      </c>
      <c r="D1223" t="s">
        <v>17</v>
      </c>
      <c r="E1223" t="s">
        <v>2</v>
      </c>
      <c r="F1223" t="s">
        <v>50</v>
      </c>
      <c r="G1223" t="s">
        <v>51</v>
      </c>
      <c r="H1223" t="s">
        <v>6918</v>
      </c>
      <c r="I1223" t="s">
        <v>52</v>
      </c>
      <c r="J1223" t="s">
        <v>196</v>
      </c>
      <c r="K1223" t="s">
        <v>54</v>
      </c>
      <c r="L1223" t="s">
        <v>55</v>
      </c>
      <c r="O1223" t="s">
        <v>197</v>
      </c>
      <c r="P1223" t="s">
        <v>198</v>
      </c>
      <c r="Q1223" t="s">
        <v>6919</v>
      </c>
      <c r="R1223" t="s">
        <v>6920</v>
      </c>
      <c r="S1223" t="s">
        <v>2895</v>
      </c>
      <c r="T1223" t="s">
        <v>2896</v>
      </c>
      <c r="U1223" t="s">
        <v>2897</v>
      </c>
    </row>
    <row r="1224" spans="1:21" hidden="1">
      <c r="A1224" t="s">
        <v>2592</v>
      </c>
      <c r="B1224" t="s">
        <v>6917</v>
      </c>
      <c r="C1224" t="s">
        <v>6921</v>
      </c>
      <c r="D1224" t="s">
        <v>17</v>
      </c>
      <c r="E1224" t="s">
        <v>2</v>
      </c>
      <c r="F1224" t="s">
        <v>50</v>
      </c>
      <c r="G1224" t="s">
        <v>51</v>
      </c>
      <c r="H1224" t="s">
        <v>3630</v>
      </c>
      <c r="I1224" t="s">
        <v>52</v>
      </c>
      <c r="J1224" t="s">
        <v>196</v>
      </c>
      <c r="K1224" t="s">
        <v>54</v>
      </c>
      <c r="L1224" t="s">
        <v>55</v>
      </c>
      <c r="O1224" t="s">
        <v>197</v>
      </c>
      <c r="P1224" t="s">
        <v>198</v>
      </c>
      <c r="Q1224" t="s">
        <v>6922</v>
      </c>
      <c r="R1224" t="s">
        <v>3632</v>
      </c>
      <c r="S1224" t="s">
        <v>2895</v>
      </c>
      <c r="T1224" t="s">
        <v>2896</v>
      </c>
      <c r="U1224" t="s">
        <v>2897</v>
      </c>
    </row>
    <row r="1225" spans="1:21" hidden="1">
      <c r="A1225" t="s">
        <v>2594</v>
      </c>
      <c r="B1225" t="s">
        <v>6917</v>
      </c>
      <c r="C1225" t="s">
        <v>4626</v>
      </c>
      <c r="D1225" t="s">
        <v>17</v>
      </c>
      <c r="E1225" t="s">
        <v>2</v>
      </c>
      <c r="F1225" t="s">
        <v>50</v>
      </c>
      <c r="G1225" t="s">
        <v>51</v>
      </c>
      <c r="H1225" t="s">
        <v>6923</v>
      </c>
      <c r="I1225" t="s">
        <v>52</v>
      </c>
      <c r="J1225" t="s">
        <v>60</v>
      </c>
      <c r="K1225" t="s">
        <v>54</v>
      </c>
      <c r="L1225" t="s">
        <v>55</v>
      </c>
      <c r="O1225" t="s">
        <v>61</v>
      </c>
      <c r="P1225" t="s">
        <v>62</v>
      </c>
      <c r="Q1225" t="s">
        <v>6924</v>
      </c>
      <c r="R1225" t="s">
        <v>6925</v>
      </c>
      <c r="S1225" t="s">
        <v>2895</v>
      </c>
      <c r="T1225" t="s">
        <v>2896</v>
      </c>
      <c r="U1225" t="s">
        <v>2897</v>
      </c>
    </row>
    <row r="1226" spans="1:21" hidden="1">
      <c r="A1226" t="s">
        <v>2596</v>
      </c>
      <c r="B1226" t="s">
        <v>6917</v>
      </c>
      <c r="C1226" t="s">
        <v>3613</v>
      </c>
      <c r="D1226" t="s">
        <v>17</v>
      </c>
      <c r="E1226" t="s">
        <v>2</v>
      </c>
      <c r="F1226" t="s">
        <v>50</v>
      </c>
      <c r="G1226" t="s">
        <v>51</v>
      </c>
      <c r="H1226" t="s">
        <v>6926</v>
      </c>
      <c r="I1226" t="s">
        <v>52</v>
      </c>
      <c r="J1226" t="s">
        <v>126</v>
      </c>
      <c r="K1226" t="s">
        <v>54</v>
      </c>
      <c r="L1226" t="s">
        <v>55</v>
      </c>
      <c r="O1226" t="s">
        <v>56</v>
      </c>
      <c r="P1226" t="s">
        <v>57</v>
      </c>
      <c r="Q1226" t="s">
        <v>6927</v>
      </c>
      <c r="R1226" t="s">
        <v>6928</v>
      </c>
      <c r="S1226" t="s">
        <v>2895</v>
      </c>
      <c r="T1226" t="s">
        <v>2896</v>
      </c>
      <c r="U1226" t="s">
        <v>2897</v>
      </c>
    </row>
    <row r="1227" spans="1:21" hidden="1">
      <c r="A1227" t="s">
        <v>2598</v>
      </c>
      <c r="B1227" t="s">
        <v>6917</v>
      </c>
      <c r="C1227" t="s">
        <v>3483</v>
      </c>
      <c r="D1227" t="s">
        <v>17</v>
      </c>
      <c r="E1227" t="s">
        <v>2</v>
      </c>
      <c r="F1227" t="s">
        <v>50</v>
      </c>
      <c r="G1227" t="s">
        <v>51</v>
      </c>
      <c r="H1227" t="s">
        <v>5892</v>
      </c>
      <c r="I1227" t="s">
        <v>52</v>
      </c>
      <c r="J1227" t="s">
        <v>121</v>
      </c>
      <c r="K1227" t="s">
        <v>54</v>
      </c>
      <c r="L1227" t="s">
        <v>55</v>
      </c>
      <c r="O1227" t="s">
        <v>122</v>
      </c>
      <c r="P1227" t="s">
        <v>123</v>
      </c>
      <c r="Q1227" t="s">
        <v>6929</v>
      </c>
      <c r="R1227" t="s">
        <v>5894</v>
      </c>
      <c r="S1227" t="s">
        <v>2895</v>
      </c>
      <c r="T1227" t="s">
        <v>2896</v>
      </c>
      <c r="U1227" t="s">
        <v>2897</v>
      </c>
    </row>
    <row r="1228" spans="1:21" hidden="1">
      <c r="A1228" t="s">
        <v>2600</v>
      </c>
      <c r="B1228" t="s">
        <v>6917</v>
      </c>
      <c r="C1228" t="s">
        <v>6930</v>
      </c>
      <c r="D1228" t="s">
        <v>17</v>
      </c>
      <c r="E1228" t="s">
        <v>2</v>
      </c>
      <c r="F1228" t="s">
        <v>50</v>
      </c>
      <c r="G1228" t="s">
        <v>72</v>
      </c>
      <c r="H1228" t="s">
        <v>6931</v>
      </c>
      <c r="I1228" t="s">
        <v>52</v>
      </c>
      <c r="J1228" t="s">
        <v>150</v>
      </c>
      <c r="K1228" t="s">
        <v>54</v>
      </c>
      <c r="L1228" t="s">
        <v>74</v>
      </c>
      <c r="O1228" t="s">
        <v>75</v>
      </c>
      <c r="P1228" t="s">
        <v>76</v>
      </c>
      <c r="Q1228" t="s">
        <v>6932</v>
      </c>
      <c r="R1228" t="s">
        <v>6933</v>
      </c>
      <c r="S1228" t="s">
        <v>2895</v>
      </c>
      <c r="T1228" t="s">
        <v>2896</v>
      </c>
      <c r="U1228" t="s">
        <v>2897</v>
      </c>
    </row>
    <row r="1229" spans="1:21" hidden="1">
      <c r="A1229" t="s">
        <v>2602</v>
      </c>
      <c r="B1229" t="s">
        <v>6917</v>
      </c>
      <c r="C1229" t="s">
        <v>5422</v>
      </c>
      <c r="D1229" t="s">
        <v>17</v>
      </c>
      <c r="E1229" t="s">
        <v>2</v>
      </c>
      <c r="F1229" t="s">
        <v>50</v>
      </c>
      <c r="G1229" t="s">
        <v>100</v>
      </c>
      <c r="H1229" t="s">
        <v>2969</v>
      </c>
      <c r="I1229" t="s">
        <v>52</v>
      </c>
      <c r="J1229" t="s">
        <v>101</v>
      </c>
      <c r="K1229" t="s">
        <v>54</v>
      </c>
      <c r="L1229" t="s">
        <v>102</v>
      </c>
      <c r="O1229" t="s">
        <v>103</v>
      </c>
      <c r="P1229" t="s">
        <v>104</v>
      </c>
      <c r="Q1229" t="s">
        <v>6934</v>
      </c>
      <c r="R1229" t="s">
        <v>2971</v>
      </c>
      <c r="S1229" t="s">
        <v>2895</v>
      </c>
      <c r="T1229" t="s">
        <v>2896</v>
      </c>
      <c r="U1229" t="s">
        <v>2897</v>
      </c>
    </row>
    <row r="1230" spans="1:21" hidden="1">
      <c r="A1230" t="s">
        <v>2604</v>
      </c>
      <c r="B1230" t="s">
        <v>6935</v>
      </c>
      <c r="C1230" t="s">
        <v>6936</v>
      </c>
      <c r="D1230" t="s">
        <v>17</v>
      </c>
      <c r="E1230" t="s">
        <v>2</v>
      </c>
      <c r="F1230" t="s">
        <v>50</v>
      </c>
      <c r="G1230" t="s">
        <v>51</v>
      </c>
      <c r="H1230" t="s">
        <v>6937</v>
      </c>
      <c r="I1230" t="s">
        <v>52</v>
      </c>
      <c r="J1230" t="s">
        <v>81</v>
      </c>
      <c r="K1230" t="s">
        <v>54</v>
      </c>
      <c r="L1230" t="s">
        <v>55</v>
      </c>
      <c r="O1230" t="s">
        <v>82</v>
      </c>
      <c r="P1230" t="s">
        <v>83</v>
      </c>
      <c r="Q1230" t="s">
        <v>6938</v>
      </c>
      <c r="R1230" t="s">
        <v>6939</v>
      </c>
      <c r="S1230" t="s">
        <v>2895</v>
      </c>
      <c r="T1230" t="s">
        <v>2896</v>
      </c>
      <c r="U1230" t="s">
        <v>2897</v>
      </c>
    </row>
    <row r="1231" spans="1:21" hidden="1">
      <c r="A1231" t="s">
        <v>2606</v>
      </c>
      <c r="B1231" t="s">
        <v>6935</v>
      </c>
      <c r="C1231" t="s">
        <v>4092</v>
      </c>
      <c r="D1231" t="s">
        <v>17</v>
      </c>
      <c r="E1231" t="s">
        <v>2</v>
      </c>
      <c r="F1231" t="s">
        <v>50</v>
      </c>
      <c r="G1231" t="s">
        <v>100</v>
      </c>
      <c r="H1231" t="s">
        <v>2969</v>
      </c>
      <c r="I1231" t="s">
        <v>52</v>
      </c>
      <c r="J1231" t="s">
        <v>101</v>
      </c>
      <c r="K1231" t="s">
        <v>54</v>
      </c>
      <c r="L1231" t="s">
        <v>102</v>
      </c>
      <c r="O1231" t="s">
        <v>103</v>
      </c>
      <c r="P1231" t="s">
        <v>104</v>
      </c>
      <c r="Q1231" t="s">
        <v>6940</v>
      </c>
      <c r="R1231" t="s">
        <v>2971</v>
      </c>
      <c r="S1231" t="s">
        <v>2895</v>
      </c>
      <c r="T1231" t="s">
        <v>2896</v>
      </c>
      <c r="U1231" t="s">
        <v>2897</v>
      </c>
    </row>
    <row r="1232" spans="1:21" hidden="1">
      <c r="A1232" t="s">
        <v>2608</v>
      </c>
      <c r="B1232" t="s">
        <v>6935</v>
      </c>
      <c r="C1232" t="s">
        <v>4272</v>
      </c>
      <c r="D1232" t="s">
        <v>17</v>
      </c>
      <c r="E1232" t="s">
        <v>2</v>
      </c>
      <c r="F1232" t="s">
        <v>50</v>
      </c>
      <c r="G1232" t="s">
        <v>51</v>
      </c>
      <c r="H1232" t="s">
        <v>6941</v>
      </c>
      <c r="I1232" t="s">
        <v>52</v>
      </c>
      <c r="J1232" t="s">
        <v>121</v>
      </c>
      <c r="K1232" t="s">
        <v>54</v>
      </c>
      <c r="L1232" t="s">
        <v>55</v>
      </c>
      <c r="O1232" t="s">
        <v>122</v>
      </c>
      <c r="P1232" t="s">
        <v>123</v>
      </c>
      <c r="Q1232" t="s">
        <v>6942</v>
      </c>
      <c r="R1232" t="s">
        <v>6943</v>
      </c>
      <c r="S1232" t="s">
        <v>2895</v>
      </c>
      <c r="T1232" t="s">
        <v>2896</v>
      </c>
      <c r="U1232" t="s">
        <v>2897</v>
      </c>
    </row>
    <row r="1233" spans="1:21" hidden="1">
      <c r="A1233" t="s">
        <v>2610</v>
      </c>
      <c r="B1233" t="s">
        <v>6935</v>
      </c>
      <c r="C1233" t="s">
        <v>6944</v>
      </c>
      <c r="D1233" t="s">
        <v>17</v>
      </c>
      <c r="E1233" t="s">
        <v>2</v>
      </c>
      <c r="F1233" t="s">
        <v>50</v>
      </c>
      <c r="G1233" t="s">
        <v>2490</v>
      </c>
      <c r="H1233" t="s">
        <v>6945</v>
      </c>
      <c r="I1233" t="s">
        <v>52</v>
      </c>
      <c r="J1233" t="s">
        <v>2491</v>
      </c>
      <c r="K1233" t="s">
        <v>54</v>
      </c>
      <c r="L1233" t="s">
        <v>1970</v>
      </c>
      <c r="M1233" t="s">
        <v>91</v>
      </c>
      <c r="N1233" t="s">
        <v>12</v>
      </c>
      <c r="O1233" t="s">
        <v>2492</v>
      </c>
      <c r="P1233" t="s">
        <v>2493</v>
      </c>
      <c r="Q1233" t="s">
        <v>6946</v>
      </c>
      <c r="R1233" t="s">
        <v>6947</v>
      </c>
      <c r="S1233" t="s">
        <v>2895</v>
      </c>
      <c r="T1233" t="s">
        <v>2896</v>
      </c>
      <c r="U1233" t="s">
        <v>2897</v>
      </c>
    </row>
    <row r="1234" spans="1:21" hidden="1">
      <c r="A1234" t="s">
        <v>2612</v>
      </c>
      <c r="B1234" t="s">
        <v>6935</v>
      </c>
      <c r="C1234" t="s">
        <v>6948</v>
      </c>
      <c r="D1234" t="s">
        <v>17</v>
      </c>
      <c r="E1234" t="s">
        <v>2</v>
      </c>
      <c r="F1234" t="s">
        <v>50</v>
      </c>
      <c r="G1234" t="s">
        <v>100</v>
      </c>
      <c r="H1234" t="s">
        <v>6949</v>
      </c>
      <c r="I1234" t="s">
        <v>52</v>
      </c>
      <c r="J1234" t="s">
        <v>244</v>
      </c>
      <c r="K1234" t="s">
        <v>54</v>
      </c>
      <c r="L1234" t="s">
        <v>102</v>
      </c>
      <c r="O1234" t="s">
        <v>178</v>
      </c>
      <c r="P1234" t="s">
        <v>245</v>
      </c>
      <c r="Q1234" t="s">
        <v>6950</v>
      </c>
      <c r="R1234" t="s">
        <v>6951</v>
      </c>
      <c r="S1234" t="s">
        <v>2895</v>
      </c>
      <c r="T1234" t="s">
        <v>2896</v>
      </c>
      <c r="U1234" t="s">
        <v>2897</v>
      </c>
    </row>
    <row r="1235" spans="1:21" hidden="1">
      <c r="A1235" t="s">
        <v>2614</v>
      </c>
      <c r="B1235" t="s">
        <v>6935</v>
      </c>
      <c r="C1235" t="s">
        <v>4360</v>
      </c>
      <c r="D1235" t="s">
        <v>17</v>
      </c>
      <c r="E1235" t="s">
        <v>2</v>
      </c>
      <c r="F1235" t="s">
        <v>50</v>
      </c>
      <c r="G1235" t="s">
        <v>51</v>
      </c>
      <c r="H1235" t="s">
        <v>6952</v>
      </c>
      <c r="I1235" t="s">
        <v>52</v>
      </c>
      <c r="J1235" t="s">
        <v>53</v>
      </c>
      <c r="K1235" t="s">
        <v>54</v>
      </c>
      <c r="L1235" t="s">
        <v>55</v>
      </c>
      <c r="O1235" t="s">
        <v>56</v>
      </c>
      <c r="P1235" t="s">
        <v>57</v>
      </c>
      <c r="Q1235" t="s">
        <v>6953</v>
      </c>
      <c r="R1235" t="s">
        <v>6954</v>
      </c>
      <c r="S1235" t="s">
        <v>2895</v>
      </c>
      <c r="T1235" t="s">
        <v>2896</v>
      </c>
      <c r="U1235" t="s">
        <v>2897</v>
      </c>
    </row>
    <row r="1236" spans="1:21" hidden="1">
      <c r="A1236" t="s">
        <v>2616</v>
      </c>
      <c r="B1236" t="s">
        <v>6935</v>
      </c>
      <c r="C1236" t="s">
        <v>6113</v>
      </c>
      <c r="D1236" t="s">
        <v>17</v>
      </c>
      <c r="E1236" t="s">
        <v>2</v>
      </c>
      <c r="F1236" t="s">
        <v>50</v>
      </c>
      <c r="G1236" t="s">
        <v>51</v>
      </c>
      <c r="H1236" t="s">
        <v>6955</v>
      </c>
      <c r="I1236" t="s">
        <v>52</v>
      </c>
      <c r="J1236" t="s">
        <v>196</v>
      </c>
      <c r="K1236" t="s">
        <v>54</v>
      </c>
      <c r="L1236" t="s">
        <v>55</v>
      </c>
      <c r="O1236" t="s">
        <v>197</v>
      </c>
      <c r="P1236" t="s">
        <v>198</v>
      </c>
      <c r="Q1236" t="s">
        <v>6956</v>
      </c>
      <c r="R1236" t="s">
        <v>6957</v>
      </c>
      <c r="S1236" t="s">
        <v>2895</v>
      </c>
      <c r="T1236" t="s">
        <v>2896</v>
      </c>
      <c r="U1236" t="s">
        <v>2897</v>
      </c>
    </row>
    <row r="1237" spans="1:21" hidden="1">
      <c r="A1237" t="s">
        <v>2618</v>
      </c>
      <c r="B1237" t="s">
        <v>6935</v>
      </c>
      <c r="C1237" t="s">
        <v>4161</v>
      </c>
      <c r="D1237" t="s">
        <v>17</v>
      </c>
      <c r="E1237" t="s">
        <v>2</v>
      </c>
      <c r="F1237" t="s">
        <v>149</v>
      </c>
      <c r="G1237" t="s">
        <v>72</v>
      </c>
      <c r="H1237" t="s">
        <v>6958</v>
      </c>
      <c r="I1237" t="s">
        <v>52</v>
      </c>
      <c r="J1237" t="s">
        <v>606</v>
      </c>
      <c r="K1237" t="s">
        <v>54</v>
      </c>
      <c r="L1237" t="s">
        <v>74</v>
      </c>
      <c r="O1237" t="s">
        <v>75</v>
      </c>
      <c r="P1237" t="s">
        <v>76</v>
      </c>
      <c r="Q1237" t="s">
        <v>6959</v>
      </c>
      <c r="R1237" t="s">
        <v>6958</v>
      </c>
      <c r="S1237" t="s">
        <v>2895</v>
      </c>
      <c r="T1237" t="s">
        <v>2896</v>
      </c>
      <c r="U1237" t="s">
        <v>2897</v>
      </c>
    </row>
    <row r="1238" spans="1:21" hidden="1">
      <c r="A1238" t="s">
        <v>2620</v>
      </c>
      <c r="B1238" t="s">
        <v>6935</v>
      </c>
      <c r="C1238" t="s">
        <v>6960</v>
      </c>
      <c r="D1238" t="s">
        <v>17</v>
      </c>
      <c r="E1238" t="s">
        <v>2</v>
      </c>
      <c r="F1238" t="s">
        <v>50</v>
      </c>
      <c r="G1238" t="s">
        <v>100</v>
      </c>
      <c r="H1238" t="s">
        <v>6961</v>
      </c>
      <c r="I1238" t="s">
        <v>52</v>
      </c>
      <c r="J1238" t="s">
        <v>114</v>
      </c>
      <c r="K1238" t="s">
        <v>54</v>
      </c>
      <c r="L1238" t="s">
        <v>102</v>
      </c>
      <c r="O1238" t="s">
        <v>103</v>
      </c>
      <c r="P1238" t="s">
        <v>104</v>
      </c>
      <c r="Q1238" t="s">
        <v>6962</v>
      </c>
      <c r="R1238" t="s">
        <v>6963</v>
      </c>
      <c r="S1238" t="s">
        <v>2895</v>
      </c>
      <c r="T1238" t="s">
        <v>2896</v>
      </c>
      <c r="U1238" t="s">
        <v>2897</v>
      </c>
    </row>
    <row r="1239" spans="1:21" hidden="1">
      <c r="A1239" t="s">
        <v>2622</v>
      </c>
      <c r="B1239" t="s">
        <v>6935</v>
      </c>
      <c r="C1239" t="s">
        <v>6964</v>
      </c>
      <c r="D1239" t="s">
        <v>17</v>
      </c>
      <c r="E1239" t="s">
        <v>2</v>
      </c>
      <c r="F1239" t="s">
        <v>50</v>
      </c>
      <c r="G1239" t="s">
        <v>100</v>
      </c>
      <c r="H1239" t="s">
        <v>2969</v>
      </c>
      <c r="I1239" t="s">
        <v>52</v>
      </c>
      <c r="J1239" t="s">
        <v>101</v>
      </c>
      <c r="K1239" t="s">
        <v>54</v>
      </c>
      <c r="L1239" t="s">
        <v>102</v>
      </c>
      <c r="O1239" t="s">
        <v>103</v>
      </c>
      <c r="P1239" t="s">
        <v>104</v>
      </c>
      <c r="Q1239" t="s">
        <v>6965</v>
      </c>
      <c r="R1239" t="s">
        <v>2971</v>
      </c>
      <c r="S1239" t="s">
        <v>2895</v>
      </c>
      <c r="T1239" t="s">
        <v>2896</v>
      </c>
      <c r="U1239" t="s">
        <v>2897</v>
      </c>
    </row>
    <row r="1240" spans="1:21" hidden="1">
      <c r="A1240" t="s">
        <v>2624</v>
      </c>
      <c r="B1240" t="s">
        <v>6966</v>
      </c>
      <c r="C1240" t="s">
        <v>6624</v>
      </c>
      <c r="D1240" t="s">
        <v>17</v>
      </c>
      <c r="E1240" t="s">
        <v>2</v>
      </c>
      <c r="F1240" t="s">
        <v>50</v>
      </c>
      <c r="G1240" t="s">
        <v>51</v>
      </c>
      <c r="H1240" t="s">
        <v>6264</v>
      </c>
      <c r="I1240" t="s">
        <v>52</v>
      </c>
      <c r="J1240" t="s">
        <v>121</v>
      </c>
      <c r="K1240" t="s">
        <v>54</v>
      </c>
      <c r="L1240" t="s">
        <v>55</v>
      </c>
      <c r="O1240" t="s">
        <v>122</v>
      </c>
      <c r="P1240" t="s">
        <v>123</v>
      </c>
      <c r="Q1240" t="s">
        <v>6967</v>
      </c>
      <c r="R1240" t="s">
        <v>6266</v>
      </c>
      <c r="S1240" t="s">
        <v>2895</v>
      </c>
      <c r="T1240" t="s">
        <v>2896</v>
      </c>
      <c r="U1240" t="s">
        <v>2897</v>
      </c>
    </row>
    <row r="1241" spans="1:21" hidden="1">
      <c r="A1241" t="s">
        <v>2626</v>
      </c>
      <c r="B1241" t="s">
        <v>6966</v>
      </c>
      <c r="C1241" t="s">
        <v>5622</v>
      </c>
      <c r="D1241" t="s">
        <v>17</v>
      </c>
      <c r="E1241" t="s">
        <v>2</v>
      </c>
      <c r="F1241" t="s">
        <v>50</v>
      </c>
      <c r="G1241" t="s">
        <v>51</v>
      </c>
      <c r="H1241" t="s">
        <v>6968</v>
      </c>
      <c r="I1241" t="s">
        <v>52</v>
      </c>
      <c r="J1241" t="s">
        <v>81</v>
      </c>
      <c r="K1241" t="s">
        <v>54</v>
      </c>
      <c r="L1241" t="s">
        <v>55</v>
      </c>
      <c r="O1241" t="s">
        <v>82</v>
      </c>
      <c r="P1241" t="s">
        <v>83</v>
      </c>
      <c r="Q1241" t="s">
        <v>6969</v>
      </c>
      <c r="R1241" t="s">
        <v>6970</v>
      </c>
      <c r="S1241" t="s">
        <v>2895</v>
      </c>
      <c r="T1241" t="s">
        <v>2896</v>
      </c>
      <c r="U1241" t="s">
        <v>2897</v>
      </c>
    </row>
    <row r="1242" spans="1:21" hidden="1">
      <c r="A1242" t="s">
        <v>2628</v>
      </c>
      <c r="B1242" t="s">
        <v>6966</v>
      </c>
      <c r="C1242" t="s">
        <v>2991</v>
      </c>
      <c r="D1242" t="s">
        <v>17</v>
      </c>
      <c r="E1242" t="s">
        <v>2</v>
      </c>
      <c r="F1242" t="s">
        <v>50</v>
      </c>
      <c r="G1242" t="s">
        <v>72</v>
      </c>
      <c r="H1242" t="s">
        <v>6971</v>
      </c>
      <c r="I1242" t="s">
        <v>52</v>
      </c>
      <c r="J1242" t="s">
        <v>150</v>
      </c>
      <c r="K1242" t="s">
        <v>54</v>
      </c>
      <c r="L1242" t="s">
        <v>74</v>
      </c>
      <c r="O1242" t="s">
        <v>75</v>
      </c>
      <c r="P1242" t="s">
        <v>76</v>
      </c>
      <c r="Q1242" t="s">
        <v>6972</v>
      </c>
      <c r="R1242" t="s">
        <v>6973</v>
      </c>
      <c r="S1242" t="s">
        <v>2895</v>
      </c>
      <c r="T1242" t="s">
        <v>2896</v>
      </c>
      <c r="U1242" t="s">
        <v>2897</v>
      </c>
    </row>
    <row r="1243" spans="1:21" hidden="1">
      <c r="A1243" t="s">
        <v>2630</v>
      </c>
      <c r="B1243" t="s">
        <v>6966</v>
      </c>
      <c r="C1243" t="s">
        <v>5098</v>
      </c>
      <c r="D1243" t="s">
        <v>17</v>
      </c>
      <c r="E1243" t="s">
        <v>2</v>
      </c>
      <c r="F1243" t="s">
        <v>50</v>
      </c>
      <c r="G1243" t="s">
        <v>51</v>
      </c>
      <c r="H1243" t="s">
        <v>6974</v>
      </c>
      <c r="I1243" t="s">
        <v>52</v>
      </c>
      <c r="J1243" t="s">
        <v>81</v>
      </c>
      <c r="K1243" t="s">
        <v>54</v>
      </c>
      <c r="L1243" t="s">
        <v>55</v>
      </c>
      <c r="O1243" t="s">
        <v>82</v>
      </c>
      <c r="P1243" t="s">
        <v>83</v>
      </c>
      <c r="Q1243" t="s">
        <v>6975</v>
      </c>
      <c r="R1243" t="s">
        <v>6976</v>
      </c>
      <c r="S1243" t="s">
        <v>2895</v>
      </c>
      <c r="T1243" t="s">
        <v>2896</v>
      </c>
      <c r="U1243" t="s">
        <v>2897</v>
      </c>
    </row>
    <row r="1244" spans="1:21" hidden="1">
      <c r="A1244" t="s">
        <v>2631</v>
      </c>
      <c r="B1244" t="s">
        <v>6966</v>
      </c>
      <c r="C1244" t="s">
        <v>4031</v>
      </c>
      <c r="D1244" t="s">
        <v>17</v>
      </c>
      <c r="E1244" t="s">
        <v>2</v>
      </c>
      <c r="F1244" t="s">
        <v>50</v>
      </c>
      <c r="G1244" t="s">
        <v>51</v>
      </c>
      <c r="H1244" t="s">
        <v>4453</v>
      </c>
      <c r="I1244" t="s">
        <v>52</v>
      </c>
      <c r="J1244" t="s">
        <v>53</v>
      </c>
      <c r="K1244" t="s">
        <v>54</v>
      </c>
      <c r="L1244" t="s">
        <v>55</v>
      </c>
      <c r="O1244" t="s">
        <v>56</v>
      </c>
      <c r="P1244" t="s">
        <v>57</v>
      </c>
      <c r="Q1244" t="s">
        <v>6977</v>
      </c>
      <c r="R1244" t="s">
        <v>4455</v>
      </c>
      <c r="S1244" t="s">
        <v>2895</v>
      </c>
      <c r="T1244" t="s">
        <v>2896</v>
      </c>
      <c r="U1244" t="s">
        <v>2897</v>
      </c>
    </row>
    <row r="1245" spans="1:21" hidden="1">
      <c r="A1245" t="s">
        <v>2633</v>
      </c>
      <c r="B1245" t="s">
        <v>6966</v>
      </c>
      <c r="C1245" t="s">
        <v>6978</v>
      </c>
      <c r="D1245" t="s">
        <v>17</v>
      </c>
      <c r="E1245" t="s">
        <v>2</v>
      </c>
      <c r="F1245" t="s">
        <v>50</v>
      </c>
      <c r="G1245" t="s">
        <v>51</v>
      </c>
      <c r="H1245" t="s">
        <v>6979</v>
      </c>
      <c r="I1245" t="s">
        <v>52</v>
      </c>
      <c r="J1245" t="s">
        <v>53</v>
      </c>
      <c r="K1245" t="s">
        <v>54</v>
      </c>
      <c r="L1245" t="s">
        <v>55</v>
      </c>
      <c r="O1245" t="s">
        <v>56</v>
      </c>
      <c r="P1245" t="s">
        <v>57</v>
      </c>
      <c r="Q1245" t="s">
        <v>6980</v>
      </c>
      <c r="R1245" t="s">
        <v>6981</v>
      </c>
      <c r="S1245" t="s">
        <v>2895</v>
      </c>
      <c r="T1245" t="s">
        <v>2896</v>
      </c>
      <c r="U1245" t="s">
        <v>2897</v>
      </c>
    </row>
    <row r="1246" spans="1:21" hidden="1">
      <c r="A1246" t="s">
        <v>2635</v>
      </c>
      <c r="B1246" t="s">
        <v>6982</v>
      </c>
      <c r="C1246" t="s">
        <v>6983</v>
      </c>
      <c r="D1246" t="s">
        <v>17</v>
      </c>
      <c r="E1246" t="s">
        <v>2</v>
      </c>
      <c r="F1246" t="s">
        <v>50</v>
      </c>
      <c r="G1246" t="s">
        <v>51</v>
      </c>
      <c r="H1246" t="s">
        <v>6984</v>
      </c>
      <c r="I1246" t="s">
        <v>52</v>
      </c>
      <c r="J1246" t="s">
        <v>126</v>
      </c>
      <c r="K1246" t="s">
        <v>54</v>
      </c>
      <c r="L1246" t="s">
        <v>55</v>
      </c>
      <c r="O1246" t="s">
        <v>56</v>
      </c>
      <c r="P1246" t="s">
        <v>57</v>
      </c>
      <c r="Q1246" t="s">
        <v>6985</v>
      </c>
      <c r="R1246" t="s">
        <v>6986</v>
      </c>
      <c r="S1246" t="s">
        <v>2895</v>
      </c>
      <c r="T1246" t="s">
        <v>2896</v>
      </c>
      <c r="U1246" t="s">
        <v>2897</v>
      </c>
    </row>
    <row r="1247" spans="1:21" hidden="1">
      <c r="A1247" t="s">
        <v>2637</v>
      </c>
      <c r="B1247" t="s">
        <v>6982</v>
      </c>
      <c r="C1247" t="s">
        <v>6987</v>
      </c>
      <c r="D1247" t="s">
        <v>17</v>
      </c>
      <c r="E1247" t="s">
        <v>2</v>
      </c>
      <c r="F1247" t="s">
        <v>50</v>
      </c>
      <c r="G1247" t="s">
        <v>51</v>
      </c>
      <c r="H1247" t="s">
        <v>5050</v>
      </c>
      <c r="I1247" t="s">
        <v>52</v>
      </c>
      <c r="J1247" t="s">
        <v>81</v>
      </c>
      <c r="K1247" t="s">
        <v>54</v>
      </c>
      <c r="L1247" t="s">
        <v>55</v>
      </c>
      <c r="O1247" t="s">
        <v>82</v>
      </c>
      <c r="P1247" t="s">
        <v>83</v>
      </c>
      <c r="Q1247" t="s">
        <v>6988</v>
      </c>
      <c r="R1247" t="s">
        <v>5052</v>
      </c>
      <c r="S1247" t="s">
        <v>2895</v>
      </c>
      <c r="T1247" t="s">
        <v>2896</v>
      </c>
      <c r="U1247" t="s">
        <v>2897</v>
      </c>
    </row>
    <row r="1248" spans="1:21" hidden="1">
      <c r="A1248" t="s">
        <v>2639</v>
      </c>
      <c r="B1248" t="s">
        <v>6982</v>
      </c>
      <c r="C1248" t="s">
        <v>6855</v>
      </c>
      <c r="D1248" t="s">
        <v>17</v>
      </c>
      <c r="E1248" t="s">
        <v>2</v>
      </c>
      <c r="F1248" t="s">
        <v>50</v>
      </c>
      <c r="G1248" t="s">
        <v>100</v>
      </c>
      <c r="H1248" t="s">
        <v>2969</v>
      </c>
      <c r="I1248" t="s">
        <v>52</v>
      </c>
      <c r="J1248" t="s">
        <v>101</v>
      </c>
      <c r="K1248" t="s">
        <v>54</v>
      </c>
      <c r="L1248" t="s">
        <v>102</v>
      </c>
      <c r="O1248" t="s">
        <v>103</v>
      </c>
      <c r="P1248" t="s">
        <v>104</v>
      </c>
      <c r="Q1248" t="s">
        <v>6989</v>
      </c>
      <c r="R1248" t="s">
        <v>2971</v>
      </c>
      <c r="S1248" t="s">
        <v>2895</v>
      </c>
      <c r="T1248" t="s">
        <v>2896</v>
      </c>
      <c r="U1248" t="s">
        <v>2897</v>
      </c>
    </row>
    <row r="1249" spans="1:21" hidden="1">
      <c r="A1249" t="s">
        <v>2641</v>
      </c>
      <c r="B1249" t="s">
        <v>6982</v>
      </c>
      <c r="C1249" t="s">
        <v>3198</v>
      </c>
      <c r="D1249" t="s">
        <v>17</v>
      </c>
      <c r="E1249" t="s">
        <v>2</v>
      </c>
      <c r="F1249" t="s">
        <v>50</v>
      </c>
      <c r="G1249" t="s">
        <v>100</v>
      </c>
      <c r="H1249" t="s">
        <v>6990</v>
      </c>
      <c r="I1249" t="s">
        <v>52</v>
      </c>
      <c r="J1249" t="s">
        <v>114</v>
      </c>
      <c r="K1249" t="s">
        <v>54</v>
      </c>
      <c r="L1249" t="s">
        <v>102</v>
      </c>
      <c r="O1249" t="s">
        <v>103</v>
      </c>
      <c r="P1249" t="s">
        <v>104</v>
      </c>
      <c r="Q1249" t="s">
        <v>6991</v>
      </c>
      <c r="R1249" t="s">
        <v>6992</v>
      </c>
      <c r="S1249" t="s">
        <v>2895</v>
      </c>
      <c r="T1249" t="s">
        <v>2896</v>
      </c>
      <c r="U1249" t="s">
        <v>2897</v>
      </c>
    </row>
    <row r="1250" spans="1:21" hidden="1">
      <c r="A1250" t="s">
        <v>2643</v>
      </c>
      <c r="B1250" t="s">
        <v>6982</v>
      </c>
      <c r="C1250" t="s">
        <v>3851</v>
      </c>
      <c r="D1250" t="s">
        <v>17</v>
      </c>
      <c r="E1250" t="s">
        <v>2</v>
      </c>
      <c r="F1250" t="s">
        <v>50</v>
      </c>
      <c r="G1250" t="s">
        <v>100</v>
      </c>
      <c r="H1250" t="s">
        <v>2969</v>
      </c>
      <c r="I1250" t="s">
        <v>52</v>
      </c>
      <c r="J1250" t="s">
        <v>101</v>
      </c>
      <c r="K1250" t="s">
        <v>54</v>
      </c>
      <c r="L1250" t="s">
        <v>102</v>
      </c>
      <c r="O1250" t="s">
        <v>103</v>
      </c>
      <c r="P1250" t="s">
        <v>104</v>
      </c>
      <c r="Q1250" t="s">
        <v>6993</v>
      </c>
      <c r="R1250" t="s">
        <v>2971</v>
      </c>
      <c r="S1250" t="s">
        <v>2895</v>
      </c>
      <c r="T1250" t="s">
        <v>2896</v>
      </c>
      <c r="U1250" t="s">
        <v>2897</v>
      </c>
    </row>
    <row r="1251" spans="1:21" hidden="1">
      <c r="A1251" t="s">
        <v>2645</v>
      </c>
      <c r="B1251" t="s">
        <v>6994</v>
      </c>
      <c r="C1251" t="s">
        <v>6995</v>
      </c>
      <c r="D1251" t="s">
        <v>17</v>
      </c>
      <c r="E1251" t="s">
        <v>2</v>
      </c>
      <c r="F1251" t="s">
        <v>50</v>
      </c>
      <c r="G1251" t="s">
        <v>51</v>
      </c>
      <c r="H1251" t="s">
        <v>6996</v>
      </c>
      <c r="I1251" t="s">
        <v>52</v>
      </c>
      <c r="J1251" t="s">
        <v>81</v>
      </c>
      <c r="K1251" t="s">
        <v>54</v>
      </c>
      <c r="L1251" t="s">
        <v>55</v>
      </c>
      <c r="O1251" t="s">
        <v>82</v>
      </c>
      <c r="P1251" t="s">
        <v>83</v>
      </c>
      <c r="Q1251" t="s">
        <v>6997</v>
      </c>
      <c r="R1251" t="s">
        <v>6998</v>
      </c>
      <c r="S1251" t="s">
        <v>2895</v>
      </c>
      <c r="T1251" t="s">
        <v>2896</v>
      </c>
      <c r="U1251" t="s">
        <v>2897</v>
      </c>
    </row>
    <row r="1252" spans="1:21" hidden="1">
      <c r="A1252" t="s">
        <v>2647</v>
      </c>
      <c r="B1252" t="s">
        <v>6994</v>
      </c>
      <c r="C1252" t="s">
        <v>6999</v>
      </c>
      <c r="D1252" t="s">
        <v>17</v>
      </c>
      <c r="E1252" t="s">
        <v>2</v>
      </c>
      <c r="F1252" t="s">
        <v>50</v>
      </c>
      <c r="G1252" t="s">
        <v>51</v>
      </c>
      <c r="H1252" t="s">
        <v>7000</v>
      </c>
      <c r="I1252" t="s">
        <v>52</v>
      </c>
      <c r="J1252" t="s">
        <v>196</v>
      </c>
      <c r="K1252" t="s">
        <v>54</v>
      </c>
      <c r="L1252" t="s">
        <v>55</v>
      </c>
      <c r="O1252" t="s">
        <v>197</v>
      </c>
      <c r="P1252" t="s">
        <v>198</v>
      </c>
      <c r="Q1252" t="s">
        <v>7001</v>
      </c>
      <c r="R1252" t="s">
        <v>7002</v>
      </c>
      <c r="S1252" t="s">
        <v>2895</v>
      </c>
      <c r="T1252" t="s">
        <v>2896</v>
      </c>
      <c r="U1252" t="s">
        <v>2897</v>
      </c>
    </row>
    <row r="1253" spans="1:21" hidden="1">
      <c r="A1253" t="s">
        <v>2649</v>
      </c>
      <c r="B1253" t="s">
        <v>6994</v>
      </c>
      <c r="C1253" t="s">
        <v>6785</v>
      </c>
      <c r="D1253" t="s">
        <v>17</v>
      </c>
      <c r="E1253" t="s">
        <v>2</v>
      </c>
      <c r="F1253" t="s">
        <v>50</v>
      </c>
      <c r="G1253" t="s">
        <v>51</v>
      </c>
      <c r="H1253" t="s">
        <v>7003</v>
      </c>
      <c r="I1253" t="s">
        <v>52</v>
      </c>
      <c r="J1253" t="s">
        <v>53</v>
      </c>
      <c r="K1253" t="s">
        <v>54</v>
      </c>
      <c r="L1253" t="s">
        <v>55</v>
      </c>
      <c r="O1253" t="s">
        <v>56</v>
      </c>
      <c r="P1253" t="s">
        <v>57</v>
      </c>
      <c r="Q1253" t="s">
        <v>7004</v>
      </c>
      <c r="R1253" t="s">
        <v>7005</v>
      </c>
      <c r="S1253" t="s">
        <v>2895</v>
      </c>
      <c r="T1253" t="s">
        <v>2896</v>
      </c>
      <c r="U1253" t="s">
        <v>2897</v>
      </c>
    </row>
    <row r="1254" spans="1:21" hidden="1">
      <c r="A1254" t="s">
        <v>2651</v>
      </c>
      <c r="B1254" t="s">
        <v>6994</v>
      </c>
      <c r="C1254" t="s">
        <v>3717</v>
      </c>
      <c r="D1254" t="s">
        <v>17</v>
      </c>
      <c r="E1254" t="s">
        <v>2</v>
      </c>
      <c r="F1254" t="s">
        <v>50</v>
      </c>
      <c r="G1254" t="s">
        <v>51</v>
      </c>
      <c r="H1254" t="s">
        <v>7006</v>
      </c>
      <c r="I1254" t="s">
        <v>52</v>
      </c>
      <c r="J1254" t="s">
        <v>53</v>
      </c>
      <c r="K1254" t="s">
        <v>54</v>
      </c>
      <c r="L1254" t="s">
        <v>55</v>
      </c>
      <c r="O1254" t="s">
        <v>56</v>
      </c>
      <c r="P1254" t="s">
        <v>57</v>
      </c>
      <c r="Q1254" t="s">
        <v>7007</v>
      </c>
      <c r="R1254" t="s">
        <v>7008</v>
      </c>
      <c r="S1254" t="s">
        <v>2895</v>
      </c>
      <c r="T1254" t="s">
        <v>2896</v>
      </c>
      <c r="U1254" t="s">
        <v>2897</v>
      </c>
    </row>
    <row r="1255" spans="1:21" hidden="1">
      <c r="A1255" t="s">
        <v>2653</v>
      </c>
      <c r="B1255" t="s">
        <v>6994</v>
      </c>
      <c r="C1255" t="s">
        <v>5729</v>
      </c>
      <c r="D1255" t="s">
        <v>17</v>
      </c>
      <c r="E1255" t="s">
        <v>2</v>
      </c>
      <c r="F1255" t="s">
        <v>149</v>
      </c>
      <c r="G1255" t="s">
        <v>321</v>
      </c>
      <c r="H1255" t="s">
        <v>7009</v>
      </c>
      <c r="I1255" t="s">
        <v>52</v>
      </c>
      <c r="J1255" t="s">
        <v>9</v>
      </c>
      <c r="K1255" t="s">
        <v>54</v>
      </c>
      <c r="L1255" t="s">
        <v>102</v>
      </c>
      <c r="O1255" t="s">
        <v>322</v>
      </c>
      <c r="P1255" t="s">
        <v>323</v>
      </c>
      <c r="Q1255" t="s">
        <v>7010</v>
      </c>
      <c r="R1255" t="s">
        <v>7009</v>
      </c>
      <c r="S1255" t="s">
        <v>2895</v>
      </c>
      <c r="T1255" t="s">
        <v>2896</v>
      </c>
      <c r="U1255" t="s">
        <v>2897</v>
      </c>
    </row>
    <row r="1256" spans="1:21" hidden="1">
      <c r="A1256" t="s">
        <v>2655</v>
      </c>
      <c r="B1256" t="s">
        <v>6994</v>
      </c>
      <c r="C1256" t="s">
        <v>7011</v>
      </c>
      <c r="D1256" t="s">
        <v>17</v>
      </c>
      <c r="E1256" t="s">
        <v>2</v>
      </c>
      <c r="F1256" t="s">
        <v>50</v>
      </c>
      <c r="G1256" t="s">
        <v>100</v>
      </c>
      <c r="H1256" t="s">
        <v>7012</v>
      </c>
      <c r="I1256" t="s">
        <v>52</v>
      </c>
      <c r="J1256" t="s">
        <v>114</v>
      </c>
      <c r="K1256" t="s">
        <v>54</v>
      </c>
      <c r="L1256" t="s">
        <v>102</v>
      </c>
      <c r="O1256" t="s">
        <v>103</v>
      </c>
      <c r="P1256" t="s">
        <v>104</v>
      </c>
      <c r="Q1256" t="s">
        <v>7013</v>
      </c>
      <c r="R1256" t="s">
        <v>7014</v>
      </c>
      <c r="S1256" t="s">
        <v>2895</v>
      </c>
      <c r="T1256" t="s">
        <v>2896</v>
      </c>
      <c r="U1256" t="s">
        <v>2897</v>
      </c>
    </row>
    <row r="1257" spans="1:21" hidden="1">
      <c r="A1257" t="s">
        <v>2657</v>
      </c>
      <c r="B1257" t="s">
        <v>7015</v>
      </c>
      <c r="C1257" t="s">
        <v>6995</v>
      </c>
      <c r="D1257" t="s">
        <v>17</v>
      </c>
      <c r="E1257" t="s">
        <v>2</v>
      </c>
      <c r="F1257" t="s">
        <v>50</v>
      </c>
      <c r="G1257" t="s">
        <v>100</v>
      </c>
      <c r="H1257" t="s">
        <v>2969</v>
      </c>
      <c r="I1257" t="s">
        <v>52</v>
      </c>
      <c r="J1257" t="s">
        <v>101</v>
      </c>
      <c r="K1257" t="s">
        <v>54</v>
      </c>
      <c r="L1257" t="s">
        <v>102</v>
      </c>
      <c r="O1257" t="s">
        <v>103</v>
      </c>
      <c r="P1257" t="s">
        <v>104</v>
      </c>
      <c r="Q1257" t="s">
        <v>7016</v>
      </c>
      <c r="R1257" t="s">
        <v>2971</v>
      </c>
      <c r="S1257" t="s">
        <v>2895</v>
      </c>
      <c r="T1257" t="s">
        <v>2896</v>
      </c>
      <c r="U1257" t="s">
        <v>2897</v>
      </c>
    </row>
    <row r="1258" spans="1:21" hidden="1">
      <c r="A1258" t="s">
        <v>2659</v>
      </c>
      <c r="B1258" t="s">
        <v>7015</v>
      </c>
      <c r="C1258" t="s">
        <v>3655</v>
      </c>
      <c r="D1258" t="s">
        <v>17</v>
      </c>
      <c r="E1258" t="s">
        <v>2</v>
      </c>
      <c r="F1258" t="s">
        <v>50</v>
      </c>
      <c r="G1258" t="s">
        <v>51</v>
      </c>
      <c r="H1258" t="s">
        <v>7017</v>
      </c>
      <c r="I1258" t="s">
        <v>52</v>
      </c>
      <c r="J1258" t="s">
        <v>81</v>
      </c>
      <c r="K1258" t="s">
        <v>54</v>
      </c>
      <c r="L1258" t="s">
        <v>55</v>
      </c>
      <c r="O1258" t="s">
        <v>82</v>
      </c>
      <c r="P1258" t="s">
        <v>83</v>
      </c>
      <c r="Q1258" t="s">
        <v>7018</v>
      </c>
      <c r="R1258" t="s">
        <v>7019</v>
      </c>
      <c r="S1258" t="s">
        <v>2895</v>
      </c>
      <c r="T1258" t="s">
        <v>2896</v>
      </c>
      <c r="U1258" t="s">
        <v>2897</v>
      </c>
    </row>
    <row r="1259" spans="1:21" hidden="1">
      <c r="A1259" t="s">
        <v>2661</v>
      </c>
      <c r="B1259" t="s">
        <v>7015</v>
      </c>
      <c r="C1259" t="s">
        <v>3131</v>
      </c>
      <c r="D1259" t="s">
        <v>17</v>
      </c>
      <c r="E1259" t="s">
        <v>2</v>
      </c>
      <c r="F1259" t="s">
        <v>50</v>
      </c>
      <c r="G1259" t="s">
        <v>51</v>
      </c>
      <c r="H1259" t="s">
        <v>3928</v>
      </c>
      <c r="I1259" t="s">
        <v>52</v>
      </c>
      <c r="J1259" t="s">
        <v>53</v>
      </c>
      <c r="K1259" t="s">
        <v>54</v>
      </c>
      <c r="L1259" t="s">
        <v>55</v>
      </c>
      <c r="O1259" t="s">
        <v>56</v>
      </c>
      <c r="P1259" t="s">
        <v>57</v>
      </c>
      <c r="Q1259" t="s">
        <v>7020</v>
      </c>
      <c r="R1259" t="s">
        <v>3930</v>
      </c>
      <c r="S1259" t="s">
        <v>2895</v>
      </c>
      <c r="T1259" t="s">
        <v>2896</v>
      </c>
      <c r="U1259" t="s">
        <v>2897</v>
      </c>
    </row>
    <row r="1260" spans="1:21" hidden="1">
      <c r="A1260" t="s">
        <v>2662</v>
      </c>
      <c r="B1260" t="s">
        <v>7015</v>
      </c>
      <c r="C1260" t="s">
        <v>3454</v>
      </c>
      <c r="D1260" t="s">
        <v>17</v>
      </c>
      <c r="E1260" t="s">
        <v>2</v>
      </c>
      <c r="F1260" t="s">
        <v>50</v>
      </c>
      <c r="G1260" t="s">
        <v>51</v>
      </c>
      <c r="H1260" t="s">
        <v>7021</v>
      </c>
      <c r="I1260" t="s">
        <v>52</v>
      </c>
      <c r="J1260" t="s">
        <v>196</v>
      </c>
      <c r="K1260" t="s">
        <v>54</v>
      </c>
      <c r="L1260" t="s">
        <v>55</v>
      </c>
      <c r="O1260" t="s">
        <v>197</v>
      </c>
      <c r="P1260" t="s">
        <v>198</v>
      </c>
      <c r="Q1260" t="s">
        <v>7022</v>
      </c>
      <c r="R1260" t="s">
        <v>7023</v>
      </c>
      <c r="S1260" t="s">
        <v>2895</v>
      </c>
      <c r="T1260" t="s">
        <v>2896</v>
      </c>
      <c r="U1260" t="s">
        <v>2897</v>
      </c>
    </row>
    <row r="1261" spans="1:21" hidden="1">
      <c r="A1261" t="s">
        <v>2664</v>
      </c>
      <c r="B1261" t="s">
        <v>7015</v>
      </c>
      <c r="C1261" t="s">
        <v>5418</v>
      </c>
      <c r="D1261" t="s">
        <v>17</v>
      </c>
      <c r="E1261" t="s">
        <v>2</v>
      </c>
      <c r="F1261" t="s">
        <v>50</v>
      </c>
      <c r="G1261" t="s">
        <v>51</v>
      </c>
      <c r="H1261" t="s">
        <v>7024</v>
      </c>
      <c r="I1261" t="s">
        <v>52</v>
      </c>
      <c r="J1261" t="s">
        <v>65</v>
      </c>
      <c r="K1261" t="s">
        <v>54</v>
      </c>
      <c r="L1261" t="s">
        <v>55</v>
      </c>
      <c r="O1261" t="s">
        <v>66</v>
      </c>
      <c r="P1261" t="s">
        <v>67</v>
      </c>
      <c r="Q1261" t="s">
        <v>7025</v>
      </c>
      <c r="R1261" t="s">
        <v>7026</v>
      </c>
      <c r="S1261" t="s">
        <v>2895</v>
      </c>
      <c r="T1261" t="s">
        <v>2896</v>
      </c>
      <c r="U1261" t="s">
        <v>2897</v>
      </c>
    </row>
    <row r="1262" spans="1:21" hidden="1">
      <c r="A1262" t="s">
        <v>2666</v>
      </c>
      <c r="B1262" t="s">
        <v>7027</v>
      </c>
      <c r="C1262" t="s">
        <v>6673</v>
      </c>
      <c r="D1262" t="s">
        <v>17</v>
      </c>
      <c r="E1262" t="s">
        <v>2</v>
      </c>
      <c r="F1262" t="s">
        <v>50</v>
      </c>
      <c r="G1262" t="s">
        <v>51</v>
      </c>
      <c r="H1262" t="s">
        <v>7028</v>
      </c>
      <c r="I1262" t="s">
        <v>52</v>
      </c>
      <c r="J1262" t="s">
        <v>81</v>
      </c>
      <c r="K1262" t="s">
        <v>54</v>
      </c>
      <c r="L1262" t="s">
        <v>55</v>
      </c>
      <c r="O1262" t="s">
        <v>82</v>
      </c>
      <c r="P1262" t="s">
        <v>83</v>
      </c>
      <c r="Q1262" t="s">
        <v>7029</v>
      </c>
      <c r="R1262" t="s">
        <v>7030</v>
      </c>
      <c r="S1262" t="s">
        <v>2895</v>
      </c>
      <c r="T1262" t="s">
        <v>2896</v>
      </c>
      <c r="U1262" t="s">
        <v>2897</v>
      </c>
    </row>
    <row r="1263" spans="1:21" hidden="1">
      <c r="A1263" t="s">
        <v>2668</v>
      </c>
      <c r="B1263" t="s">
        <v>7027</v>
      </c>
      <c r="C1263" t="s">
        <v>7031</v>
      </c>
      <c r="D1263" t="s">
        <v>17</v>
      </c>
      <c r="E1263" t="s">
        <v>2</v>
      </c>
      <c r="F1263" t="s">
        <v>149</v>
      </c>
      <c r="G1263" t="s">
        <v>72</v>
      </c>
      <c r="H1263" t="s">
        <v>3605</v>
      </c>
      <c r="I1263" t="s">
        <v>52</v>
      </c>
      <c r="J1263" t="s">
        <v>233</v>
      </c>
      <c r="K1263" t="s">
        <v>54</v>
      </c>
      <c r="L1263" t="s">
        <v>74</v>
      </c>
      <c r="O1263" t="s">
        <v>75</v>
      </c>
      <c r="P1263" t="s">
        <v>76</v>
      </c>
      <c r="Q1263" t="s">
        <v>7032</v>
      </c>
      <c r="R1263" t="s">
        <v>3605</v>
      </c>
      <c r="S1263" t="s">
        <v>2895</v>
      </c>
      <c r="T1263" t="s">
        <v>2896</v>
      </c>
      <c r="U1263" t="s">
        <v>2897</v>
      </c>
    </row>
    <row r="1264" spans="1:21" hidden="1">
      <c r="A1264" t="s">
        <v>2670</v>
      </c>
      <c r="B1264" t="s">
        <v>7027</v>
      </c>
      <c r="C1264" t="s">
        <v>4537</v>
      </c>
      <c r="D1264" t="s">
        <v>17</v>
      </c>
      <c r="E1264" t="s">
        <v>2</v>
      </c>
      <c r="F1264" t="s">
        <v>50</v>
      </c>
      <c r="G1264" t="s">
        <v>51</v>
      </c>
      <c r="H1264" t="s">
        <v>7033</v>
      </c>
      <c r="I1264" t="s">
        <v>52</v>
      </c>
      <c r="J1264" t="s">
        <v>81</v>
      </c>
      <c r="K1264" t="s">
        <v>54</v>
      </c>
      <c r="L1264" t="s">
        <v>55</v>
      </c>
      <c r="O1264" t="s">
        <v>82</v>
      </c>
      <c r="P1264" t="s">
        <v>83</v>
      </c>
      <c r="Q1264" t="s">
        <v>7034</v>
      </c>
      <c r="R1264" t="s">
        <v>7035</v>
      </c>
      <c r="S1264" t="s">
        <v>2895</v>
      </c>
      <c r="T1264" t="s">
        <v>2896</v>
      </c>
      <c r="U1264" t="s">
        <v>2897</v>
      </c>
    </row>
    <row r="1265" spans="1:21" hidden="1">
      <c r="A1265" t="s">
        <v>2672</v>
      </c>
      <c r="B1265" t="s">
        <v>7027</v>
      </c>
      <c r="C1265" t="s">
        <v>5576</v>
      </c>
      <c r="D1265" t="s">
        <v>17</v>
      </c>
      <c r="E1265" t="s">
        <v>2</v>
      </c>
      <c r="F1265" t="s">
        <v>50</v>
      </c>
      <c r="G1265" t="s">
        <v>51</v>
      </c>
      <c r="H1265" t="s">
        <v>7036</v>
      </c>
      <c r="I1265" t="s">
        <v>52</v>
      </c>
      <c r="J1265" t="s">
        <v>196</v>
      </c>
      <c r="K1265" t="s">
        <v>54</v>
      </c>
      <c r="L1265" t="s">
        <v>55</v>
      </c>
      <c r="O1265" t="s">
        <v>197</v>
      </c>
      <c r="P1265" t="s">
        <v>198</v>
      </c>
      <c r="Q1265" t="s">
        <v>7037</v>
      </c>
      <c r="R1265" t="s">
        <v>7038</v>
      </c>
      <c r="S1265" t="s">
        <v>2895</v>
      </c>
      <c r="T1265" t="s">
        <v>2896</v>
      </c>
      <c r="U1265" t="s">
        <v>2897</v>
      </c>
    </row>
    <row r="1266" spans="1:21" hidden="1">
      <c r="A1266" t="s">
        <v>2674</v>
      </c>
      <c r="B1266" t="s">
        <v>7027</v>
      </c>
      <c r="C1266" t="s">
        <v>4489</v>
      </c>
      <c r="D1266" t="s">
        <v>17</v>
      </c>
      <c r="E1266" t="s">
        <v>2</v>
      </c>
      <c r="F1266" t="s">
        <v>50</v>
      </c>
      <c r="G1266" t="s">
        <v>51</v>
      </c>
      <c r="H1266" t="s">
        <v>7039</v>
      </c>
      <c r="I1266" t="s">
        <v>52</v>
      </c>
      <c r="J1266" t="s">
        <v>121</v>
      </c>
      <c r="K1266" t="s">
        <v>54</v>
      </c>
      <c r="L1266" t="s">
        <v>55</v>
      </c>
      <c r="O1266" t="s">
        <v>122</v>
      </c>
      <c r="P1266" t="s">
        <v>123</v>
      </c>
      <c r="Q1266" t="s">
        <v>7040</v>
      </c>
      <c r="R1266" t="s">
        <v>7041</v>
      </c>
      <c r="S1266" t="s">
        <v>2895</v>
      </c>
      <c r="T1266" t="s">
        <v>2896</v>
      </c>
      <c r="U1266" t="s">
        <v>2897</v>
      </c>
    </row>
    <row r="1267" spans="1:21" hidden="1">
      <c r="A1267" t="s">
        <v>2676</v>
      </c>
      <c r="B1267" t="s">
        <v>7027</v>
      </c>
      <c r="C1267" t="s">
        <v>3679</v>
      </c>
      <c r="D1267" t="s">
        <v>17</v>
      </c>
      <c r="E1267" t="s">
        <v>2</v>
      </c>
      <c r="F1267" t="s">
        <v>50</v>
      </c>
      <c r="G1267" t="s">
        <v>51</v>
      </c>
      <c r="H1267" t="s">
        <v>7042</v>
      </c>
      <c r="I1267" t="s">
        <v>52</v>
      </c>
      <c r="J1267" t="s">
        <v>60</v>
      </c>
      <c r="K1267" t="s">
        <v>54</v>
      </c>
      <c r="L1267" t="s">
        <v>55</v>
      </c>
      <c r="O1267" t="s">
        <v>61</v>
      </c>
      <c r="P1267" t="s">
        <v>62</v>
      </c>
      <c r="Q1267" t="s">
        <v>7043</v>
      </c>
      <c r="R1267" t="s">
        <v>7044</v>
      </c>
      <c r="S1267" t="s">
        <v>2895</v>
      </c>
      <c r="T1267" t="s">
        <v>2896</v>
      </c>
      <c r="U1267" t="s">
        <v>2897</v>
      </c>
    </row>
    <row r="1268" spans="1:21" hidden="1">
      <c r="A1268" t="s">
        <v>2678</v>
      </c>
      <c r="B1268" t="s">
        <v>7027</v>
      </c>
      <c r="C1268" t="s">
        <v>7045</v>
      </c>
      <c r="D1268" t="s">
        <v>17</v>
      </c>
      <c r="E1268" t="s">
        <v>2</v>
      </c>
      <c r="F1268" t="s">
        <v>50</v>
      </c>
      <c r="G1268" t="s">
        <v>51</v>
      </c>
      <c r="H1268" t="s">
        <v>7046</v>
      </c>
      <c r="I1268" t="s">
        <v>52</v>
      </c>
      <c r="J1268" t="s">
        <v>53</v>
      </c>
      <c r="K1268" t="s">
        <v>54</v>
      </c>
      <c r="L1268" t="s">
        <v>55</v>
      </c>
      <c r="O1268" t="s">
        <v>56</v>
      </c>
      <c r="P1268" t="s">
        <v>57</v>
      </c>
      <c r="Q1268" t="s">
        <v>7047</v>
      </c>
      <c r="R1268" t="s">
        <v>7048</v>
      </c>
      <c r="S1268" t="s">
        <v>2895</v>
      </c>
      <c r="T1268" t="s">
        <v>2896</v>
      </c>
      <c r="U1268" t="s">
        <v>2897</v>
      </c>
    </row>
    <row r="1269" spans="1:21" hidden="1">
      <c r="A1269" t="s">
        <v>2680</v>
      </c>
      <c r="B1269" t="s">
        <v>7027</v>
      </c>
      <c r="C1269" t="s">
        <v>7049</v>
      </c>
      <c r="D1269" t="s">
        <v>17</v>
      </c>
      <c r="E1269" t="s">
        <v>2</v>
      </c>
      <c r="F1269" t="s">
        <v>50</v>
      </c>
      <c r="G1269" t="s">
        <v>100</v>
      </c>
      <c r="H1269" t="s">
        <v>7050</v>
      </c>
      <c r="I1269" t="s">
        <v>52</v>
      </c>
      <c r="J1269" t="s">
        <v>114</v>
      </c>
      <c r="K1269" t="s">
        <v>54</v>
      </c>
      <c r="L1269" t="s">
        <v>102</v>
      </c>
      <c r="O1269" t="s">
        <v>103</v>
      </c>
      <c r="P1269" t="s">
        <v>104</v>
      </c>
      <c r="Q1269" t="s">
        <v>7051</v>
      </c>
      <c r="R1269" t="s">
        <v>7052</v>
      </c>
      <c r="S1269" t="s">
        <v>2895</v>
      </c>
      <c r="T1269" t="s">
        <v>2896</v>
      </c>
      <c r="U1269" t="s">
        <v>2897</v>
      </c>
    </row>
    <row r="1270" spans="1:21" hidden="1">
      <c r="A1270" t="s">
        <v>2682</v>
      </c>
      <c r="B1270" t="s">
        <v>7027</v>
      </c>
      <c r="C1270" t="s">
        <v>7053</v>
      </c>
      <c r="D1270" t="s">
        <v>17</v>
      </c>
      <c r="E1270" t="s">
        <v>2</v>
      </c>
      <c r="F1270" t="s">
        <v>50</v>
      </c>
      <c r="G1270" t="s">
        <v>51</v>
      </c>
      <c r="H1270" t="s">
        <v>7054</v>
      </c>
      <c r="I1270" t="s">
        <v>52</v>
      </c>
      <c r="J1270" t="s">
        <v>60</v>
      </c>
      <c r="K1270" t="s">
        <v>54</v>
      </c>
      <c r="L1270" t="s">
        <v>55</v>
      </c>
      <c r="O1270" t="s">
        <v>61</v>
      </c>
      <c r="P1270" t="s">
        <v>62</v>
      </c>
      <c r="Q1270" t="s">
        <v>7055</v>
      </c>
      <c r="R1270" t="s">
        <v>7056</v>
      </c>
      <c r="S1270" t="s">
        <v>2895</v>
      </c>
      <c r="T1270" t="s">
        <v>2896</v>
      </c>
      <c r="U1270" t="s">
        <v>2897</v>
      </c>
    </row>
    <row r="1271" spans="1:21" hidden="1">
      <c r="A1271" t="s">
        <v>2684</v>
      </c>
      <c r="B1271" t="s">
        <v>7057</v>
      </c>
      <c r="C1271" t="s">
        <v>7058</v>
      </c>
      <c r="D1271" t="s">
        <v>17</v>
      </c>
      <c r="E1271" t="s">
        <v>2</v>
      </c>
      <c r="F1271" t="s">
        <v>50</v>
      </c>
      <c r="G1271" t="s">
        <v>51</v>
      </c>
      <c r="H1271" t="s">
        <v>7059</v>
      </c>
      <c r="I1271" t="s">
        <v>52</v>
      </c>
      <c r="J1271" t="s">
        <v>81</v>
      </c>
      <c r="K1271" t="s">
        <v>54</v>
      </c>
      <c r="L1271" t="s">
        <v>55</v>
      </c>
      <c r="O1271" t="s">
        <v>82</v>
      </c>
      <c r="P1271" t="s">
        <v>83</v>
      </c>
      <c r="Q1271" t="s">
        <v>7060</v>
      </c>
      <c r="R1271" t="s">
        <v>7061</v>
      </c>
      <c r="S1271" t="s">
        <v>2895</v>
      </c>
      <c r="T1271" t="s">
        <v>2896</v>
      </c>
      <c r="U1271" t="s">
        <v>2897</v>
      </c>
    </row>
    <row r="1272" spans="1:21" hidden="1">
      <c r="A1272" t="s">
        <v>2686</v>
      </c>
      <c r="B1272" t="s">
        <v>7057</v>
      </c>
      <c r="C1272" t="s">
        <v>7062</v>
      </c>
      <c r="D1272" t="s">
        <v>17</v>
      </c>
      <c r="E1272" t="s">
        <v>2</v>
      </c>
      <c r="F1272" t="s">
        <v>50</v>
      </c>
      <c r="G1272" t="s">
        <v>51</v>
      </c>
      <c r="H1272" t="s">
        <v>7063</v>
      </c>
      <c r="I1272" t="s">
        <v>52</v>
      </c>
      <c r="J1272" t="s">
        <v>81</v>
      </c>
      <c r="K1272" t="s">
        <v>54</v>
      </c>
      <c r="L1272" t="s">
        <v>55</v>
      </c>
      <c r="O1272" t="s">
        <v>82</v>
      </c>
      <c r="P1272" t="s">
        <v>83</v>
      </c>
      <c r="Q1272" t="s">
        <v>7064</v>
      </c>
      <c r="R1272" t="s">
        <v>7065</v>
      </c>
      <c r="S1272" t="s">
        <v>2895</v>
      </c>
      <c r="T1272" t="s">
        <v>2896</v>
      </c>
      <c r="U1272" t="s">
        <v>2897</v>
      </c>
    </row>
    <row r="1273" spans="1:21" hidden="1">
      <c r="A1273" t="s">
        <v>2688</v>
      </c>
      <c r="B1273" t="s">
        <v>7057</v>
      </c>
      <c r="C1273" t="s">
        <v>4341</v>
      </c>
      <c r="D1273" t="s">
        <v>17</v>
      </c>
      <c r="E1273" t="s">
        <v>2</v>
      </c>
      <c r="F1273" t="s">
        <v>50</v>
      </c>
      <c r="G1273" t="s">
        <v>100</v>
      </c>
      <c r="H1273" t="s">
        <v>7066</v>
      </c>
      <c r="I1273" t="s">
        <v>52</v>
      </c>
      <c r="J1273" t="s">
        <v>114</v>
      </c>
      <c r="K1273" t="s">
        <v>54</v>
      </c>
      <c r="L1273" t="s">
        <v>102</v>
      </c>
      <c r="O1273" t="s">
        <v>103</v>
      </c>
      <c r="P1273" t="s">
        <v>104</v>
      </c>
      <c r="Q1273" t="s">
        <v>7067</v>
      </c>
      <c r="R1273" t="s">
        <v>7068</v>
      </c>
      <c r="S1273" t="s">
        <v>2895</v>
      </c>
      <c r="T1273" t="s">
        <v>2896</v>
      </c>
      <c r="U1273" t="s">
        <v>2897</v>
      </c>
    </row>
    <row r="1274" spans="1:21" hidden="1">
      <c r="A1274" t="s">
        <v>2690</v>
      </c>
      <c r="B1274" t="s">
        <v>7057</v>
      </c>
      <c r="C1274" t="s">
        <v>5364</v>
      </c>
      <c r="D1274" t="s">
        <v>17</v>
      </c>
      <c r="E1274" t="s">
        <v>2</v>
      </c>
      <c r="F1274" t="s">
        <v>50</v>
      </c>
      <c r="G1274" t="s">
        <v>51</v>
      </c>
      <c r="H1274" t="s">
        <v>7069</v>
      </c>
      <c r="I1274" t="s">
        <v>52</v>
      </c>
      <c r="J1274" t="s">
        <v>81</v>
      </c>
      <c r="K1274" t="s">
        <v>54</v>
      </c>
      <c r="L1274" t="s">
        <v>55</v>
      </c>
      <c r="O1274" t="s">
        <v>82</v>
      </c>
      <c r="P1274" t="s">
        <v>83</v>
      </c>
      <c r="Q1274" t="s">
        <v>7070</v>
      </c>
      <c r="R1274" t="s">
        <v>7071</v>
      </c>
      <c r="S1274" t="s">
        <v>2895</v>
      </c>
      <c r="T1274" t="s">
        <v>2896</v>
      </c>
      <c r="U1274" t="s">
        <v>2897</v>
      </c>
    </row>
    <row r="1275" spans="1:21" hidden="1">
      <c r="A1275" t="s">
        <v>2692</v>
      </c>
      <c r="B1275" t="s">
        <v>7057</v>
      </c>
      <c r="C1275" t="s">
        <v>7072</v>
      </c>
      <c r="D1275" t="s">
        <v>17</v>
      </c>
      <c r="E1275" t="s">
        <v>2</v>
      </c>
      <c r="F1275" t="s">
        <v>50</v>
      </c>
      <c r="G1275" t="s">
        <v>51</v>
      </c>
      <c r="H1275" t="s">
        <v>7073</v>
      </c>
      <c r="I1275" t="s">
        <v>52</v>
      </c>
      <c r="J1275" t="s">
        <v>196</v>
      </c>
      <c r="K1275" t="s">
        <v>54</v>
      </c>
      <c r="L1275" t="s">
        <v>55</v>
      </c>
      <c r="O1275" t="s">
        <v>197</v>
      </c>
      <c r="P1275" t="s">
        <v>198</v>
      </c>
      <c r="Q1275" t="s">
        <v>7074</v>
      </c>
      <c r="R1275" t="s">
        <v>7075</v>
      </c>
      <c r="S1275" t="s">
        <v>2895</v>
      </c>
      <c r="T1275" t="s">
        <v>2896</v>
      </c>
      <c r="U1275" t="s">
        <v>2897</v>
      </c>
    </row>
    <row r="1276" spans="1:21" hidden="1">
      <c r="A1276" t="s">
        <v>2694</v>
      </c>
      <c r="B1276" t="s">
        <v>7076</v>
      </c>
      <c r="C1276" t="s">
        <v>5796</v>
      </c>
      <c r="D1276" t="s">
        <v>17</v>
      </c>
      <c r="E1276" t="s">
        <v>2</v>
      </c>
      <c r="F1276" t="s">
        <v>50</v>
      </c>
      <c r="G1276" t="s">
        <v>51</v>
      </c>
      <c r="H1276" t="s">
        <v>7077</v>
      </c>
      <c r="I1276" t="s">
        <v>52</v>
      </c>
      <c r="J1276" t="s">
        <v>65</v>
      </c>
      <c r="K1276" t="s">
        <v>54</v>
      </c>
      <c r="L1276" t="s">
        <v>55</v>
      </c>
      <c r="O1276" t="s">
        <v>66</v>
      </c>
      <c r="P1276" t="s">
        <v>67</v>
      </c>
      <c r="Q1276" t="s">
        <v>7078</v>
      </c>
      <c r="R1276" t="s">
        <v>7079</v>
      </c>
      <c r="S1276" t="s">
        <v>2895</v>
      </c>
      <c r="T1276" t="s">
        <v>2896</v>
      </c>
      <c r="U1276" t="s">
        <v>2897</v>
      </c>
    </row>
    <row r="1277" spans="1:21" hidden="1">
      <c r="A1277" t="s">
        <v>2696</v>
      </c>
      <c r="B1277" t="s">
        <v>7076</v>
      </c>
      <c r="C1277" t="s">
        <v>7080</v>
      </c>
      <c r="D1277" t="s">
        <v>17</v>
      </c>
      <c r="E1277" t="s">
        <v>2</v>
      </c>
      <c r="F1277" t="s">
        <v>50</v>
      </c>
      <c r="G1277" t="s">
        <v>51</v>
      </c>
      <c r="H1277" t="s">
        <v>7081</v>
      </c>
      <c r="I1277" t="s">
        <v>52</v>
      </c>
      <c r="J1277" t="s">
        <v>65</v>
      </c>
      <c r="K1277" t="s">
        <v>54</v>
      </c>
      <c r="L1277" t="s">
        <v>55</v>
      </c>
      <c r="O1277" t="s">
        <v>66</v>
      </c>
      <c r="P1277" t="s">
        <v>67</v>
      </c>
      <c r="Q1277" t="s">
        <v>7082</v>
      </c>
      <c r="R1277" t="s">
        <v>7083</v>
      </c>
      <c r="S1277" t="s">
        <v>2895</v>
      </c>
      <c r="T1277" t="s">
        <v>2896</v>
      </c>
      <c r="U1277" t="s">
        <v>2897</v>
      </c>
    </row>
    <row r="1278" spans="1:21" hidden="1">
      <c r="A1278" t="s">
        <v>2698</v>
      </c>
      <c r="B1278" t="s">
        <v>7076</v>
      </c>
      <c r="C1278" t="s">
        <v>7084</v>
      </c>
      <c r="D1278" t="s">
        <v>17</v>
      </c>
      <c r="E1278" t="s">
        <v>2</v>
      </c>
      <c r="F1278" t="s">
        <v>50</v>
      </c>
      <c r="G1278" t="s">
        <v>51</v>
      </c>
      <c r="H1278" t="s">
        <v>7085</v>
      </c>
      <c r="I1278" t="s">
        <v>52</v>
      </c>
      <c r="J1278" t="s">
        <v>60</v>
      </c>
      <c r="K1278" t="s">
        <v>54</v>
      </c>
      <c r="L1278" t="s">
        <v>55</v>
      </c>
      <c r="O1278" t="s">
        <v>61</v>
      </c>
      <c r="P1278" t="s">
        <v>62</v>
      </c>
      <c r="Q1278" t="s">
        <v>7086</v>
      </c>
      <c r="R1278" t="s">
        <v>7087</v>
      </c>
      <c r="S1278" t="s">
        <v>2895</v>
      </c>
      <c r="T1278" t="s">
        <v>2896</v>
      </c>
      <c r="U1278" t="s">
        <v>2897</v>
      </c>
    </row>
    <row r="1279" spans="1:21" hidden="1">
      <c r="A1279" t="s">
        <v>2700</v>
      </c>
      <c r="B1279" t="s">
        <v>7076</v>
      </c>
      <c r="C1279" t="s">
        <v>7088</v>
      </c>
      <c r="D1279" t="s">
        <v>17</v>
      </c>
      <c r="E1279" t="s">
        <v>2</v>
      </c>
      <c r="F1279" t="s">
        <v>50</v>
      </c>
      <c r="G1279" t="s">
        <v>72</v>
      </c>
      <c r="H1279" t="s">
        <v>7089</v>
      </c>
      <c r="I1279" t="s">
        <v>52</v>
      </c>
      <c r="J1279" t="s">
        <v>606</v>
      </c>
      <c r="K1279" t="s">
        <v>54</v>
      </c>
      <c r="L1279" t="s">
        <v>74</v>
      </c>
      <c r="O1279" t="s">
        <v>75</v>
      </c>
      <c r="P1279" t="s">
        <v>76</v>
      </c>
      <c r="Q1279" t="s">
        <v>7090</v>
      </c>
      <c r="R1279" t="s">
        <v>7091</v>
      </c>
      <c r="S1279" t="s">
        <v>2895</v>
      </c>
      <c r="T1279" t="s">
        <v>2896</v>
      </c>
      <c r="U1279" t="s">
        <v>2897</v>
      </c>
    </row>
    <row r="1280" spans="1:21" hidden="1">
      <c r="A1280" t="s">
        <v>2702</v>
      </c>
      <c r="B1280" t="s">
        <v>7076</v>
      </c>
      <c r="C1280" t="s">
        <v>3919</v>
      </c>
      <c r="D1280" t="s">
        <v>17</v>
      </c>
      <c r="E1280" t="s">
        <v>2</v>
      </c>
      <c r="F1280" t="s">
        <v>50</v>
      </c>
      <c r="G1280" t="s">
        <v>51</v>
      </c>
      <c r="H1280" t="s">
        <v>7092</v>
      </c>
      <c r="I1280" t="s">
        <v>52</v>
      </c>
      <c r="J1280" t="s">
        <v>81</v>
      </c>
      <c r="K1280" t="s">
        <v>54</v>
      </c>
      <c r="L1280" t="s">
        <v>55</v>
      </c>
      <c r="O1280" t="s">
        <v>82</v>
      </c>
      <c r="P1280" t="s">
        <v>83</v>
      </c>
      <c r="Q1280" t="s">
        <v>7093</v>
      </c>
      <c r="R1280" t="s">
        <v>7094</v>
      </c>
      <c r="S1280" t="s">
        <v>2895</v>
      </c>
      <c r="T1280" t="s">
        <v>2896</v>
      </c>
      <c r="U1280" t="s">
        <v>2897</v>
      </c>
    </row>
    <row r="1281" spans="1:21" hidden="1">
      <c r="A1281" t="s">
        <v>2704</v>
      </c>
      <c r="B1281" t="s">
        <v>7076</v>
      </c>
      <c r="C1281" t="s">
        <v>3981</v>
      </c>
      <c r="D1281" t="s">
        <v>17</v>
      </c>
      <c r="E1281" t="s">
        <v>2</v>
      </c>
      <c r="F1281" t="s">
        <v>50</v>
      </c>
      <c r="G1281" t="s">
        <v>51</v>
      </c>
      <c r="H1281" t="s">
        <v>7095</v>
      </c>
      <c r="I1281" t="s">
        <v>52</v>
      </c>
      <c r="J1281" t="s">
        <v>121</v>
      </c>
      <c r="K1281" t="s">
        <v>54</v>
      </c>
      <c r="L1281" t="s">
        <v>55</v>
      </c>
      <c r="O1281" t="s">
        <v>122</v>
      </c>
      <c r="P1281" t="s">
        <v>123</v>
      </c>
      <c r="Q1281" t="s">
        <v>7096</v>
      </c>
      <c r="R1281" t="s">
        <v>7097</v>
      </c>
      <c r="S1281" t="s">
        <v>2895</v>
      </c>
      <c r="T1281" t="s">
        <v>2896</v>
      </c>
      <c r="U1281" t="s">
        <v>2897</v>
      </c>
    </row>
    <row r="1282" spans="1:21" hidden="1">
      <c r="A1282" t="s">
        <v>2706</v>
      </c>
      <c r="B1282" t="s">
        <v>7076</v>
      </c>
      <c r="C1282" t="s">
        <v>7098</v>
      </c>
      <c r="D1282" t="s">
        <v>17</v>
      </c>
      <c r="E1282" t="s">
        <v>2</v>
      </c>
      <c r="F1282" t="s">
        <v>50</v>
      </c>
      <c r="G1282" t="s">
        <v>51</v>
      </c>
      <c r="H1282" t="s">
        <v>7099</v>
      </c>
      <c r="I1282" t="s">
        <v>52</v>
      </c>
      <c r="J1282" t="s">
        <v>60</v>
      </c>
      <c r="K1282" t="s">
        <v>54</v>
      </c>
      <c r="L1282" t="s">
        <v>55</v>
      </c>
      <c r="O1282" t="s">
        <v>61</v>
      </c>
      <c r="P1282" t="s">
        <v>62</v>
      </c>
      <c r="Q1282" t="s">
        <v>7100</v>
      </c>
      <c r="R1282" t="s">
        <v>7101</v>
      </c>
      <c r="S1282" t="s">
        <v>2895</v>
      </c>
      <c r="T1282" t="s">
        <v>2896</v>
      </c>
      <c r="U1282" t="s">
        <v>2897</v>
      </c>
    </row>
    <row r="1283" spans="1:21" hidden="1">
      <c r="A1283" t="s">
        <v>2708</v>
      </c>
      <c r="B1283" t="s">
        <v>7076</v>
      </c>
      <c r="C1283" t="s">
        <v>7102</v>
      </c>
      <c r="D1283" t="s">
        <v>17</v>
      </c>
      <c r="E1283" t="s">
        <v>2</v>
      </c>
      <c r="F1283" t="s">
        <v>50</v>
      </c>
      <c r="G1283" t="s">
        <v>51</v>
      </c>
      <c r="H1283" t="s">
        <v>7103</v>
      </c>
      <c r="I1283" t="s">
        <v>52</v>
      </c>
      <c r="J1283" t="s">
        <v>53</v>
      </c>
      <c r="K1283" t="s">
        <v>54</v>
      </c>
      <c r="L1283" t="s">
        <v>55</v>
      </c>
      <c r="O1283" t="s">
        <v>56</v>
      </c>
      <c r="P1283" t="s">
        <v>57</v>
      </c>
      <c r="Q1283" t="s">
        <v>7104</v>
      </c>
      <c r="R1283" t="s">
        <v>7105</v>
      </c>
      <c r="S1283" t="s">
        <v>2895</v>
      </c>
      <c r="T1283" t="s">
        <v>2896</v>
      </c>
      <c r="U1283" t="s">
        <v>2897</v>
      </c>
    </row>
    <row r="1284" spans="1:21" hidden="1">
      <c r="A1284" t="s">
        <v>2710</v>
      </c>
      <c r="B1284" t="s">
        <v>7076</v>
      </c>
      <c r="C1284" t="s">
        <v>4423</v>
      </c>
      <c r="D1284" t="s">
        <v>17</v>
      </c>
      <c r="E1284" t="s">
        <v>2</v>
      </c>
      <c r="F1284" t="s">
        <v>50</v>
      </c>
      <c r="G1284" t="s">
        <v>51</v>
      </c>
      <c r="H1284" t="s">
        <v>7106</v>
      </c>
      <c r="I1284" t="s">
        <v>52</v>
      </c>
      <c r="J1284" t="s">
        <v>60</v>
      </c>
      <c r="K1284" t="s">
        <v>54</v>
      </c>
      <c r="L1284" t="s">
        <v>55</v>
      </c>
      <c r="O1284" t="s">
        <v>61</v>
      </c>
      <c r="P1284" t="s">
        <v>62</v>
      </c>
      <c r="Q1284" t="s">
        <v>7107</v>
      </c>
      <c r="R1284" t="s">
        <v>7108</v>
      </c>
      <c r="S1284" t="s">
        <v>2895</v>
      </c>
      <c r="T1284" t="s">
        <v>2896</v>
      </c>
      <c r="U1284" t="s">
        <v>2897</v>
      </c>
    </row>
    <row r="1285" spans="1:21" hidden="1">
      <c r="A1285" t="s">
        <v>2712</v>
      </c>
      <c r="B1285" t="s">
        <v>7109</v>
      </c>
      <c r="C1285" t="s">
        <v>4460</v>
      </c>
      <c r="D1285" t="s">
        <v>17</v>
      </c>
      <c r="E1285" t="s">
        <v>2</v>
      </c>
      <c r="F1285" t="s">
        <v>149</v>
      </c>
      <c r="G1285" t="s">
        <v>72</v>
      </c>
      <c r="H1285" t="s">
        <v>7110</v>
      </c>
      <c r="I1285" t="s">
        <v>52</v>
      </c>
      <c r="J1285" t="s">
        <v>316</v>
      </c>
      <c r="K1285" t="s">
        <v>54</v>
      </c>
      <c r="L1285" t="s">
        <v>74</v>
      </c>
      <c r="O1285" t="s">
        <v>75</v>
      </c>
      <c r="P1285" t="s">
        <v>76</v>
      </c>
      <c r="Q1285" t="s">
        <v>7111</v>
      </c>
      <c r="R1285" t="s">
        <v>7110</v>
      </c>
      <c r="S1285" t="s">
        <v>2895</v>
      </c>
      <c r="T1285" t="s">
        <v>2896</v>
      </c>
      <c r="U1285" t="s">
        <v>2897</v>
      </c>
    </row>
    <row r="1286" spans="1:21" hidden="1">
      <c r="A1286" t="s">
        <v>2714</v>
      </c>
      <c r="B1286" t="s">
        <v>7109</v>
      </c>
      <c r="C1286" t="s">
        <v>3570</v>
      </c>
      <c r="D1286" t="s">
        <v>17</v>
      </c>
      <c r="E1286" t="s">
        <v>2</v>
      </c>
      <c r="F1286" t="s">
        <v>50</v>
      </c>
      <c r="G1286" t="s">
        <v>51</v>
      </c>
      <c r="H1286" t="s">
        <v>7112</v>
      </c>
      <c r="I1286" t="s">
        <v>52</v>
      </c>
      <c r="J1286" t="s">
        <v>121</v>
      </c>
      <c r="K1286" t="s">
        <v>54</v>
      </c>
      <c r="L1286" t="s">
        <v>55</v>
      </c>
      <c r="O1286" t="s">
        <v>122</v>
      </c>
      <c r="P1286" t="s">
        <v>123</v>
      </c>
      <c r="Q1286" t="s">
        <v>7113</v>
      </c>
      <c r="R1286" t="s">
        <v>7114</v>
      </c>
      <c r="S1286" t="s">
        <v>2895</v>
      </c>
      <c r="T1286" t="s">
        <v>2896</v>
      </c>
      <c r="U1286" t="s">
        <v>2897</v>
      </c>
    </row>
    <row r="1287" spans="1:21" hidden="1">
      <c r="A1287" t="s">
        <v>2716</v>
      </c>
      <c r="B1287" t="s">
        <v>7109</v>
      </c>
      <c r="C1287" t="s">
        <v>6685</v>
      </c>
      <c r="D1287" t="s">
        <v>17</v>
      </c>
      <c r="E1287" t="s">
        <v>2</v>
      </c>
      <c r="F1287" t="s">
        <v>50</v>
      </c>
      <c r="G1287" t="s">
        <v>100</v>
      </c>
      <c r="H1287" t="s">
        <v>3451</v>
      </c>
      <c r="I1287" t="s">
        <v>52</v>
      </c>
      <c r="J1287" t="s">
        <v>384</v>
      </c>
      <c r="K1287" t="s">
        <v>54</v>
      </c>
      <c r="L1287" t="s">
        <v>102</v>
      </c>
      <c r="O1287" t="s">
        <v>178</v>
      </c>
      <c r="P1287" t="s">
        <v>385</v>
      </c>
      <c r="Q1287" t="s">
        <v>7115</v>
      </c>
      <c r="R1287" t="s">
        <v>3453</v>
      </c>
      <c r="S1287" t="s">
        <v>2895</v>
      </c>
      <c r="T1287" t="s">
        <v>2896</v>
      </c>
      <c r="U1287" t="s">
        <v>2897</v>
      </c>
    </row>
    <row r="1288" spans="1:21" hidden="1">
      <c r="A1288" t="s">
        <v>2718</v>
      </c>
      <c r="B1288" t="s">
        <v>7109</v>
      </c>
      <c r="C1288" t="s">
        <v>7116</v>
      </c>
      <c r="D1288" t="s">
        <v>17</v>
      </c>
      <c r="E1288" t="s">
        <v>2</v>
      </c>
      <c r="F1288" t="s">
        <v>50</v>
      </c>
      <c r="G1288" t="s">
        <v>51</v>
      </c>
      <c r="H1288" t="s">
        <v>7117</v>
      </c>
      <c r="I1288" t="s">
        <v>52</v>
      </c>
      <c r="J1288" t="s">
        <v>53</v>
      </c>
      <c r="K1288" t="s">
        <v>54</v>
      </c>
      <c r="L1288" t="s">
        <v>55</v>
      </c>
      <c r="O1288" t="s">
        <v>56</v>
      </c>
      <c r="P1288" t="s">
        <v>57</v>
      </c>
      <c r="Q1288" t="s">
        <v>7118</v>
      </c>
      <c r="R1288" t="s">
        <v>7119</v>
      </c>
      <c r="S1288" t="s">
        <v>2895</v>
      </c>
      <c r="T1288" t="s">
        <v>2896</v>
      </c>
      <c r="U1288" t="s">
        <v>2897</v>
      </c>
    </row>
    <row r="1289" spans="1:21" hidden="1">
      <c r="A1289" t="s">
        <v>2720</v>
      </c>
      <c r="B1289" t="s">
        <v>7109</v>
      </c>
      <c r="C1289" t="s">
        <v>3923</v>
      </c>
      <c r="D1289" t="s">
        <v>17</v>
      </c>
      <c r="E1289" t="s">
        <v>2</v>
      </c>
      <c r="F1289" t="s">
        <v>50</v>
      </c>
      <c r="G1289" t="s">
        <v>51</v>
      </c>
      <c r="H1289" t="s">
        <v>7120</v>
      </c>
      <c r="I1289" t="s">
        <v>52</v>
      </c>
      <c r="J1289" t="s">
        <v>65</v>
      </c>
      <c r="K1289" t="s">
        <v>54</v>
      </c>
      <c r="L1289" t="s">
        <v>55</v>
      </c>
      <c r="O1289" t="s">
        <v>66</v>
      </c>
      <c r="P1289" t="s">
        <v>67</v>
      </c>
      <c r="Q1289" t="s">
        <v>7121</v>
      </c>
      <c r="R1289" t="s">
        <v>7122</v>
      </c>
      <c r="S1289" t="s">
        <v>2895</v>
      </c>
      <c r="T1289" t="s">
        <v>2896</v>
      </c>
      <c r="U1289" t="s">
        <v>2897</v>
      </c>
    </row>
    <row r="1290" spans="1:21" hidden="1">
      <c r="A1290" t="s">
        <v>2722</v>
      </c>
      <c r="B1290" t="s">
        <v>7109</v>
      </c>
      <c r="C1290" t="s">
        <v>7123</v>
      </c>
      <c r="D1290" t="s">
        <v>17</v>
      </c>
      <c r="E1290" t="s">
        <v>2</v>
      </c>
      <c r="F1290" t="s">
        <v>50</v>
      </c>
      <c r="G1290" t="s">
        <v>51</v>
      </c>
      <c r="H1290" t="s">
        <v>7124</v>
      </c>
      <c r="I1290" t="s">
        <v>52</v>
      </c>
      <c r="J1290" t="s">
        <v>196</v>
      </c>
      <c r="K1290" t="s">
        <v>54</v>
      </c>
      <c r="L1290" t="s">
        <v>55</v>
      </c>
      <c r="O1290" t="s">
        <v>197</v>
      </c>
      <c r="P1290" t="s">
        <v>198</v>
      </c>
      <c r="Q1290" t="s">
        <v>7125</v>
      </c>
      <c r="R1290" t="s">
        <v>7126</v>
      </c>
      <c r="S1290" t="s">
        <v>2895</v>
      </c>
      <c r="T1290" t="s">
        <v>2896</v>
      </c>
      <c r="U1290" t="s">
        <v>2897</v>
      </c>
    </row>
    <row r="1291" spans="1:21" hidden="1">
      <c r="A1291" t="s">
        <v>2724</v>
      </c>
      <c r="B1291" t="s">
        <v>7109</v>
      </c>
      <c r="C1291" t="s">
        <v>6225</v>
      </c>
      <c r="D1291" t="s">
        <v>17</v>
      </c>
      <c r="E1291" t="s">
        <v>2</v>
      </c>
      <c r="F1291" t="s">
        <v>50</v>
      </c>
      <c r="G1291" t="s">
        <v>51</v>
      </c>
      <c r="H1291" t="s">
        <v>7127</v>
      </c>
      <c r="I1291" t="s">
        <v>52</v>
      </c>
      <c r="J1291" t="s">
        <v>121</v>
      </c>
      <c r="K1291" t="s">
        <v>54</v>
      </c>
      <c r="L1291" t="s">
        <v>55</v>
      </c>
      <c r="O1291" t="s">
        <v>122</v>
      </c>
      <c r="P1291" t="s">
        <v>123</v>
      </c>
      <c r="Q1291" t="s">
        <v>7128</v>
      </c>
      <c r="R1291" t="s">
        <v>7129</v>
      </c>
      <c r="S1291" t="s">
        <v>2895</v>
      </c>
      <c r="T1291" t="s">
        <v>2896</v>
      </c>
      <c r="U1291" t="s">
        <v>2897</v>
      </c>
    </row>
    <row r="1292" spans="1:21" hidden="1">
      <c r="A1292" t="s">
        <v>2726</v>
      </c>
      <c r="B1292" t="s">
        <v>7130</v>
      </c>
      <c r="C1292" t="s">
        <v>3496</v>
      </c>
      <c r="D1292" t="s">
        <v>17</v>
      </c>
      <c r="E1292" t="s">
        <v>2</v>
      </c>
      <c r="F1292" t="s">
        <v>50</v>
      </c>
      <c r="G1292" t="s">
        <v>51</v>
      </c>
      <c r="H1292" t="s">
        <v>3610</v>
      </c>
      <c r="I1292" t="s">
        <v>52</v>
      </c>
      <c r="J1292" t="s">
        <v>196</v>
      </c>
      <c r="K1292" t="s">
        <v>54</v>
      </c>
      <c r="L1292" t="s">
        <v>55</v>
      </c>
      <c r="O1292" t="s">
        <v>197</v>
      </c>
      <c r="P1292" t="s">
        <v>198</v>
      </c>
      <c r="Q1292" t="s">
        <v>7131</v>
      </c>
      <c r="R1292" t="s">
        <v>3612</v>
      </c>
      <c r="S1292" t="s">
        <v>2895</v>
      </c>
      <c r="T1292" t="s">
        <v>2896</v>
      </c>
      <c r="U1292" t="s">
        <v>2897</v>
      </c>
    </row>
    <row r="1293" spans="1:21" hidden="1">
      <c r="A1293" t="s">
        <v>2728</v>
      </c>
      <c r="B1293" t="s">
        <v>7130</v>
      </c>
      <c r="C1293" t="s">
        <v>5004</v>
      </c>
      <c r="D1293" t="s">
        <v>17</v>
      </c>
      <c r="E1293" t="s">
        <v>2</v>
      </c>
      <c r="F1293" t="s">
        <v>50</v>
      </c>
      <c r="G1293" t="s">
        <v>100</v>
      </c>
      <c r="H1293" t="s">
        <v>7132</v>
      </c>
      <c r="I1293" t="s">
        <v>52</v>
      </c>
      <c r="J1293" t="s">
        <v>114</v>
      </c>
      <c r="K1293" t="s">
        <v>54</v>
      </c>
      <c r="L1293" t="s">
        <v>102</v>
      </c>
      <c r="O1293" t="s">
        <v>103</v>
      </c>
      <c r="P1293" t="s">
        <v>104</v>
      </c>
      <c r="Q1293" t="s">
        <v>7133</v>
      </c>
      <c r="R1293" t="s">
        <v>7134</v>
      </c>
      <c r="S1293" t="s">
        <v>2895</v>
      </c>
      <c r="T1293" t="s">
        <v>2896</v>
      </c>
      <c r="U1293" t="s">
        <v>2897</v>
      </c>
    </row>
    <row r="1294" spans="1:21" hidden="1">
      <c r="A1294" t="s">
        <v>2730</v>
      </c>
      <c r="B1294" t="s">
        <v>7130</v>
      </c>
      <c r="C1294" t="s">
        <v>7135</v>
      </c>
      <c r="D1294" t="s">
        <v>17</v>
      </c>
      <c r="E1294" t="s">
        <v>2</v>
      </c>
      <c r="F1294" t="s">
        <v>50</v>
      </c>
      <c r="G1294" t="s">
        <v>100</v>
      </c>
      <c r="H1294" t="s">
        <v>2969</v>
      </c>
      <c r="I1294" t="s">
        <v>52</v>
      </c>
      <c r="J1294" t="s">
        <v>101</v>
      </c>
      <c r="K1294" t="s">
        <v>54</v>
      </c>
      <c r="L1294" t="s">
        <v>102</v>
      </c>
      <c r="O1294" t="s">
        <v>103</v>
      </c>
      <c r="P1294" t="s">
        <v>104</v>
      </c>
      <c r="Q1294" t="s">
        <v>7136</v>
      </c>
      <c r="R1294" t="s">
        <v>2971</v>
      </c>
      <c r="S1294" t="s">
        <v>2895</v>
      </c>
      <c r="T1294" t="s">
        <v>2896</v>
      </c>
      <c r="U1294" t="s">
        <v>2897</v>
      </c>
    </row>
    <row r="1295" spans="1:21" hidden="1">
      <c r="A1295" t="s">
        <v>2732</v>
      </c>
      <c r="B1295" t="s">
        <v>7130</v>
      </c>
      <c r="C1295" t="s">
        <v>7137</v>
      </c>
      <c r="D1295" t="s">
        <v>17</v>
      </c>
      <c r="E1295" t="s">
        <v>2</v>
      </c>
      <c r="F1295" t="s">
        <v>50</v>
      </c>
      <c r="G1295" t="s">
        <v>51</v>
      </c>
      <c r="H1295" t="s">
        <v>7138</v>
      </c>
      <c r="I1295" t="s">
        <v>52</v>
      </c>
      <c r="J1295" t="s">
        <v>121</v>
      </c>
      <c r="K1295" t="s">
        <v>54</v>
      </c>
      <c r="L1295" t="s">
        <v>55</v>
      </c>
      <c r="O1295" t="s">
        <v>122</v>
      </c>
      <c r="P1295" t="s">
        <v>123</v>
      </c>
      <c r="Q1295" t="s">
        <v>7139</v>
      </c>
      <c r="R1295" t="s">
        <v>7140</v>
      </c>
      <c r="S1295" t="s">
        <v>2895</v>
      </c>
      <c r="T1295" t="s">
        <v>2896</v>
      </c>
      <c r="U1295" t="s">
        <v>2897</v>
      </c>
    </row>
    <row r="1296" spans="1:21" hidden="1">
      <c r="A1296" t="s">
        <v>2734</v>
      </c>
      <c r="B1296" t="s">
        <v>7130</v>
      </c>
      <c r="C1296" t="s">
        <v>7141</v>
      </c>
      <c r="D1296" t="s">
        <v>17</v>
      </c>
      <c r="E1296" t="s">
        <v>2</v>
      </c>
      <c r="F1296" t="s">
        <v>50</v>
      </c>
      <c r="G1296" t="s">
        <v>51</v>
      </c>
      <c r="H1296" t="s">
        <v>7142</v>
      </c>
      <c r="I1296" t="s">
        <v>52</v>
      </c>
      <c r="J1296" t="s">
        <v>196</v>
      </c>
      <c r="K1296" t="s">
        <v>54</v>
      </c>
      <c r="L1296" t="s">
        <v>55</v>
      </c>
      <c r="O1296" t="s">
        <v>197</v>
      </c>
      <c r="P1296" t="s">
        <v>198</v>
      </c>
      <c r="Q1296" t="s">
        <v>7143</v>
      </c>
      <c r="R1296" t="s">
        <v>7144</v>
      </c>
      <c r="S1296" t="s">
        <v>2895</v>
      </c>
      <c r="T1296" t="s">
        <v>2896</v>
      </c>
      <c r="U1296" t="s">
        <v>2897</v>
      </c>
    </row>
    <row r="1297" spans="1:21" hidden="1">
      <c r="A1297" t="s">
        <v>2736</v>
      </c>
      <c r="B1297" t="s">
        <v>7130</v>
      </c>
      <c r="C1297" t="s">
        <v>3234</v>
      </c>
      <c r="D1297" t="s">
        <v>17</v>
      </c>
      <c r="E1297" t="s">
        <v>2</v>
      </c>
      <c r="F1297" t="s">
        <v>50</v>
      </c>
      <c r="G1297" t="s">
        <v>51</v>
      </c>
      <c r="H1297" t="s">
        <v>7145</v>
      </c>
      <c r="I1297" t="s">
        <v>52</v>
      </c>
      <c r="J1297" t="s">
        <v>121</v>
      </c>
      <c r="K1297" t="s">
        <v>54</v>
      </c>
      <c r="L1297" t="s">
        <v>55</v>
      </c>
      <c r="O1297" t="s">
        <v>122</v>
      </c>
      <c r="P1297" t="s">
        <v>123</v>
      </c>
      <c r="Q1297" t="s">
        <v>7146</v>
      </c>
      <c r="R1297" t="s">
        <v>7147</v>
      </c>
      <c r="S1297" t="s">
        <v>2895</v>
      </c>
      <c r="T1297" t="s">
        <v>2896</v>
      </c>
      <c r="U1297" t="s">
        <v>2897</v>
      </c>
    </row>
    <row r="1298" spans="1:21" hidden="1">
      <c r="A1298" t="s">
        <v>2738</v>
      </c>
      <c r="B1298" t="s">
        <v>7130</v>
      </c>
      <c r="C1298" t="s">
        <v>5984</v>
      </c>
      <c r="D1298" t="s">
        <v>17</v>
      </c>
      <c r="E1298" t="s">
        <v>2</v>
      </c>
      <c r="F1298" t="s">
        <v>50</v>
      </c>
      <c r="G1298" t="s">
        <v>100</v>
      </c>
      <c r="H1298" t="s">
        <v>2969</v>
      </c>
      <c r="I1298" t="s">
        <v>52</v>
      </c>
      <c r="J1298" t="s">
        <v>101</v>
      </c>
      <c r="K1298" t="s">
        <v>54</v>
      </c>
      <c r="L1298" t="s">
        <v>102</v>
      </c>
      <c r="O1298" t="s">
        <v>103</v>
      </c>
      <c r="P1298" t="s">
        <v>104</v>
      </c>
      <c r="Q1298" t="s">
        <v>7148</v>
      </c>
      <c r="R1298" t="s">
        <v>2971</v>
      </c>
      <c r="S1298" t="s">
        <v>2895</v>
      </c>
      <c r="T1298" t="s">
        <v>2896</v>
      </c>
      <c r="U1298" t="s">
        <v>2897</v>
      </c>
    </row>
    <row r="1299" spans="1:21" hidden="1">
      <c r="A1299" t="s">
        <v>2740</v>
      </c>
      <c r="B1299" t="s">
        <v>7130</v>
      </c>
      <c r="C1299" t="s">
        <v>7149</v>
      </c>
      <c r="D1299" t="s">
        <v>17</v>
      </c>
      <c r="E1299" t="s">
        <v>2</v>
      </c>
      <c r="F1299" t="s">
        <v>50</v>
      </c>
      <c r="G1299" t="s">
        <v>51</v>
      </c>
      <c r="H1299" t="s">
        <v>4009</v>
      </c>
      <c r="I1299" t="s">
        <v>52</v>
      </c>
      <c r="J1299" t="s">
        <v>60</v>
      </c>
      <c r="K1299" t="s">
        <v>54</v>
      </c>
      <c r="L1299" t="s">
        <v>55</v>
      </c>
      <c r="O1299" t="s">
        <v>61</v>
      </c>
      <c r="P1299" t="s">
        <v>62</v>
      </c>
      <c r="Q1299" t="s">
        <v>7150</v>
      </c>
      <c r="R1299" t="s">
        <v>4011</v>
      </c>
      <c r="S1299" t="s">
        <v>2895</v>
      </c>
      <c r="T1299" t="s">
        <v>2896</v>
      </c>
      <c r="U1299" t="s">
        <v>2897</v>
      </c>
    </row>
    <row r="1300" spans="1:21" hidden="1">
      <c r="A1300" t="s">
        <v>2742</v>
      </c>
      <c r="B1300" t="s">
        <v>7151</v>
      </c>
      <c r="C1300" t="s">
        <v>4873</v>
      </c>
      <c r="D1300" t="s">
        <v>17</v>
      </c>
      <c r="E1300" t="s">
        <v>2</v>
      </c>
      <c r="F1300" t="s">
        <v>50</v>
      </c>
      <c r="G1300" t="s">
        <v>51</v>
      </c>
      <c r="H1300" t="s">
        <v>7152</v>
      </c>
      <c r="I1300" t="s">
        <v>52</v>
      </c>
      <c r="J1300" t="s">
        <v>81</v>
      </c>
      <c r="K1300" t="s">
        <v>54</v>
      </c>
      <c r="L1300" t="s">
        <v>55</v>
      </c>
      <c r="O1300" t="s">
        <v>82</v>
      </c>
      <c r="P1300" t="s">
        <v>83</v>
      </c>
      <c r="Q1300" t="s">
        <v>7153</v>
      </c>
      <c r="R1300" t="s">
        <v>7154</v>
      </c>
      <c r="S1300" t="s">
        <v>2895</v>
      </c>
      <c r="T1300" t="s">
        <v>2896</v>
      </c>
      <c r="U1300" t="s">
        <v>2897</v>
      </c>
    </row>
    <row r="1301" spans="1:21" hidden="1">
      <c r="A1301" t="s">
        <v>2744</v>
      </c>
      <c r="B1301" t="s">
        <v>7151</v>
      </c>
      <c r="C1301" t="s">
        <v>7155</v>
      </c>
      <c r="D1301" t="s">
        <v>17</v>
      </c>
      <c r="E1301" t="s">
        <v>2</v>
      </c>
      <c r="F1301" t="s">
        <v>50</v>
      </c>
      <c r="G1301" t="s">
        <v>51</v>
      </c>
      <c r="H1301" t="s">
        <v>7156</v>
      </c>
      <c r="I1301" t="s">
        <v>52</v>
      </c>
      <c r="J1301" t="s">
        <v>53</v>
      </c>
      <c r="K1301" t="s">
        <v>54</v>
      </c>
      <c r="L1301" t="s">
        <v>55</v>
      </c>
      <c r="O1301" t="s">
        <v>56</v>
      </c>
      <c r="P1301" t="s">
        <v>57</v>
      </c>
      <c r="Q1301" t="s">
        <v>7157</v>
      </c>
      <c r="R1301" t="s">
        <v>7158</v>
      </c>
      <c r="S1301" t="s">
        <v>2895</v>
      </c>
      <c r="T1301" t="s">
        <v>2896</v>
      </c>
      <c r="U1301" t="s">
        <v>2897</v>
      </c>
    </row>
    <row r="1302" spans="1:21" hidden="1">
      <c r="A1302" t="s">
        <v>2746</v>
      </c>
      <c r="B1302" t="s">
        <v>7151</v>
      </c>
      <c r="C1302" t="s">
        <v>4219</v>
      </c>
      <c r="D1302" t="s">
        <v>17</v>
      </c>
      <c r="E1302" t="s">
        <v>2</v>
      </c>
      <c r="F1302" t="s">
        <v>50</v>
      </c>
      <c r="G1302" t="s">
        <v>100</v>
      </c>
      <c r="H1302" t="s">
        <v>7159</v>
      </c>
      <c r="I1302" t="s">
        <v>52</v>
      </c>
      <c r="J1302" t="s">
        <v>114</v>
      </c>
      <c r="K1302" t="s">
        <v>54</v>
      </c>
      <c r="L1302" t="s">
        <v>102</v>
      </c>
      <c r="O1302" t="s">
        <v>103</v>
      </c>
      <c r="P1302" t="s">
        <v>104</v>
      </c>
      <c r="Q1302" t="s">
        <v>7160</v>
      </c>
      <c r="R1302" t="s">
        <v>7161</v>
      </c>
      <c r="S1302" t="s">
        <v>2895</v>
      </c>
      <c r="T1302" t="s">
        <v>2896</v>
      </c>
      <c r="U1302" t="s">
        <v>2897</v>
      </c>
    </row>
    <row r="1303" spans="1:21" hidden="1">
      <c r="A1303" t="s">
        <v>2748</v>
      </c>
      <c r="B1303" t="s">
        <v>7151</v>
      </c>
      <c r="C1303" t="s">
        <v>3194</v>
      </c>
      <c r="D1303" t="s">
        <v>17</v>
      </c>
      <c r="E1303" t="s">
        <v>2</v>
      </c>
      <c r="F1303" t="s">
        <v>50</v>
      </c>
      <c r="G1303" t="s">
        <v>51</v>
      </c>
      <c r="H1303" t="s">
        <v>7162</v>
      </c>
      <c r="I1303" t="s">
        <v>52</v>
      </c>
      <c r="J1303" t="s">
        <v>60</v>
      </c>
      <c r="K1303" t="s">
        <v>54</v>
      </c>
      <c r="L1303" t="s">
        <v>55</v>
      </c>
      <c r="O1303" t="s">
        <v>61</v>
      </c>
      <c r="P1303" t="s">
        <v>62</v>
      </c>
      <c r="Q1303" t="s">
        <v>7163</v>
      </c>
      <c r="R1303" t="s">
        <v>7164</v>
      </c>
      <c r="S1303" t="s">
        <v>2895</v>
      </c>
      <c r="T1303" t="s">
        <v>2896</v>
      </c>
      <c r="U1303" t="s">
        <v>2897</v>
      </c>
    </row>
    <row r="1304" spans="1:21" hidden="1">
      <c r="A1304" t="s">
        <v>2750</v>
      </c>
      <c r="B1304" t="s">
        <v>7151</v>
      </c>
      <c r="C1304" t="s">
        <v>7165</v>
      </c>
      <c r="D1304" t="s">
        <v>17</v>
      </c>
      <c r="E1304" t="s">
        <v>2</v>
      </c>
      <c r="F1304" t="s">
        <v>50</v>
      </c>
      <c r="G1304" t="s">
        <v>100</v>
      </c>
      <c r="H1304" t="s">
        <v>7092</v>
      </c>
      <c r="I1304" t="s">
        <v>52</v>
      </c>
      <c r="J1304" t="s">
        <v>114</v>
      </c>
      <c r="K1304" t="s">
        <v>54</v>
      </c>
      <c r="L1304" t="s">
        <v>102</v>
      </c>
      <c r="O1304" t="s">
        <v>103</v>
      </c>
      <c r="P1304" t="s">
        <v>104</v>
      </c>
      <c r="Q1304" t="s">
        <v>7166</v>
      </c>
      <c r="R1304" t="s">
        <v>7094</v>
      </c>
      <c r="S1304" t="s">
        <v>2895</v>
      </c>
      <c r="T1304" t="s">
        <v>2896</v>
      </c>
      <c r="U1304" t="s">
        <v>2897</v>
      </c>
    </row>
    <row r="1305" spans="1:21" hidden="1">
      <c r="A1305" t="s">
        <v>2752</v>
      </c>
      <c r="B1305" t="s">
        <v>7167</v>
      </c>
      <c r="C1305" t="s">
        <v>3629</v>
      </c>
      <c r="D1305" t="s">
        <v>17</v>
      </c>
      <c r="E1305" t="s">
        <v>2</v>
      </c>
      <c r="F1305" t="s">
        <v>50</v>
      </c>
      <c r="G1305" t="s">
        <v>51</v>
      </c>
      <c r="H1305" t="s">
        <v>7168</v>
      </c>
      <c r="I1305" t="s">
        <v>52</v>
      </c>
      <c r="J1305" t="s">
        <v>53</v>
      </c>
      <c r="K1305" t="s">
        <v>54</v>
      </c>
      <c r="L1305" t="s">
        <v>55</v>
      </c>
      <c r="O1305" t="s">
        <v>56</v>
      </c>
      <c r="P1305" t="s">
        <v>57</v>
      </c>
      <c r="Q1305" t="s">
        <v>7169</v>
      </c>
      <c r="R1305" t="s">
        <v>7170</v>
      </c>
      <c r="S1305" t="s">
        <v>2895</v>
      </c>
      <c r="T1305" t="s">
        <v>2896</v>
      </c>
      <c r="U1305" t="s">
        <v>2897</v>
      </c>
    </row>
    <row r="1306" spans="1:21" hidden="1">
      <c r="A1306" t="s">
        <v>2754</v>
      </c>
      <c r="B1306" t="s">
        <v>7167</v>
      </c>
      <c r="C1306" t="s">
        <v>7171</v>
      </c>
      <c r="D1306" t="s">
        <v>17</v>
      </c>
      <c r="E1306" t="s">
        <v>2</v>
      </c>
      <c r="F1306" t="s">
        <v>50</v>
      </c>
      <c r="G1306" t="s">
        <v>51</v>
      </c>
      <c r="H1306" t="s">
        <v>7172</v>
      </c>
      <c r="I1306" t="s">
        <v>52</v>
      </c>
      <c r="J1306" t="s">
        <v>60</v>
      </c>
      <c r="K1306" t="s">
        <v>54</v>
      </c>
      <c r="L1306" t="s">
        <v>55</v>
      </c>
      <c r="O1306" t="s">
        <v>61</v>
      </c>
      <c r="P1306" t="s">
        <v>62</v>
      </c>
      <c r="Q1306" t="s">
        <v>7173</v>
      </c>
      <c r="R1306" t="s">
        <v>7174</v>
      </c>
      <c r="S1306" t="s">
        <v>2895</v>
      </c>
      <c r="T1306" t="s">
        <v>2896</v>
      </c>
      <c r="U1306" t="s">
        <v>2897</v>
      </c>
    </row>
    <row r="1307" spans="1:21" hidden="1">
      <c r="A1307" t="s">
        <v>2756</v>
      </c>
      <c r="B1307" t="s">
        <v>7167</v>
      </c>
      <c r="C1307" t="s">
        <v>6594</v>
      </c>
      <c r="D1307" t="s">
        <v>17</v>
      </c>
      <c r="E1307" t="s">
        <v>2</v>
      </c>
      <c r="F1307" t="s">
        <v>50</v>
      </c>
      <c r="G1307" t="s">
        <v>51</v>
      </c>
      <c r="H1307" t="s">
        <v>7175</v>
      </c>
      <c r="I1307" t="s">
        <v>52</v>
      </c>
      <c r="J1307" t="s">
        <v>53</v>
      </c>
      <c r="K1307" t="s">
        <v>54</v>
      </c>
      <c r="L1307" t="s">
        <v>55</v>
      </c>
      <c r="O1307" t="s">
        <v>56</v>
      </c>
      <c r="P1307" t="s">
        <v>57</v>
      </c>
      <c r="Q1307" t="s">
        <v>7176</v>
      </c>
      <c r="R1307" t="s">
        <v>7177</v>
      </c>
      <c r="S1307" t="s">
        <v>2895</v>
      </c>
      <c r="T1307" t="s">
        <v>2896</v>
      </c>
      <c r="U1307" t="s">
        <v>2897</v>
      </c>
    </row>
    <row r="1308" spans="1:21" hidden="1">
      <c r="A1308" t="s">
        <v>2758</v>
      </c>
      <c r="B1308" t="s">
        <v>7167</v>
      </c>
      <c r="C1308" t="s">
        <v>5622</v>
      </c>
      <c r="D1308" t="s">
        <v>17</v>
      </c>
      <c r="E1308" t="s">
        <v>2</v>
      </c>
      <c r="F1308" t="s">
        <v>50</v>
      </c>
      <c r="G1308" t="s">
        <v>51</v>
      </c>
      <c r="H1308" t="s">
        <v>7178</v>
      </c>
      <c r="I1308" t="s">
        <v>52</v>
      </c>
      <c r="J1308" t="s">
        <v>65</v>
      </c>
      <c r="K1308" t="s">
        <v>54</v>
      </c>
      <c r="L1308" t="s">
        <v>55</v>
      </c>
      <c r="O1308" t="s">
        <v>66</v>
      </c>
      <c r="P1308" t="s">
        <v>67</v>
      </c>
      <c r="Q1308" t="s">
        <v>7179</v>
      </c>
      <c r="R1308" t="s">
        <v>7180</v>
      </c>
      <c r="S1308" t="s">
        <v>2895</v>
      </c>
      <c r="T1308" t="s">
        <v>2896</v>
      </c>
      <c r="U1308" t="s">
        <v>2897</v>
      </c>
    </row>
    <row r="1309" spans="1:21" hidden="1">
      <c r="A1309" t="s">
        <v>2760</v>
      </c>
      <c r="B1309" t="s">
        <v>7167</v>
      </c>
      <c r="C1309" t="s">
        <v>4680</v>
      </c>
      <c r="D1309" t="s">
        <v>17</v>
      </c>
      <c r="E1309" t="s">
        <v>2</v>
      </c>
      <c r="F1309" t="s">
        <v>50</v>
      </c>
      <c r="G1309" t="s">
        <v>51</v>
      </c>
      <c r="H1309" t="s">
        <v>7181</v>
      </c>
      <c r="I1309" t="s">
        <v>52</v>
      </c>
      <c r="J1309" t="s">
        <v>53</v>
      </c>
      <c r="K1309" t="s">
        <v>54</v>
      </c>
      <c r="L1309" t="s">
        <v>55</v>
      </c>
      <c r="O1309" t="s">
        <v>56</v>
      </c>
      <c r="P1309" t="s">
        <v>57</v>
      </c>
      <c r="Q1309" t="s">
        <v>7182</v>
      </c>
      <c r="R1309" t="s">
        <v>7183</v>
      </c>
      <c r="S1309" t="s">
        <v>2895</v>
      </c>
      <c r="T1309" t="s">
        <v>2896</v>
      </c>
      <c r="U1309" t="s">
        <v>2897</v>
      </c>
    </row>
    <row r="1310" spans="1:21" hidden="1">
      <c r="A1310" t="s">
        <v>2762</v>
      </c>
      <c r="B1310" t="s">
        <v>7167</v>
      </c>
      <c r="C1310" t="s">
        <v>7184</v>
      </c>
      <c r="D1310" t="s">
        <v>17</v>
      </c>
      <c r="E1310" t="s">
        <v>2</v>
      </c>
      <c r="F1310" t="s">
        <v>50</v>
      </c>
      <c r="G1310" t="s">
        <v>51</v>
      </c>
      <c r="H1310" t="s">
        <v>7185</v>
      </c>
      <c r="I1310" t="s">
        <v>52</v>
      </c>
      <c r="J1310" t="s">
        <v>53</v>
      </c>
      <c r="K1310" t="s">
        <v>54</v>
      </c>
      <c r="L1310" t="s">
        <v>55</v>
      </c>
      <c r="O1310" t="s">
        <v>56</v>
      </c>
      <c r="P1310" t="s">
        <v>57</v>
      </c>
      <c r="Q1310" t="s">
        <v>7186</v>
      </c>
      <c r="R1310" t="s">
        <v>7187</v>
      </c>
      <c r="S1310" t="s">
        <v>2895</v>
      </c>
      <c r="T1310" t="s">
        <v>2896</v>
      </c>
      <c r="U1310" t="s">
        <v>2897</v>
      </c>
    </row>
    <row r="1311" spans="1:21" hidden="1">
      <c r="A1311" t="s">
        <v>2764</v>
      </c>
      <c r="B1311" t="s">
        <v>7167</v>
      </c>
      <c r="C1311" t="s">
        <v>5451</v>
      </c>
      <c r="D1311" t="s">
        <v>17</v>
      </c>
      <c r="E1311" t="s">
        <v>2</v>
      </c>
      <c r="F1311" t="s">
        <v>50</v>
      </c>
      <c r="G1311" t="s">
        <v>51</v>
      </c>
      <c r="H1311" t="s">
        <v>7188</v>
      </c>
      <c r="I1311" t="s">
        <v>52</v>
      </c>
      <c r="J1311" t="s">
        <v>126</v>
      </c>
      <c r="K1311" t="s">
        <v>54</v>
      </c>
      <c r="L1311" t="s">
        <v>55</v>
      </c>
      <c r="O1311" t="s">
        <v>56</v>
      </c>
      <c r="P1311" t="s">
        <v>57</v>
      </c>
      <c r="Q1311" t="s">
        <v>5832</v>
      </c>
      <c r="R1311" t="s">
        <v>7189</v>
      </c>
      <c r="S1311" t="s">
        <v>2895</v>
      </c>
      <c r="T1311" t="s">
        <v>2896</v>
      </c>
      <c r="U1311" t="s">
        <v>2897</v>
      </c>
    </row>
    <row r="1312" spans="1:21" hidden="1">
      <c r="A1312" t="s">
        <v>2766</v>
      </c>
      <c r="B1312" t="s">
        <v>7190</v>
      </c>
      <c r="C1312" t="s">
        <v>3103</v>
      </c>
      <c r="D1312" t="s">
        <v>17</v>
      </c>
      <c r="E1312" t="s">
        <v>2</v>
      </c>
      <c r="F1312" t="s">
        <v>50</v>
      </c>
      <c r="G1312" t="s">
        <v>51</v>
      </c>
      <c r="H1312" t="s">
        <v>7191</v>
      </c>
      <c r="I1312" t="s">
        <v>52</v>
      </c>
      <c r="J1312" t="s">
        <v>53</v>
      </c>
      <c r="K1312" t="s">
        <v>54</v>
      </c>
      <c r="L1312" t="s">
        <v>55</v>
      </c>
      <c r="O1312" t="s">
        <v>56</v>
      </c>
      <c r="P1312" t="s">
        <v>57</v>
      </c>
      <c r="Q1312" t="s">
        <v>7192</v>
      </c>
      <c r="R1312" t="s">
        <v>7193</v>
      </c>
      <c r="S1312" t="s">
        <v>2895</v>
      </c>
      <c r="T1312" t="s">
        <v>2896</v>
      </c>
      <c r="U1312" t="s">
        <v>2897</v>
      </c>
    </row>
    <row r="1313" spans="1:21" hidden="1">
      <c r="A1313" t="s">
        <v>2768</v>
      </c>
      <c r="B1313" t="s">
        <v>7190</v>
      </c>
      <c r="C1313" t="s">
        <v>7194</v>
      </c>
      <c r="D1313" t="s">
        <v>17</v>
      </c>
      <c r="E1313" t="s">
        <v>2</v>
      </c>
      <c r="F1313" t="s">
        <v>50</v>
      </c>
      <c r="G1313" t="s">
        <v>51</v>
      </c>
      <c r="H1313" t="s">
        <v>7195</v>
      </c>
      <c r="I1313" t="s">
        <v>52</v>
      </c>
      <c r="J1313" t="s">
        <v>60</v>
      </c>
      <c r="K1313" t="s">
        <v>54</v>
      </c>
      <c r="L1313" t="s">
        <v>55</v>
      </c>
      <c r="O1313" t="s">
        <v>61</v>
      </c>
      <c r="P1313" t="s">
        <v>62</v>
      </c>
      <c r="Q1313" t="s">
        <v>7196</v>
      </c>
      <c r="R1313" t="s">
        <v>7197</v>
      </c>
      <c r="S1313" t="s">
        <v>2895</v>
      </c>
      <c r="T1313" t="s">
        <v>2896</v>
      </c>
      <c r="U1313" t="s">
        <v>2897</v>
      </c>
    </row>
    <row r="1314" spans="1:21" hidden="1">
      <c r="A1314" t="s">
        <v>2770</v>
      </c>
      <c r="B1314" t="s">
        <v>7190</v>
      </c>
      <c r="C1314" t="s">
        <v>7198</v>
      </c>
      <c r="D1314" t="s">
        <v>17</v>
      </c>
      <c r="E1314" t="s">
        <v>2</v>
      </c>
      <c r="F1314" t="s">
        <v>50</v>
      </c>
      <c r="G1314" t="s">
        <v>51</v>
      </c>
      <c r="H1314" t="s">
        <v>7199</v>
      </c>
      <c r="I1314" t="s">
        <v>52</v>
      </c>
      <c r="J1314" t="s">
        <v>121</v>
      </c>
      <c r="K1314" t="s">
        <v>54</v>
      </c>
      <c r="L1314" t="s">
        <v>55</v>
      </c>
      <c r="O1314" t="s">
        <v>122</v>
      </c>
      <c r="P1314" t="s">
        <v>123</v>
      </c>
      <c r="Q1314" t="s">
        <v>7200</v>
      </c>
      <c r="R1314" t="s">
        <v>7201</v>
      </c>
      <c r="S1314" t="s">
        <v>2895</v>
      </c>
      <c r="T1314" t="s">
        <v>2896</v>
      </c>
      <c r="U1314" t="s">
        <v>2897</v>
      </c>
    </row>
    <row r="1315" spans="1:21" hidden="1">
      <c r="A1315" t="s">
        <v>2772</v>
      </c>
      <c r="B1315" t="s">
        <v>7190</v>
      </c>
      <c r="C1315" t="s">
        <v>4389</v>
      </c>
      <c r="D1315" t="s">
        <v>17</v>
      </c>
      <c r="E1315" t="s">
        <v>2</v>
      </c>
      <c r="F1315" t="s">
        <v>50</v>
      </c>
      <c r="G1315" t="s">
        <v>100</v>
      </c>
      <c r="H1315" t="s">
        <v>2969</v>
      </c>
      <c r="I1315" t="s">
        <v>52</v>
      </c>
      <c r="J1315" t="s">
        <v>101</v>
      </c>
      <c r="K1315" t="s">
        <v>54</v>
      </c>
      <c r="L1315" t="s">
        <v>102</v>
      </c>
      <c r="O1315" t="s">
        <v>103</v>
      </c>
      <c r="P1315" t="s">
        <v>104</v>
      </c>
      <c r="Q1315" t="s">
        <v>7202</v>
      </c>
      <c r="R1315" t="s">
        <v>2971</v>
      </c>
      <c r="S1315" t="s">
        <v>2895</v>
      </c>
      <c r="T1315" t="s">
        <v>2896</v>
      </c>
      <c r="U1315" t="s">
        <v>2897</v>
      </c>
    </row>
    <row r="1316" spans="1:21" hidden="1">
      <c r="A1316" t="s">
        <v>2774</v>
      </c>
      <c r="B1316" t="s">
        <v>7190</v>
      </c>
      <c r="C1316" t="s">
        <v>3825</v>
      </c>
      <c r="D1316" t="s">
        <v>17</v>
      </c>
      <c r="E1316" t="s">
        <v>2</v>
      </c>
      <c r="F1316" t="s">
        <v>50</v>
      </c>
      <c r="G1316" t="s">
        <v>51</v>
      </c>
      <c r="H1316" t="s">
        <v>6142</v>
      </c>
      <c r="I1316" t="s">
        <v>52</v>
      </c>
      <c r="J1316" t="s">
        <v>126</v>
      </c>
      <c r="K1316" t="s">
        <v>54</v>
      </c>
      <c r="L1316" t="s">
        <v>55</v>
      </c>
      <c r="O1316" t="s">
        <v>56</v>
      </c>
      <c r="P1316" t="s">
        <v>57</v>
      </c>
      <c r="Q1316" t="s">
        <v>7203</v>
      </c>
      <c r="R1316" t="s">
        <v>6144</v>
      </c>
      <c r="S1316" t="s">
        <v>2895</v>
      </c>
      <c r="T1316" t="s">
        <v>2896</v>
      </c>
      <c r="U1316" t="s">
        <v>2897</v>
      </c>
    </row>
    <row r="1317" spans="1:21" hidden="1">
      <c r="A1317" t="s">
        <v>2776</v>
      </c>
      <c r="B1317" t="s">
        <v>7190</v>
      </c>
      <c r="C1317" t="s">
        <v>3365</v>
      </c>
      <c r="D1317" t="s">
        <v>17</v>
      </c>
      <c r="E1317" t="s">
        <v>2</v>
      </c>
      <c r="F1317" t="s">
        <v>50</v>
      </c>
      <c r="G1317" t="s">
        <v>100</v>
      </c>
      <c r="H1317" t="s">
        <v>7204</v>
      </c>
      <c r="I1317" t="s">
        <v>52</v>
      </c>
      <c r="J1317" t="s">
        <v>114</v>
      </c>
      <c r="K1317" t="s">
        <v>54</v>
      </c>
      <c r="L1317" t="s">
        <v>102</v>
      </c>
      <c r="O1317" t="s">
        <v>103</v>
      </c>
      <c r="P1317" t="s">
        <v>104</v>
      </c>
      <c r="Q1317" t="s">
        <v>7205</v>
      </c>
      <c r="R1317" t="s">
        <v>7206</v>
      </c>
      <c r="S1317" t="s">
        <v>2895</v>
      </c>
      <c r="T1317" t="s">
        <v>2896</v>
      </c>
      <c r="U1317" t="s">
        <v>2897</v>
      </c>
    </row>
    <row r="1318" spans="1:21" hidden="1">
      <c r="A1318" t="s">
        <v>2778</v>
      </c>
      <c r="B1318" t="s">
        <v>7190</v>
      </c>
      <c r="C1318" t="s">
        <v>3286</v>
      </c>
      <c r="D1318" t="s">
        <v>17</v>
      </c>
      <c r="E1318" t="s">
        <v>2</v>
      </c>
      <c r="F1318" t="s">
        <v>50</v>
      </c>
      <c r="G1318" t="s">
        <v>51</v>
      </c>
      <c r="H1318" t="s">
        <v>7207</v>
      </c>
      <c r="I1318" t="s">
        <v>52</v>
      </c>
      <c r="J1318" t="s">
        <v>126</v>
      </c>
      <c r="K1318" t="s">
        <v>54</v>
      </c>
      <c r="L1318" t="s">
        <v>55</v>
      </c>
      <c r="O1318" t="s">
        <v>56</v>
      </c>
      <c r="P1318" t="s">
        <v>57</v>
      </c>
      <c r="Q1318" t="s">
        <v>7208</v>
      </c>
      <c r="R1318" t="s">
        <v>7209</v>
      </c>
      <c r="S1318" t="s">
        <v>2895</v>
      </c>
      <c r="T1318" t="s">
        <v>2896</v>
      </c>
      <c r="U1318" t="s">
        <v>2897</v>
      </c>
    </row>
    <row r="1319" spans="1:21" hidden="1">
      <c r="A1319" t="s">
        <v>2780</v>
      </c>
      <c r="B1319" t="s">
        <v>7210</v>
      </c>
      <c r="C1319" t="s">
        <v>3008</v>
      </c>
      <c r="D1319" t="s">
        <v>17</v>
      </c>
      <c r="E1319" t="s">
        <v>2</v>
      </c>
      <c r="F1319" t="s">
        <v>50</v>
      </c>
      <c r="G1319" t="s">
        <v>51</v>
      </c>
      <c r="H1319" t="s">
        <v>7211</v>
      </c>
      <c r="I1319" t="s">
        <v>52</v>
      </c>
      <c r="J1319" t="s">
        <v>126</v>
      </c>
      <c r="K1319" t="s">
        <v>54</v>
      </c>
      <c r="L1319" t="s">
        <v>55</v>
      </c>
      <c r="O1319" t="s">
        <v>56</v>
      </c>
      <c r="P1319" t="s">
        <v>57</v>
      </c>
      <c r="Q1319" t="s">
        <v>7212</v>
      </c>
      <c r="R1319" t="s">
        <v>7213</v>
      </c>
      <c r="S1319" t="s">
        <v>2895</v>
      </c>
      <c r="T1319" t="s">
        <v>2896</v>
      </c>
      <c r="U1319" t="s">
        <v>2897</v>
      </c>
    </row>
    <row r="1320" spans="1:21" hidden="1">
      <c r="A1320" t="s">
        <v>2782</v>
      </c>
      <c r="B1320" t="s">
        <v>7210</v>
      </c>
      <c r="C1320" t="s">
        <v>6995</v>
      </c>
      <c r="D1320" t="s">
        <v>17</v>
      </c>
      <c r="E1320" t="s">
        <v>2</v>
      </c>
      <c r="F1320" t="s">
        <v>50</v>
      </c>
      <c r="G1320" t="s">
        <v>100</v>
      </c>
      <c r="H1320" t="s">
        <v>7214</v>
      </c>
      <c r="I1320" t="s">
        <v>52</v>
      </c>
      <c r="J1320" t="s">
        <v>114</v>
      </c>
      <c r="K1320" t="s">
        <v>54</v>
      </c>
      <c r="L1320" t="s">
        <v>102</v>
      </c>
      <c r="O1320" t="s">
        <v>103</v>
      </c>
      <c r="P1320" t="s">
        <v>104</v>
      </c>
      <c r="Q1320" t="s">
        <v>7215</v>
      </c>
      <c r="R1320" t="s">
        <v>7216</v>
      </c>
      <c r="S1320" t="s">
        <v>2895</v>
      </c>
      <c r="T1320" t="s">
        <v>2896</v>
      </c>
      <c r="U1320" t="s">
        <v>2897</v>
      </c>
    </row>
    <row r="1321" spans="1:21" hidden="1">
      <c r="A1321" t="s">
        <v>2784</v>
      </c>
      <c r="B1321" t="s">
        <v>7210</v>
      </c>
      <c r="C1321" t="s">
        <v>3969</v>
      </c>
      <c r="D1321" t="s">
        <v>17</v>
      </c>
      <c r="E1321" t="s">
        <v>2</v>
      </c>
      <c r="F1321" t="s">
        <v>50</v>
      </c>
      <c r="G1321" t="s">
        <v>51</v>
      </c>
      <c r="H1321" t="s">
        <v>5412</v>
      </c>
      <c r="I1321" t="s">
        <v>52</v>
      </c>
      <c r="J1321" t="s">
        <v>60</v>
      </c>
      <c r="K1321" t="s">
        <v>54</v>
      </c>
      <c r="L1321" t="s">
        <v>55</v>
      </c>
      <c r="O1321" t="s">
        <v>61</v>
      </c>
      <c r="P1321" t="s">
        <v>62</v>
      </c>
      <c r="Q1321" t="s">
        <v>7217</v>
      </c>
      <c r="R1321" t="s">
        <v>5414</v>
      </c>
      <c r="S1321" t="s">
        <v>2895</v>
      </c>
      <c r="T1321" t="s">
        <v>2896</v>
      </c>
      <c r="U1321" t="s">
        <v>2897</v>
      </c>
    </row>
    <row r="1322" spans="1:21" hidden="1">
      <c r="A1322" t="s">
        <v>2786</v>
      </c>
      <c r="B1322" t="s">
        <v>7210</v>
      </c>
      <c r="C1322" t="s">
        <v>7218</v>
      </c>
      <c r="D1322" t="s">
        <v>17</v>
      </c>
      <c r="E1322" t="s">
        <v>2</v>
      </c>
      <c r="F1322" t="s">
        <v>50</v>
      </c>
      <c r="G1322" t="s">
        <v>51</v>
      </c>
      <c r="H1322" t="s">
        <v>7219</v>
      </c>
      <c r="I1322" t="s">
        <v>52</v>
      </c>
      <c r="J1322" t="s">
        <v>196</v>
      </c>
      <c r="K1322" t="s">
        <v>54</v>
      </c>
      <c r="L1322" t="s">
        <v>55</v>
      </c>
      <c r="O1322" t="s">
        <v>197</v>
      </c>
      <c r="P1322" t="s">
        <v>198</v>
      </c>
      <c r="Q1322" t="s">
        <v>7220</v>
      </c>
      <c r="R1322" t="s">
        <v>7221</v>
      </c>
      <c r="S1322" t="s">
        <v>2895</v>
      </c>
      <c r="T1322" t="s">
        <v>2896</v>
      </c>
      <c r="U1322" t="s">
        <v>2897</v>
      </c>
    </row>
    <row r="1323" spans="1:21" hidden="1">
      <c r="A1323" t="s">
        <v>2788</v>
      </c>
      <c r="B1323" t="s">
        <v>7210</v>
      </c>
      <c r="C1323" t="s">
        <v>7222</v>
      </c>
      <c r="D1323" t="s">
        <v>17</v>
      </c>
      <c r="E1323" t="s">
        <v>2</v>
      </c>
      <c r="F1323" t="s">
        <v>50</v>
      </c>
      <c r="G1323" t="s">
        <v>51</v>
      </c>
      <c r="H1323" t="s">
        <v>7223</v>
      </c>
      <c r="I1323" t="s">
        <v>52</v>
      </c>
      <c r="J1323" t="s">
        <v>53</v>
      </c>
      <c r="K1323" t="s">
        <v>54</v>
      </c>
      <c r="L1323" t="s">
        <v>55</v>
      </c>
      <c r="O1323" t="s">
        <v>56</v>
      </c>
      <c r="P1323" t="s">
        <v>57</v>
      </c>
      <c r="Q1323" t="s">
        <v>7224</v>
      </c>
      <c r="R1323" t="s">
        <v>7225</v>
      </c>
      <c r="S1323" t="s">
        <v>2895</v>
      </c>
      <c r="T1323" t="s">
        <v>2896</v>
      </c>
      <c r="U1323" t="s">
        <v>2897</v>
      </c>
    </row>
    <row r="1324" spans="1:21" hidden="1">
      <c r="A1324" t="s">
        <v>2790</v>
      </c>
      <c r="B1324" t="s">
        <v>7210</v>
      </c>
      <c r="C1324" t="s">
        <v>5709</v>
      </c>
      <c r="D1324" t="s">
        <v>17</v>
      </c>
      <c r="E1324" t="s">
        <v>2</v>
      </c>
      <c r="F1324" t="s">
        <v>50</v>
      </c>
      <c r="G1324" t="s">
        <v>51</v>
      </c>
      <c r="H1324" t="s">
        <v>7226</v>
      </c>
      <c r="I1324" t="s">
        <v>52</v>
      </c>
      <c r="J1324" t="s">
        <v>53</v>
      </c>
      <c r="K1324" t="s">
        <v>54</v>
      </c>
      <c r="L1324" t="s">
        <v>55</v>
      </c>
      <c r="O1324" t="s">
        <v>56</v>
      </c>
      <c r="P1324" t="s">
        <v>57</v>
      </c>
      <c r="Q1324" t="s">
        <v>7227</v>
      </c>
      <c r="R1324" t="s">
        <v>7228</v>
      </c>
      <c r="S1324" t="s">
        <v>2895</v>
      </c>
      <c r="T1324" t="s">
        <v>2896</v>
      </c>
      <c r="U1324" t="s">
        <v>2897</v>
      </c>
    </row>
    <row r="1325" spans="1:21" hidden="1">
      <c r="A1325" t="s">
        <v>2792</v>
      </c>
      <c r="B1325" t="s">
        <v>7210</v>
      </c>
      <c r="C1325" t="s">
        <v>3234</v>
      </c>
      <c r="D1325" t="s">
        <v>17</v>
      </c>
      <c r="E1325" t="s">
        <v>2</v>
      </c>
      <c r="F1325" t="s">
        <v>50</v>
      </c>
      <c r="G1325" t="s">
        <v>100</v>
      </c>
      <c r="H1325" t="s">
        <v>7229</v>
      </c>
      <c r="I1325" t="s">
        <v>52</v>
      </c>
      <c r="J1325" t="s">
        <v>114</v>
      </c>
      <c r="K1325" t="s">
        <v>54</v>
      </c>
      <c r="L1325" t="s">
        <v>102</v>
      </c>
      <c r="O1325" t="s">
        <v>103</v>
      </c>
      <c r="P1325" t="s">
        <v>104</v>
      </c>
      <c r="Q1325" t="s">
        <v>7230</v>
      </c>
      <c r="R1325" t="s">
        <v>7231</v>
      </c>
      <c r="S1325" t="s">
        <v>2895</v>
      </c>
      <c r="T1325" t="s">
        <v>2896</v>
      </c>
      <c r="U1325" t="s">
        <v>2897</v>
      </c>
    </row>
    <row r="1326" spans="1:21" hidden="1">
      <c r="A1326" t="s">
        <v>2794</v>
      </c>
      <c r="B1326" t="s">
        <v>7232</v>
      </c>
      <c r="C1326" t="s">
        <v>4146</v>
      </c>
      <c r="D1326" t="s">
        <v>17</v>
      </c>
      <c r="E1326" t="s">
        <v>2</v>
      </c>
      <c r="F1326" t="s">
        <v>50</v>
      </c>
      <c r="G1326" t="s">
        <v>51</v>
      </c>
      <c r="H1326" t="s">
        <v>7233</v>
      </c>
      <c r="I1326" t="s">
        <v>52</v>
      </c>
      <c r="J1326" t="s">
        <v>53</v>
      </c>
      <c r="K1326" t="s">
        <v>54</v>
      </c>
      <c r="L1326" t="s">
        <v>55</v>
      </c>
      <c r="O1326" t="s">
        <v>56</v>
      </c>
      <c r="P1326" t="s">
        <v>57</v>
      </c>
      <c r="Q1326" t="s">
        <v>7234</v>
      </c>
      <c r="R1326" t="s">
        <v>7235</v>
      </c>
      <c r="S1326" t="s">
        <v>2895</v>
      </c>
      <c r="T1326" t="s">
        <v>2896</v>
      </c>
      <c r="U1326" t="s">
        <v>2897</v>
      </c>
    </row>
    <row r="1327" spans="1:21" hidden="1">
      <c r="A1327" t="s">
        <v>2796</v>
      </c>
      <c r="B1327" t="s">
        <v>7232</v>
      </c>
      <c r="C1327" t="s">
        <v>6204</v>
      </c>
      <c r="D1327" t="s">
        <v>17</v>
      </c>
      <c r="E1327" t="s">
        <v>2</v>
      </c>
      <c r="F1327" t="s">
        <v>50</v>
      </c>
      <c r="G1327" t="s">
        <v>51</v>
      </c>
      <c r="H1327" t="s">
        <v>4689</v>
      </c>
      <c r="I1327" t="s">
        <v>52</v>
      </c>
      <c r="J1327" t="s">
        <v>81</v>
      </c>
      <c r="K1327" t="s">
        <v>54</v>
      </c>
      <c r="L1327" t="s">
        <v>55</v>
      </c>
      <c r="O1327" t="s">
        <v>82</v>
      </c>
      <c r="P1327" t="s">
        <v>83</v>
      </c>
      <c r="Q1327" t="s">
        <v>7236</v>
      </c>
      <c r="R1327" t="s">
        <v>4691</v>
      </c>
      <c r="S1327" t="s">
        <v>2895</v>
      </c>
      <c r="T1327" t="s">
        <v>2896</v>
      </c>
      <c r="U1327" t="s">
        <v>2897</v>
      </c>
    </row>
    <row r="1328" spans="1:21" hidden="1">
      <c r="A1328" t="s">
        <v>2797</v>
      </c>
      <c r="B1328" t="s">
        <v>7232</v>
      </c>
      <c r="C1328" t="s">
        <v>6130</v>
      </c>
      <c r="D1328" t="s">
        <v>17</v>
      </c>
      <c r="E1328" t="s">
        <v>2</v>
      </c>
      <c r="F1328" t="s">
        <v>50</v>
      </c>
      <c r="G1328" t="s">
        <v>51</v>
      </c>
      <c r="H1328" t="s">
        <v>7237</v>
      </c>
      <c r="I1328" t="s">
        <v>52</v>
      </c>
      <c r="J1328" t="s">
        <v>60</v>
      </c>
      <c r="K1328" t="s">
        <v>54</v>
      </c>
      <c r="L1328" t="s">
        <v>55</v>
      </c>
      <c r="O1328" t="s">
        <v>61</v>
      </c>
      <c r="P1328" t="s">
        <v>62</v>
      </c>
      <c r="Q1328" t="s">
        <v>7238</v>
      </c>
      <c r="R1328" t="s">
        <v>7239</v>
      </c>
      <c r="S1328" t="s">
        <v>2895</v>
      </c>
      <c r="T1328" t="s">
        <v>2896</v>
      </c>
      <c r="U1328" t="s">
        <v>2897</v>
      </c>
    </row>
    <row r="1329" spans="1:21" hidden="1">
      <c r="A1329" t="s">
        <v>2799</v>
      </c>
      <c r="B1329" t="s">
        <v>7232</v>
      </c>
      <c r="C1329" t="s">
        <v>7240</v>
      </c>
      <c r="D1329" t="s">
        <v>17</v>
      </c>
      <c r="E1329" t="s">
        <v>2</v>
      </c>
      <c r="F1329" t="s">
        <v>50</v>
      </c>
      <c r="G1329" t="s">
        <v>51</v>
      </c>
      <c r="H1329" t="s">
        <v>7241</v>
      </c>
      <c r="I1329" t="s">
        <v>52</v>
      </c>
      <c r="J1329" t="s">
        <v>126</v>
      </c>
      <c r="K1329" t="s">
        <v>54</v>
      </c>
      <c r="L1329" t="s">
        <v>55</v>
      </c>
      <c r="O1329" t="s">
        <v>56</v>
      </c>
      <c r="P1329" t="s">
        <v>57</v>
      </c>
      <c r="Q1329" t="s">
        <v>7242</v>
      </c>
      <c r="R1329" t="s">
        <v>7243</v>
      </c>
      <c r="S1329" t="s">
        <v>2895</v>
      </c>
      <c r="T1329" t="s">
        <v>2896</v>
      </c>
      <c r="U1329" t="s">
        <v>2897</v>
      </c>
    </row>
    <row r="1330" spans="1:21" hidden="1">
      <c r="A1330" t="s">
        <v>2801</v>
      </c>
      <c r="B1330" t="s">
        <v>7232</v>
      </c>
      <c r="C1330" t="s">
        <v>7244</v>
      </c>
      <c r="D1330" t="s">
        <v>17</v>
      </c>
      <c r="E1330" t="s">
        <v>2</v>
      </c>
      <c r="F1330" t="s">
        <v>50</v>
      </c>
      <c r="G1330" t="s">
        <v>51</v>
      </c>
      <c r="H1330" t="s">
        <v>7245</v>
      </c>
      <c r="I1330" t="s">
        <v>52</v>
      </c>
      <c r="J1330" t="s">
        <v>65</v>
      </c>
      <c r="K1330" t="s">
        <v>54</v>
      </c>
      <c r="L1330" t="s">
        <v>55</v>
      </c>
      <c r="O1330" t="s">
        <v>66</v>
      </c>
      <c r="P1330" t="s">
        <v>67</v>
      </c>
      <c r="Q1330" t="s">
        <v>7246</v>
      </c>
      <c r="R1330" t="s">
        <v>7247</v>
      </c>
      <c r="S1330" t="s">
        <v>2895</v>
      </c>
      <c r="T1330" t="s">
        <v>2896</v>
      </c>
      <c r="U1330" t="s">
        <v>2897</v>
      </c>
    </row>
    <row r="1331" spans="1:21" hidden="1">
      <c r="A1331" t="s">
        <v>2803</v>
      </c>
      <c r="B1331" t="s">
        <v>7232</v>
      </c>
      <c r="C1331" t="s">
        <v>5308</v>
      </c>
      <c r="D1331" t="s">
        <v>17</v>
      </c>
      <c r="E1331" t="s">
        <v>2</v>
      </c>
      <c r="F1331" t="s">
        <v>50</v>
      </c>
      <c r="G1331" t="s">
        <v>72</v>
      </c>
      <c r="H1331" t="s">
        <v>7248</v>
      </c>
      <c r="I1331" t="s">
        <v>52</v>
      </c>
      <c r="J1331" t="s">
        <v>73</v>
      </c>
      <c r="K1331" t="s">
        <v>54</v>
      </c>
      <c r="L1331" t="s">
        <v>74</v>
      </c>
      <c r="O1331" t="s">
        <v>75</v>
      </c>
      <c r="P1331" t="s">
        <v>76</v>
      </c>
      <c r="Q1331" t="s">
        <v>7249</v>
      </c>
      <c r="R1331" t="s">
        <v>7250</v>
      </c>
      <c r="S1331" t="s">
        <v>2895</v>
      </c>
      <c r="T1331" t="s">
        <v>2896</v>
      </c>
      <c r="U1331" t="s">
        <v>2897</v>
      </c>
    </row>
    <row r="1332" spans="1:21" hidden="1">
      <c r="A1332" t="s">
        <v>2805</v>
      </c>
      <c r="B1332" t="s">
        <v>7232</v>
      </c>
      <c r="C1332" t="s">
        <v>3024</v>
      </c>
      <c r="D1332" t="s">
        <v>17</v>
      </c>
      <c r="E1332" t="s">
        <v>2</v>
      </c>
      <c r="F1332" t="s">
        <v>50</v>
      </c>
      <c r="G1332" t="s">
        <v>51</v>
      </c>
      <c r="H1332" t="s">
        <v>7251</v>
      </c>
      <c r="I1332" t="s">
        <v>52</v>
      </c>
      <c r="J1332" t="s">
        <v>60</v>
      </c>
      <c r="K1332" t="s">
        <v>54</v>
      </c>
      <c r="L1332" t="s">
        <v>55</v>
      </c>
      <c r="O1332" t="s">
        <v>61</v>
      </c>
      <c r="P1332" t="s">
        <v>62</v>
      </c>
      <c r="Q1332" t="s">
        <v>7252</v>
      </c>
      <c r="R1332" t="s">
        <v>7253</v>
      </c>
      <c r="S1332" t="s">
        <v>2895</v>
      </c>
      <c r="T1332" t="s">
        <v>2896</v>
      </c>
      <c r="U1332" t="s">
        <v>2897</v>
      </c>
    </row>
    <row r="1333" spans="1:21" hidden="1">
      <c r="A1333" t="s">
        <v>2807</v>
      </c>
      <c r="B1333" t="s">
        <v>7232</v>
      </c>
      <c r="C1333" t="s">
        <v>5418</v>
      </c>
      <c r="D1333" t="s">
        <v>17</v>
      </c>
      <c r="E1333" t="s">
        <v>2</v>
      </c>
      <c r="F1333" t="s">
        <v>50</v>
      </c>
      <c r="G1333" t="s">
        <v>88</v>
      </c>
      <c r="H1333" t="s">
        <v>5186</v>
      </c>
      <c r="I1333" t="s">
        <v>52</v>
      </c>
      <c r="J1333" t="s">
        <v>89</v>
      </c>
      <c r="K1333" t="s">
        <v>54</v>
      </c>
      <c r="L1333" t="s">
        <v>90</v>
      </c>
      <c r="M1333" t="s">
        <v>91</v>
      </c>
      <c r="N1333" t="s">
        <v>12</v>
      </c>
      <c r="O1333" t="s">
        <v>92</v>
      </c>
      <c r="P1333" t="s">
        <v>93</v>
      </c>
      <c r="Q1333" t="s">
        <v>7254</v>
      </c>
      <c r="R1333" t="s">
        <v>5188</v>
      </c>
      <c r="S1333" t="s">
        <v>2895</v>
      </c>
      <c r="T1333" t="s">
        <v>2896</v>
      </c>
      <c r="U1333" t="s">
        <v>2897</v>
      </c>
    </row>
    <row r="1334" spans="1:21" hidden="1">
      <c r="A1334" t="s">
        <v>2809</v>
      </c>
      <c r="B1334" t="s">
        <v>7232</v>
      </c>
      <c r="C1334" t="s">
        <v>7011</v>
      </c>
      <c r="D1334" t="s">
        <v>17</v>
      </c>
      <c r="E1334" t="s">
        <v>2</v>
      </c>
      <c r="F1334" t="s">
        <v>50</v>
      </c>
      <c r="G1334" t="s">
        <v>51</v>
      </c>
      <c r="H1334" t="s">
        <v>7255</v>
      </c>
      <c r="I1334" t="s">
        <v>52</v>
      </c>
      <c r="J1334" t="s">
        <v>126</v>
      </c>
      <c r="K1334" t="s">
        <v>54</v>
      </c>
      <c r="L1334" t="s">
        <v>55</v>
      </c>
      <c r="O1334" t="s">
        <v>56</v>
      </c>
      <c r="P1334" t="s">
        <v>57</v>
      </c>
      <c r="Q1334" t="s">
        <v>7256</v>
      </c>
      <c r="R1334" t="s">
        <v>7257</v>
      </c>
      <c r="S1334" t="s">
        <v>2895</v>
      </c>
      <c r="T1334" t="s">
        <v>2896</v>
      </c>
      <c r="U1334" t="s">
        <v>2897</v>
      </c>
    </row>
    <row r="1335" spans="1:21" hidden="1">
      <c r="A1335" t="s">
        <v>2811</v>
      </c>
      <c r="B1335" t="s">
        <v>7258</v>
      </c>
      <c r="C1335" t="s">
        <v>5297</v>
      </c>
      <c r="D1335" t="s">
        <v>17</v>
      </c>
      <c r="E1335" t="s">
        <v>2</v>
      </c>
      <c r="F1335" t="s">
        <v>50</v>
      </c>
      <c r="G1335" t="s">
        <v>51</v>
      </c>
      <c r="H1335" t="s">
        <v>7259</v>
      </c>
      <c r="I1335" t="s">
        <v>52</v>
      </c>
      <c r="J1335" t="s">
        <v>60</v>
      </c>
      <c r="K1335" t="s">
        <v>54</v>
      </c>
      <c r="L1335" t="s">
        <v>55</v>
      </c>
      <c r="O1335" t="s">
        <v>61</v>
      </c>
      <c r="P1335" t="s">
        <v>62</v>
      </c>
      <c r="Q1335" t="s">
        <v>7260</v>
      </c>
      <c r="R1335" t="s">
        <v>7261</v>
      </c>
      <c r="S1335" t="s">
        <v>2895</v>
      </c>
      <c r="T1335" t="s">
        <v>2896</v>
      </c>
      <c r="U1335" t="s">
        <v>2897</v>
      </c>
    </row>
    <row r="1336" spans="1:21" hidden="1">
      <c r="A1336" t="s">
        <v>2813</v>
      </c>
      <c r="B1336" t="s">
        <v>7258</v>
      </c>
      <c r="C1336" t="s">
        <v>6063</v>
      </c>
      <c r="D1336" t="s">
        <v>17</v>
      </c>
      <c r="E1336" t="s">
        <v>2</v>
      </c>
      <c r="F1336" t="s">
        <v>50</v>
      </c>
      <c r="G1336" t="s">
        <v>51</v>
      </c>
      <c r="H1336" t="s">
        <v>7262</v>
      </c>
      <c r="I1336" t="s">
        <v>52</v>
      </c>
      <c r="J1336" t="s">
        <v>81</v>
      </c>
      <c r="K1336" t="s">
        <v>54</v>
      </c>
      <c r="L1336" t="s">
        <v>55</v>
      </c>
      <c r="O1336" t="s">
        <v>82</v>
      </c>
      <c r="P1336" t="s">
        <v>83</v>
      </c>
      <c r="Q1336" t="s">
        <v>7263</v>
      </c>
      <c r="R1336" t="s">
        <v>7264</v>
      </c>
      <c r="S1336" t="s">
        <v>2895</v>
      </c>
      <c r="T1336" t="s">
        <v>2896</v>
      </c>
      <c r="U1336" t="s">
        <v>2897</v>
      </c>
    </row>
    <row r="1337" spans="1:21" hidden="1">
      <c r="A1337" t="s">
        <v>2815</v>
      </c>
      <c r="B1337" t="s">
        <v>7258</v>
      </c>
      <c r="C1337" t="s">
        <v>3329</v>
      </c>
      <c r="D1337" t="s">
        <v>17</v>
      </c>
      <c r="E1337" t="s">
        <v>2</v>
      </c>
      <c r="F1337" t="s">
        <v>50</v>
      </c>
      <c r="G1337" t="s">
        <v>51</v>
      </c>
      <c r="H1337" t="s">
        <v>7265</v>
      </c>
      <c r="I1337" t="s">
        <v>52</v>
      </c>
      <c r="J1337" t="s">
        <v>65</v>
      </c>
      <c r="K1337" t="s">
        <v>54</v>
      </c>
      <c r="L1337" t="s">
        <v>55</v>
      </c>
      <c r="O1337" t="s">
        <v>66</v>
      </c>
      <c r="P1337" t="s">
        <v>67</v>
      </c>
      <c r="Q1337" t="s">
        <v>7266</v>
      </c>
      <c r="R1337" t="s">
        <v>7267</v>
      </c>
      <c r="S1337" t="s">
        <v>2895</v>
      </c>
      <c r="T1337" t="s">
        <v>2896</v>
      </c>
      <c r="U1337" t="s">
        <v>2897</v>
      </c>
    </row>
    <row r="1338" spans="1:21" hidden="1">
      <c r="A1338" t="s">
        <v>2817</v>
      </c>
      <c r="B1338" t="s">
        <v>7258</v>
      </c>
      <c r="C1338" t="s">
        <v>7268</v>
      </c>
      <c r="D1338" t="s">
        <v>17</v>
      </c>
      <c r="E1338" t="s">
        <v>2</v>
      </c>
      <c r="F1338" t="s">
        <v>50</v>
      </c>
      <c r="G1338" t="s">
        <v>51</v>
      </c>
      <c r="H1338" t="s">
        <v>7269</v>
      </c>
      <c r="I1338" t="s">
        <v>52</v>
      </c>
      <c r="J1338" t="s">
        <v>60</v>
      </c>
      <c r="K1338" t="s">
        <v>54</v>
      </c>
      <c r="L1338" t="s">
        <v>55</v>
      </c>
      <c r="O1338" t="s">
        <v>61</v>
      </c>
      <c r="P1338" t="s">
        <v>62</v>
      </c>
      <c r="Q1338" t="s">
        <v>7270</v>
      </c>
      <c r="R1338" t="s">
        <v>7271</v>
      </c>
      <c r="S1338" t="s">
        <v>2895</v>
      </c>
      <c r="T1338" t="s">
        <v>2896</v>
      </c>
      <c r="U1338" t="s">
        <v>2897</v>
      </c>
    </row>
    <row r="1339" spans="1:21" hidden="1">
      <c r="A1339" t="s">
        <v>2819</v>
      </c>
      <c r="B1339" t="s">
        <v>7258</v>
      </c>
      <c r="C1339" t="s">
        <v>3024</v>
      </c>
      <c r="D1339" t="s">
        <v>17</v>
      </c>
      <c r="E1339" t="s">
        <v>2</v>
      </c>
      <c r="F1339" t="s">
        <v>50</v>
      </c>
      <c r="G1339" t="s">
        <v>51</v>
      </c>
      <c r="H1339" t="s">
        <v>7272</v>
      </c>
      <c r="I1339" t="s">
        <v>52</v>
      </c>
      <c r="J1339" t="s">
        <v>60</v>
      </c>
      <c r="K1339" t="s">
        <v>54</v>
      </c>
      <c r="L1339" t="s">
        <v>55</v>
      </c>
      <c r="O1339" t="s">
        <v>61</v>
      </c>
      <c r="P1339" t="s">
        <v>62</v>
      </c>
      <c r="Q1339" t="s">
        <v>7273</v>
      </c>
      <c r="R1339" t="s">
        <v>7274</v>
      </c>
      <c r="S1339" t="s">
        <v>2895</v>
      </c>
      <c r="T1339" t="s">
        <v>2896</v>
      </c>
      <c r="U1339" t="s">
        <v>2897</v>
      </c>
    </row>
    <row r="1340" spans="1:21" hidden="1">
      <c r="A1340" t="s">
        <v>2821</v>
      </c>
      <c r="B1340" t="s">
        <v>7258</v>
      </c>
      <c r="C1340" t="s">
        <v>6302</v>
      </c>
      <c r="D1340" t="s">
        <v>17</v>
      </c>
      <c r="E1340" t="s">
        <v>2</v>
      </c>
      <c r="F1340" t="s">
        <v>50</v>
      </c>
      <c r="G1340" t="s">
        <v>51</v>
      </c>
      <c r="H1340" t="s">
        <v>7275</v>
      </c>
      <c r="I1340" t="s">
        <v>52</v>
      </c>
      <c r="J1340" t="s">
        <v>65</v>
      </c>
      <c r="K1340" t="s">
        <v>54</v>
      </c>
      <c r="L1340" t="s">
        <v>55</v>
      </c>
      <c r="O1340" t="s">
        <v>66</v>
      </c>
      <c r="P1340" t="s">
        <v>67</v>
      </c>
      <c r="Q1340" t="s">
        <v>7276</v>
      </c>
      <c r="R1340" t="s">
        <v>7277</v>
      </c>
      <c r="S1340" t="s">
        <v>2895</v>
      </c>
      <c r="T1340" t="s">
        <v>2896</v>
      </c>
      <c r="U1340" t="s">
        <v>2897</v>
      </c>
    </row>
    <row r="1341" spans="1:21" hidden="1">
      <c r="A1341" t="s">
        <v>2823</v>
      </c>
      <c r="B1341" t="s">
        <v>7258</v>
      </c>
      <c r="C1341" t="s">
        <v>3369</v>
      </c>
      <c r="D1341" t="s">
        <v>17</v>
      </c>
      <c r="E1341" t="s">
        <v>2</v>
      </c>
      <c r="F1341" t="s">
        <v>50</v>
      </c>
      <c r="G1341" t="s">
        <v>100</v>
      </c>
      <c r="H1341" t="s">
        <v>2969</v>
      </c>
      <c r="I1341" t="s">
        <v>52</v>
      </c>
      <c r="J1341" t="s">
        <v>101</v>
      </c>
      <c r="K1341" t="s">
        <v>54</v>
      </c>
      <c r="L1341" t="s">
        <v>102</v>
      </c>
      <c r="O1341" t="s">
        <v>103</v>
      </c>
      <c r="P1341" t="s">
        <v>104</v>
      </c>
      <c r="Q1341" t="s">
        <v>7278</v>
      </c>
      <c r="R1341" t="s">
        <v>2971</v>
      </c>
      <c r="S1341" t="s">
        <v>2895</v>
      </c>
      <c r="T1341" t="s">
        <v>2896</v>
      </c>
      <c r="U1341" t="s">
        <v>2897</v>
      </c>
    </row>
    <row r="1342" spans="1:21" hidden="1">
      <c r="A1342" t="s">
        <v>2825</v>
      </c>
      <c r="B1342" t="s">
        <v>7258</v>
      </c>
      <c r="C1342" t="s">
        <v>6309</v>
      </c>
      <c r="D1342" t="s">
        <v>17</v>
      </c>
      <c r="E1342" t="s">
        <v>2</v>
      </c>
      <c r="F1342" t="s">
        <v>50</v>
      </c>
      <c r="G1342" t="s">
        <v>51</v>
      </c>
      <c r="H1342" t="s">
        <v>7279</v>
      </c>
      <c r="I1342" t="s">
        <v>52</v>
      </c>
      <c r="J1342" t="s">
        <v>60</v>
      </c>
      <c r="K1342" t="s">
        <v>54</v>
      </c>
      <c r="L1342" t="s">
        <v>55</v>
      </c>
      <c r="O1342" t="s">
        <v>61</v>
      </c>
      <c r="P1342" t="s">
        <v>62</v>
      </c>
      <c r="Q1342" t="s">
        <v>7280</v>
      </c>
      <c r="R1342" t="s">
        <v>7281</v>
      </c>
      <c r="S1342" t="s">
        <v>2895</v>
      </c>
      <c r="T1342" t="s">
        <v>2896</v>
      </c>
      <c r="U1342" t="s">
        <v>2897</v>
      </c>
    </row>
    <row r="1343" spans="1:21" hidden="1">
      <c r="A1343" t="s">
        <v>2827</v>
      </c>
      <c r="B1343" t="s">
        <v>7282</v>
      </c>
      <c r="C1343" t="s">
        <v>4818</v>
      </c>
      <c r="D1343" t="s">
        <v>17</v>
      </c>
      <c r="E1343" t="s">
        <v>2</v>
      </c>
      <c r="F1343" t="s">
        <v>50</v>
      </c>
      <c r="G1343" t="s">
        <v>51</v>
      </c>
      <c r="H1343" t="s">
        <v>7283</v>
      </c>
      <c r="I1343" t="s">
        <v>52</v>
      </c>
      <c r="J1343" t="s">
        <v>126</v>
      </c>
      <c r="K1343" t="s">
        <v>54</v>
      </c>
      <c r="L1343" t="s">
        <v>55</v>
      </c>
      <c r="O1343" t="s">
        <v>56</v>
      </c>
      <c r="P1343" t="s">
        <v>57</v>
      </c>
      <c r="Q1343" t="s">
        <v>7284</v>
      </c>
      <c r="R1343" t="s">
        <v>7285</v>
      </c>
      <c r="S1343" t="s">
        <v>2895</v>
      </c>
      <c r="T1343" t="s">
        <v>2896</v>
      </c>
      <c r="U1343" t="s">
        <v>2897</v>
      </c>
    </row>
    <row r="1344" spans="1:21" hidden="1">
      <c r="A1344" t="s">
        <v>2829</v>
      </c>
      <c r="B1344" t="s">
        <v>7282</v>
      </c>
      <c r="C1344" t="s">
        <v>7286</v>
      </c>
      <c r="D1344" t="s">
        <v>17</v>
      </c>
      <c r="E1344" t="s">
        <v>2</v>
      </c>
      <c r="F1344" t="s">
        <v>50</v>
      </c>
      <c r="G1344" t="s">
        <v>51</v>
      </c>
      <c r="H1344" t="s">
        <v>3322</v>
      </c>
      <c r="I1344" t="s">
        <v>52</v>
      </c>
      <c r="J1344" t="s">
        <v>53</v>
      </c>
      <c r="K1344" t="s">
        <v>54</v>
      </c>
      <c r="L1344" t="s">
        <v>55</v>
      </c>
      <c r="O1344" t="s">
        <v>56</v>
      </c>
      <c r="P1344" t="s">
        <v>57</v>
      </c>
      <c r="Q1344" t="s">
        <v>7287</v>
      </c>
      <c r="R1344" t="s">
        <v>3324</v>
      </c>
      <c r="S1344" t="s">
        <v>2895</v>
      </c>
      <c r="T1344" t="s">
        <v>2896</v>
      </c>
      <c r="U1344" t="s">
        <v>2897</v>
      </c>
    </row>
    <row r="1345" spans="1:21" hidden="1">
      <c r="A1345" t="s">
        <v>2831</v>
      </c>
      <c r="B1345" t="s">
        <v>7282</v>
      </c>
      <c r="C1345" t="s">
        <v>7288</v>
      </c>
      <c r="D1345" t="s">
        <v>17</v>
      </c>
      <c r="E1345" t="s">
        <v>2</v>
      </c>
      <c r="F1345" t="s">
        <v>50</v>
      </c>
      <c r="G1345" t="s">
        <v>72</v>
      </c>
      <c r="H1345" t="s">
        <v>7289</v>
      </c>
      <c r="I1345" t="s">
        <v>52</v>
      </c>
      <c r="J1345" t="s">
        <v>73</v>
      </c>
      <c r="K1345" t="s">
        <v>54</v>
      </c>
      <c r="L1345" t="s">
        <v>74</v>
      </c>
      <c r="O1345" t="s">
        <v>75</v>
      </c>
      <c r="P1345" t="s">
        <v>76</v>
      </c>
      <c r="Q1345" t="s">
        <v>7290</v>
      </c>
      <c r="R1345" t="s">
        <v>7291</v>
      </c>
      <c r="S1345" t="s">
        <v>2895</v>
      </c>
      <c r="T1345" t="s">
        <v>2896</v>
      </c>
      <c r="U1345" t="s">
        <v>2897</v>
      </c>
    </row>
    <row r="1346" spans="1:21" hidden="1">
      <c r="A1346" t="s">
        <v>2833</v>
      </c>
      <c r="B1346" t="s">
        <v>7282</v>
      </c>
      <c r="C1346" t="s">
        <v>3798</v>
      </c>
      <c r="D1346" t="s">
        <v>17</v>
      </c>
      <c r="E1346" t="s">
        <v>2</v>
      </c>
      <c r="F1346" t="s">
        <v>50</v>
      </c>
      <c r="G1346" t="s">
        <v>100</v>
      </c>
      <c r="H1346" t="s">
        <v>2969</v>
      </c>
      <c r="I1346" t="s">
        <v>52</v>
      </c>
      <c r="J1346" t="s">
        <v>101</v>
      </c>
      <c r="K1346" t="s">
        <v>54</v>
      </c>
      <c r="L1346" t="s">
        <v>102</v>
      </c>
      <c r="O1346" t="s">
        <v>103</v>
      </c>
      <c r="P1346" t="s">
        <v>104</v>
      </c>
      <c r="Q1346" t="s">
        <v>7292</v>
      </c>
      <c r="R1346" t="s">
        <v>2971</v>
      </c>
      <c r="S1346" t="s">
        <v>2895</v>
      </c>
      <c r="T1346" t="s">
        <v>2896</v>
      </c>
      <c r="U1346" t="s">
        <v>2897</v>
      </c>
    </row>
    <row r="1347" spans="1:21" hidden="1">
      <c r="A1347" t="s">
        <v>2835</v>
      </c>
      <c r="B1347" t="s">
        <v>7282</v>
      </c>
      <c r="C1347" t="s">
        <v>6627</v>
      </c>
      <c r="D1347" t="s">
        <v>17</v>
      </c>
      <c r="E1347" t="s">
        <v>2</v>
      </c>
      <c r="F1347" t="s">
        <v>50</v>
      </c>
      <c r="G1347" t="s">
        <v>51</v>
      </c>
      <c r="H1347" t="s">
        <v>7293</v>
      </c>
      <c r="I1347" t="s">
        <v>52</v>
      </c>
      <c r="J1347" t="s">
        <v>60</v>
      </c>
      <c r="K1347" t="s">
        <v>54</v>
      </c>
      <c r="L1347" t="s">
        <v>55</v>
      </c>
      <c r="O1347" t="s">
        <v>61</v>
      </c>
      <c r="P1347" t="s">
        <v>62</v>
      </c>
      <c r="Q1347" t="s">
        <v>7294</v>
      </c>
      <c r="R1347" t="s">
        <v>7295</v>
      </c>
      <c r="S1347" t="s">
        <v>2895</v>
      </c>
      <c r="T1347" t="s">
        <v>2896</v>
      </c>
      <c r="U1347" t="s">
        <v>2897</v>
      </c>
    </row>
    <row r="1348" spans="1:21" hidden="1">
      <c r="A1348" t="s">
        <v>2837</v>
      </c>
      <c r="B1348" t="s">
        <v>7282</v>
      </c>
      <c r="C1348" t="s">
        <v>5535</v>
      </c>
      <c r="D1348" t="s">
        <v>17</v>
      </c>
      <c r="E1348" t="s">
        <v>2</v>
      </c>
      <c r="F1348" t="s">
        <v>50</v>
      </c>
      <c r="G1348" t="s">
        <v>51</v>
      </c>
      <c r="H1348" t="s">
        <v>7296</v>
      </c>
      <c r="I1348" t="s">
        <v>52</v>
      </c>
      <c r="J1348" t="s">
        <v>81</v>
      </c>
      <c r="K1348" t="s">
        <v>54</v>
      </c>
      <c r="L1348" t="s">
        <v>55</v>
      </c>
      <c r="O1348" t="s">
        <v>82</v>
      </c>
      <c r="P1348" t="s">
        <v>83</v>
      </c>
      <c r="Q1348" t="s">
        <v>7297</v>
      </c>
      <c r="R1348" t="s">
        <v>7298</v>
      </c>
      <c r="S1348" t="s">
        <v>2895</v>
      </c>
      <c r="T1348" t="s">
        <v>2896</v>
      </c>
      <c r="U1348" t="s">
        <v>2897</v>
      </c>
    </row>
    <row r="1349" spans="1:21" hidden="1">
      <c r="A1349" t="s">
        <v>2839</v>
      </c>
      <c r="B1349" t="s">
        <v>7282</v>
      </c>
      <c r="C1349" t="s">
        <v>4493</v>
      </c>
      <c r="D1349" t="s">
        <v>17</v>
      </c>
      <c r="E1349" t="s">
        <v>2</v>
      </c>
      <c r="F1349" t="s">
        <v>50</v>
      </c>
      <c r="G1349" t="s">
        <v>51</v>
      </c>
      <c r="H1349" t="s">
        <v>7299</v>
      </c>
      <c r="I1349" t="s">
        <v>52</v>
      </c>
      <c r="J1349" t="s">
        <v>126</v>
      </c>
      <c r="K1349" t="s">
        <v>54</v>
      </c>
      <c r="L1349" t="s">
        <v>55</v>
      </c>
      <c r="O1349" t="s">
        <v>56</v>
      </c>
      <c r="P1349" t="s">
        <v>57</v>
      </c>
      <c r="Q1349" t="s">
        <v>7300</v>
      </c>
      <c r="R1349" t="s">
        <v>7301</v>
      </c>
      <c r="S1349" t="s">
        <v>2895</v>
      </c>
      <c r="T1349" t="s">
        <v>2896</v>
      </c>
      <c r="U1349" t="s">
        <v>2897</v>
      </c>
    </row>
    <row r="1350" spans="1:21" hidden="1">
      <c r="A1350" t="s">
        <v>2841</v>
      </c>
      <c r="B1350" t="s">
        <v>7282</v>
      </c>
      <c r="C1350" t="s">
        <v>6451</v>
      </c>
      <c r="D1350" t="s">
        <v>17</v>
      </c>
      <c r="E1350" t="s">
        <v>2</v>
      </c>
      <c r="F1350" t="s">
        <v>149</v>
      </c>
      <c r="G1350" t="s">
        <v>321</v>
      </c>
      <c r="H1350" t="s">
        <v>7302</v>
      </c>
      <c r="I1350" t="s">
        <v>52</v>
      </c>
      <c r="J1350" t="s">
        <v>9</v>
      </c>
      <c r="K1350" t="s">
        <v>54</v>
      </c>
      <c r="L1350" t="s">
        <v>102</v>
      </c>
      <c r="O1350" t="s">
        <v>322</v>
      </c>
      <c r="P1350" t="s">
        <v>323</v>
      </c>
      <c r="Q1350" t="s">
        <v>7303</v>
      </c>
      <c r="R1350" t="s">
        <v>7302</v>
      </c>
      <c r="S1350" t="s">
        <v>2895</v>
      </c>
      <c r="T1350" t="s">
        <v>2896</v>
      </c>
      <c r="U1350" t="s">
        <v>2897</v>
      </c>
    </row>
    <row r="1351" spans="1:21" hidden="1">
      <c r="A1351" t="s">
        <v>2842</v>
      </c>
      <c r="B1351" t="s">
        <v>7282</v>
      </c>
      <c r="C1351" t="s">
        <v>7304</v>
      </c>
      <c r="D1351" t="s">
        <v>17</v>
      </c>
      <c r="E1351" t="s">
        <v>2</v>
      </c>
      <c r="F1351" t="s">
        <v>50</v>
      </c>
      <c r="G1351" t="s">
        <v>51</v>
      </c>
      <c r="H1351" t="s">
        <v>7305</v>
      </c>
      <c r="I1351" t="s">
        <v>52</v>
      </c>
      <c r="J1351" t="s">
        <v>81</v>
      </c>
      <c r="K1351" t="s">
        <v>54</v>
      </c>
      <c r="L1351" t="s">
        <v>55</v>
      </c>
      <c r="O1351" t="s">
        <v>82</v>
      </c>
      <c r="P1351" t="s">
        <v>83</v>
      </c>
      <c r="Q1351" t="s">
        <v>7306</v>
      </c>
      <c r="R1351" t="s">
        <v>7307</v>
      </c>
      <c r="S1351" t="s">
        <v>2895</v>
      </c>
      <c r="T1351" t="s">
        <v>2896</v>
      </c>
      <c r="U1351" t="s">
        <v>2897</v>
      </c>
    </row>
    <row r="1352" spans="1:21" hidden="1">
      <c r="A1352" t="s">
        <v>2844</v>
      </c>
      <c r="B1352" t="s">
        <v>7308</v>
      </c>
      <c r="C1352" t="s">
        <v>7309</v>
      </c>
      <c r="D1352" t="s">
        <v>17</v>
      </c>
      <c r="E1352" t="s">
        <v>2</v>
      </c>
      <c r="F1352" t="s">
        <v>50</v>
      </c>
      <c r="G1352" t="s">
        <v>51</v>
      </c>
      <c r="H1352" t="s">
        <v>7310</v>
      </c>
      <c r="I1352" t="s">
        <v>52</v>
      </c>
      <c r="J1352" t="s">
        <v>65</v>
      </c>
      <c r="K1352" t="s">
        <v>54</v>
      </c>
      <c r="L1352" t="s">
        <v>55</v>
      </c>
      <c r="O1352" t="s">
        <v>66</v>
      </c>
      <c r="P1352" t="s">
        <v>67</v>
      </c>
      <c r="Q1352" t="s">
        <v>7311</v>
      </c>
      <c r="R1352" t="s">
        <v>7312</v>
      </c>
      <c r="S1352" t="s">
        <v>2895</v>
      </c>
      <c r="T1352" t="s">
        <v>2896</v>
      </c>
      <c r="U1352" t="s">
        <v>2897</v>
      </c>
    </row>
    <row r="1353" spans="1:21" hidden="1">
      <c r="A1353" t="s">
        <v>2846</v>
      </c>
      <c r="B1353" t="s">
        <v>7308</v>
      </c>
      <c r="C1353" t="s">
        <v>7313</v>
      </c>
      <c r="D1353" t="s">
        <v>17</v>
      </c>
      <c r="E1353" t="s">
        <v>2</v>
      </c>
      <c r="F1353" t="s">
        <v>50</v>
      </c>
      <c r="G1353" t="s">
        <v>51</v>
      </c>
      <c r="H1353" t="s">
        <v>7314</v>
      </c>
      <c r="I1353" t="s">
        <v>52</v>
      </c>
      <c r="J1353" t="s">
        <v>196</v>
      </c>
      <c r="K1353" t="s">
        <v>54</v>
      </c>
      <c r="L1353" t="s">
        <v>55</v>
      </c>
      <c r="O1353" t="s">
        <v>197</v>
      </c>
      <c r="P1353" t="s">
        <v>198</v>
      </c>
      <c r="Q1353" t="s">
        <v>7315</v>
      </c>
      <c r="R1353" t="s">
        <v>7316</v>
      </c>
      <c r="S1353" t="s">
        <v>2895</v>
      </c>
      <c r="T1353" t="s">
        <v>2896</v>
      </c>
      <c r="U1353" t="s">
        <v>2897</v>
      </c>
    </row>
    <row r="1354" spans="1:21" hidden="1">
      <c r="A1354" t="s">
        <v>2848</v>
      </c>
      <c r="B1354" t="s">
        <v>7308</v>
      </c>
      <c r="C1354" t="s">
        <v>7317</v>
      </c>
      <c r="D1354" t="s">
        <v>17</v>
      </c>
      <c r="E1354" t="s">
        <v>2</v>
      </c>
      <c r="F1354" t="s">
        <v>149</v>
      </c>
      <c r="G1354" t="s">
        <v>72</v>
      </c>
      <c r="H1354" t="s">
        <v>7318</v>
      </c>
      <c r="I1354" t="s">
        <v>52</v>
      </c>
      <c r="J1354" t="s">
        <v>73</v>
      </c>
      <c r="K1354" t="s">
        <v>54</v>
      </c>
      <c r="L1354" t="s">
        <v>74</v>
      </c>
      <c r="O1354" t="s">
        <v>75</v>
      </c>
      <c r="P1354" t="s">
        <v>76</v>
      </c>
      <c r="Q1354" t="s">
        <v>7319</v>
      </c>
      <c r="R1354" t="s">
        <v>7318</v>
      </c>
      <c r="S1354" t="s">
        <v>2895</v>
      </c>
      <c r="T1354" t="s">
        <v>2896</v>
      </c>
      <c r="U1354" t="s">
        <v>2897</v>
      </c>
    </row>
    <row r="1355" spans="1:21" hidden="1">
      <c r="A1355" t="s">
        <v>2850</v>
      </c>
      <c r="B1355" t="s">
        <v>7308</v>
      </c>
      <c r="C1355" t="s">
        <v>7320</v>
      </c>
      <c r="D1355" t="s">
        <v>17</v>
      </c>
      <c r="E1355" t="s">
        <v>2</v>
      </c>
      <c r="F1355" t="s">
        <v>50</v>
      </c>
      <c r="G1355" t="s">
        <v>51</v>
      </c>
      <c r="H1355" t="s">
        <v>7321</v>
      </c>
      <c r="I1355" t="s">
        <v>52</v>
      </c>
      <c r="J1355" t="s">
        <v>126</v>
      </c>
      <c r="K1355" t="s">
        <v>54</v>
      </c>
      <c r="L1355" t="s">
        <v>55</v>
      </c>
      <c r="O1355" t="s">
        <v>56</v>
      </c>
      <c r="P1355" t="s">
        <v>57</v>
      </c>
      <c r="Q1355" t="s">
        <v>7322</v>
      </c>
      <c r="R1355" t="s">
        <v>7323</v>
      </c>
      <c r="S1355" t="s">
        <v>2895</v>
      </c>
      <c r="T1355" t="s">
        <v>2896</v>
      </c>
      <c r="U1355" t="s">
        <v>2897</v>
      </c>
    </row>
    <row r="1356" spans="1:21" hidden="1">
      <c r="A1356" t="s">
        <v>2852</v>
      </c>
      <c r="B1356" t="s">
        <v>7308</v>
      </c>
      <c r="C1356" t="s">
        <v>3321</v>
      </c>
      <c r="D1356" t="s">
        <v>17</v>
      </c>
      <c r="E1356" t="s">
        <v>2</v>
      </c>
      <c r="F1356" t="s">
        <v>50</v>
      </c>
      <c r="G1356" t="s">
        <v>51</v>
      </c>
      <c r="H1356" t="s">
        <v>7324</v>
      </c>
      <c r="I1356" t="s">
        <v>52</v>
      </c>
      <c r="J1356" t="s">
        <v>65</v>
      </c>
      <c r="K1356" t="s">
        <v>54</v>
      </c>
      <c r="L1356" t="s">
        <v>55</v>
      </c>
      <c r="O1356" t="s">
        <v>66</v>
      </c>
      <c r="P1356" t="s">
        <v>67</v>
      </c>
      <c r="Q1356" t="s">
        <v>7325</v>
      </c>
      <c r="R1356" t="s">
        <v>7326</v>
      </c>
      <c r="S1356" t="s">
        <v>2895</v>
      </c>
      <c r="T1356" t="s">
        <v>2896</v>
      </c>
      <c r="U1356" t="s">
        <v>2897</v>
      </c>
    </row>
    <row r="1357" spans="1:21" hidden="1">
      <c r="A1357" t="s">
        <v>2853</v>
      </c>
      <c r="B1357" t="s">
        <v>7308</v>
      </c>
      <c r="C1357" t="s">
        <v>4464</v>
      </c>
      <c r="D1357" t="s">
        <v>17</v>
      </c>
      <c r="E1357" t="s">
        <v>2</v>
      </c>
      <c r="F1357" t="s">
        <v>50</v>
      </c>
      <c r="G1357" t="s">
        <v>51</v>
      </c>
      <c r="H1357" t="s">
        <v>7327</v>
      </c>
      <c r="I1357" t="s">
        <v>52</v>
      </c>
      <c r="J1357" t="s">
        <v>65</v>
      </c>
      <c r="K1357" t="s">
        <v>54</v>
      </c>
      <c r="L1357" t="s">
        <v>55</v>
      </c>
      <c r="O1357" t="s">
        <v>66</v>
      </c>
      <c r="P1357" t="s">
        <v>67</v>
      </c>
      <c r="Q1357" t="s">
        <v>7328</v>
      </c>
      <c r="R1357" t="s">
        <v>7329</v>
      </c>
      <c r="S1357" t="s">
        <v>2895</v>
      </c>
      <c r="T1357" t="s">
        <v>2896</v>
      </c>
      <c r="U1357" t="s">
        <v>2897</v>
      </c>
    </row>
    <row r="1358" spans="1:21" hidden="1">
      <c r="A1358" t="s">
        <v>2855</v>
      </c>
      <c r="B1358" t="s">
        <v>7308</v>
      </c>
      <c r="C1358" t="s">
        <v>6050</v>
      </c>
      <c r="D1358" t="s">
        <v>17</v>
      </c>
      <c r="E1358" t="s">
        <v>2</v>
      </c>
      <c r="F1358" t="s">
        <v>50</v>
      </c>
      <c r="G1358" t="s">
        <v>100</v>
      </c>
      <c r="H1358" t="s">
        <v>7330</v>
      </c>
      <c r="I1358" t="s">
        <v>52</v>
      </c>
      <c r="J1358" t="s">
        <v>114</v>
      </c>
      <c r="K1358" t="s">
        <v>54</v>
      </c>
      <c r="L1358" t="s">
        <v>102</v>
      </c>
      <c r="O1358" t="s">
        <v>103</v>
      </c>
      <c r="P1358" t="s">
        <v>104</v>
      </c>
      <c r="Q1358" t="s">
        <v>7331</v>
      </c>
      <c r="R1358" t="s">
        <v>7332</v>
      </c>
      <c r="S1358" t="s">
        <v>2895</v>
      </c>
      <c r="T1358" t="s">
        <v>2896</v>
      </c>
      <c r="U1358" t="s">
        <v>2897</v>
      </c>
    </row>
    <row r="1359" spans="1:21" hidden="1">
      <c r="A1359" t="s">
        <v>2857</v>
      </c>
      <c r="B1359" t="s">
        <v>7308</v>
      </c>
      <c r="C1359" t="s">
        <v>4626</v>
      </c>
      <c r="D1359" t="s">
        <v>17</v>
      </c>
      <c r="E1359" t="s">
        <v>2</v>
      </c>
      <c r="F1359" t="s">
        <v>50</v>
      </c>
      <c r="G1359" t="s">
        <v>51</v>
      </c>
      <c r="H1359" t="s">
        <v>7333</v>
      </c>
      <c r="I1359" t="s">
        <v>52</v>
      </c>
      <c r="J1359" t="s">
        <v>65</v>
      </c>
      <c r="K1359" t="s">
        <v>54</v>
      </c>
      <c r="L1359" t="s">
        <v>55</v>
      </c>
      <c r="O1359" t="s">
        <v>66</v>
      </c>
      <c r="P1359" t="s">
        <v>67</v>
      </c>
      <c r="Q1359" t="s">
        <v>7334</v>
      </c>
      <c r="R1359" t="s">
        <v>7335</v>
      </c>
      <c r="S1359" t="s">
        <v>2895</v>
      </c>
      <c r="T1359" t="s">
        <v>2896</v>
      </c>
      <c r="U1359" t="s">
        <v>2897</v>
      </c>
    </row>
    <row r="1360" spans="1:21" hidden="1">
      <c r="A1360" t="s">
        <v>2859</v>
      </c>
      <c r="B1360" t="s">
        <v>7308</v>
      </c>
      <c r="C1360" t="s">
        <v>7336</v>
      </c>
      <c r="D1360" t="s">
        <v>17</v>
      </c>
      <c r="E1360" t="s">
        <v>2</v>
      </c>
      <c r="F1360" t="s">
        <v>50</v>
      </c>
      <c r="G1360" t="s">
        <v>100</v>
      </c>
      <c r="H1360" t="s">
        <v>2969</v>
      </c>
      <c r="I1360" t="s">
        <v>52</v>
      </c>
      <c r="J1360" t="s">
        <v>101</v>
      </c>
      <c r="K1360" t="s">
        <v>54</v>
      </c>
      <c r="L1360" t="s">
        <v>102</v>
      </c>
      <c r="O1360" t="s">
        <v>103</v>
      </c>
      <c r="P1360" t="s">
        <v>104</v>
      </c>
      <c r="Q1360" t="s">
        <v>7337</v>
      </c>
      <c r="R1360" t="s">
        <v>2971</v>
      </c>
      <c r="S1360" t="s">
        <v>2895</v>
      </c>
      <c r="T1360" t="s">
        <v>2896</v>
      </c>
      <c r="U1360" t="s">
        <v>2897</v>
      </c>
    </row>
    <row r="1361" spans="1:21" hidden="1">
      <c r="A1361" t="s">
        <v>2861</v>
      </c>
      <c r="B1361" t="s">
        <v>7338</v>
      </c>
      <c r="C1361" t="s">
        <v>4215</v>
      </c>
      <c r="D1361" t="s">
        <v>17</v>
      </c>
      <c r="E1361" t="s">
        <v>2</v>
      </c>
      <c r="F1361" t="s">
        <v>50</v>
      </c>
      <c r="G1361" t="s">
        <v>72</v>
      </c>
      <c r="H1361" t="s">
        <v>7339</v>
      </c>
      <c r="I1361" t="s">
        <v>52</v>
      </c>
      <c r="J1361" t="s">
        <v>73</v>
      </c>
      <c r="K1361" t="s">
        <v>54</v>
      </c>
      <c r="L1361" t="s">
        <v>74</v>
      </c>
      <c r="O1361" t="s">
        <v>75</v>
      </c>
      <c r="P1361" t="s">
        <v>76</v>
      </c>
      <c r="Q1361" t="s">
        <v>7340</v>
      </c>
      <c r="R1361" t="s">
        <v>7341</v>
      </c>
      <c r="S1361" t="s">
        <v>2895</v>
      </c>
      <c r="T1361" t="s">
        <v>2896</v>
      </c>
      <c r="U1361" t="s">
        <v>2897</v>
      </c>
    </row>
    <row r="1362" spans="1:21" hidden="1">
      <c r="A1362" t="s">
        <v>2863</v>
      </c>
      <c r="B1362" t="s">
        <v>7338</v>
      </c>
      <c r="C1362" t="s">
        <v>5086</v>
      </c>
      <c r="D1362" t="s">
        <v>17</v>
      </c>
      <c r="E1362" t="s">
        <v>2</v>
      </c>
      <c r="F1362" t="s">
        <v>50</v>
      </c>
      <c r="G1362" t="s">
        <v>51</v>
      </c>
      <c r="H1362" t="s">
        <v>7342</v>
      </c>
      <c r="I1362" t="s">
        <v>52</v>
      </c>
      <c r="J1362" t="s">
        <v>65</v>
      </c>
      <c r="K1362" t="s">
        <v>54</v>
      </c>
      <c r="L1362" t="s">
        <v>55</v>
      </c>
      <c r="O1362" t="s">
        <v>66</v>
      </c>
      <c r="P1362" t="s">
        <v>67</v>
      </c>
      <c r="Q1362" t="s">
        <v>7343</v>
      </c>
      <c r="R1362" t="s">
        <v>7344</v>
      </c>
      <c r="S1362" t="s">
        <v>2895</v>
      </c>
      <c r="T1362" t="s">
        <v>2896</v>
      </c>
      <c r="U1362" t="s">
        <v>2897</v>
      </c>
    </row>
    <row r="1363" spans="1:21" hidden="1">
      <c r="A1363" t="s">
        <v>2865</v>
      </c>
      <c r="B1363" t="s">
        <v>7338</v>
      </c>
      <c r="C1363" t="s">
        <v>7345</v>
      </c>
      <c r="D1363" t="s">
        <v>17</v>
      </c>
      <c r="E1363" t="s">
        <v>2</v>
      </c>
      <c r="F1363" t="s">
        <v>50</v>
      </c>
      <c r="G1363" t="s">
        <v>51</v>
      </c>
      <c r="H1363" t="s">
        <v>7346</v>
      </c>
      <c r="I1363" t="s">
        <v>52</v>
      </c>
      <c r="J1363" t="s">
        <v>81</v>
      </c>
      <c r="K1363" t="s">
        <v>54</v>
      </c>
      <c r="L1363" t="s">
        <v>55</v>
      </c>
      <c r="O1363" t="s">
        <v>82</v>
      </c>
      <c r="P1363" t="s">
        <v>83</v>
      </c>
      <c r="Q1363" t="s">
        <v>7347</v>
      </c>
      <c r="R1363" t="s">
        <v>7348</v>
      </c>
      <c r="S1363" t="s">
        <v>2895</v>
      </c>
      <c r="T1363" t="s">
        <v>2896</v>
      </c>
      <c r="U1363" t="s">
        <v>2897</v>
      </c>
    </row>
    <row r="1364" spans="1:21" hidden="1">
      <c r="A1364" t="s">
        <v>2867</v>
      </c>
      <c r="B1364" t="s">
        <v>7338</v>
      </c>
      <c r="C1364" t="s">
        <v>4893</v>
      </c>
      <c r="D1364" t="s">
        <v>17</v>
      </c>
      <c r="E1364" t="s">
        <v>2</v>
      </c>
      <c r="F1364" t="s">
        <v>50</v>
      </c>
      <c r="G1364" t="s">
        <v>51</v>
      </c>
      <c r="H1364" t="s">
        <v>7349</v>
      </c>
      <c r="I1364" t="s">
        <v>52</v>
      </c>
      <c r="J1364" t="s">
        <v>196</v>
      </c>
      <c r="K1364" t="s">
        <v>54</v>
      </c>
      <c r="L1364" t="s">
        <v>55</v>
      </c>
      <c r="O1364" t="s">
        <v>197</v>
      </c>
      <c r="P1364" t="s">
        <v>198</v>
      </c>
      <c r="Q1364" t="s">
        <v>7350</v>
      </c>
      <c r="R1364" t="s">
        <v>7351</v>
      </c>
      <c r="S1364" t="s">
        <v>2895</v>
      </c>
      <c r="T1364" t="s">
        <v>2896</v>
      </c>
      <c r="U1364" t="s">
        <v>2897</v>
      </c>
    </row>
    <row r="1365" spans="1:21" hidden="1">
      <c r="A1365" t="s">
        <v>2869</v>
      </c>
      <c r="B1365" t="s">
        <v>7338</v>
      </c>
      <c r="C1365" t="s">
        <v>7352</v>
      </c>
      <c r="D1365" t="s">
        <v>17</v>
      </c>
      <c r="E1365" t="s">
        <v>2</v>
      </c>
      <c r="F1365" t="s">
        <v>50</v>
      </c>
      <c r="G1365" t="s">
        <v>100</v>
      </c>
      <c r="H1365" t="s">
        <v>2969</v>
      </c>
      <c r="I1365" t="s">
        <v>52</v>
      </c>
      <c r="J1365" t="s">
        <v>101</v>
      </c>
      <c r="K1365" t="s">
        <v>54</v>
      </c>
      <c r="L1365" t="s">
        <v>102</v>
      </c>
      <c r="O1365" t="s">
        <v>103</v>
      </c>
      <c r="P1365" t="s">
        <v>104</v>
      </c>
      <c r="Q1365" t="s">
        <v>7353</v>
      </c>
      <c r="R1365" t="s">
        <v>2971</v>
      </c>
      <c r="S1365" t="s">
        <v>2895</v>
      </c>
      <c r="T1365" t="s">
        <v>2896</v>
      </c>
      <c r="U1365" t="s">
        <v>2897</v>
      </c>
    </row>
    <row r="1366" spans="1:21" hidden="1">
      <c r="A1366" t="s">
        <v>2871</v>
      </c>
      <c r="B1366" t="s">
        <v>7338</v>
      </c>
      <c r="C1366" t="s">
        <v>7354</v>
      </c>
      <c r="D1366" t="s">
        <v>17</v>
      </c>
      <c r="E1366" t="s">
        <v>2</v>
      </c>
      <c r="F1366" t="s">
        <v>50</v>
      </c>
      <c r="G1366" t="s">
        <v>51</v>
      </c>
      <c r="H1366" t="s">
        <v>7355</v>
      </c>
      <c r="I1366" t="s">
        <v>52</v>
      </c>
      <c r="J1366" t="s">
        <v>126</v>
      </c>
      <c r="K1366" t="s">
        <v>54</v>
      </c>
      <c r="L1366" t="s">
        <v>55</v>
      </c>
      <c r="O1366" t="s">
        <v>56</v>
      </c>
      <c r="P1366" t="s">
        <v>57</v>
      </c>
      <c r="Q1366" t="s">
        <v>7356</v>
      </c>
      <c r="R1366" t="s">
        <v>7357</v>
      </c>
      <c r="S1366" t="s">
        <v>2895</v>
      </c>
      <c r="T1366" t="s">
        <v>2896</v>
      </c>
      <c r="U1366" t="s">
        <v>2897</v>
      </c>
    </row>
    <row r="1367" spans="1:21" hidden="1">
      <c r="A1367" t="s">
        <v>2873</v>
      </c>
      <c r="B1367" t="s">
        <v>7338</v>
      </c>
      <c r="C1367" t="s">
        <v>4793</v>
      </c>
      <c r="D1367" t="s">
        <v>17</v>
      </c>
      <c r="E1367" t="s">
        <v>2</v>
      </c>
      <c r="F1367" t="s">
        <v>50</v>
      </c>
      <c r="G1367" t="s">
        <v>51</v>
      </c>
      <c r="H1367" t="s">
        <v>7358</v>
      </c>
      <c r="I1367" t="s">
        <v>52</v>
      </c>
      <c r="J1367" t="s">
        <v>65</v>
      </c>
      <c r="K1367" t="s">
        <v>54</v>
      </c>
      <c r="L1367" t="s">
        <v>55</v>
      </c>
      <c r="O1367" t="s">
        <v>66</v>
      </c>
      <c r="P1367" t="s">
        <v>67</v>
      </c>
      <c r="Q1367" t="s">
        <v>7359</v>
      </c>
      <c r="R1367" t="s">
        <v>7360</v>
      </c>
      <c r="S1367" t="s">
        <v>2895</v>
      </c>
      <c r="T1367" t="s">
        <v>2896</v>
      </c>
      <c r="U1367" t="s">
        <v>2897</v>
      </c>
    </row>
    <row r="1368" spans="1:21" hidden="1">
      <c r="A1368" t="s">
        <v>2875</v>
      </c>
      <c r="B1368" t="s">
        <v>7338</v>
      </c>
      <c r="C1368" t="s">
        <v>3028</v>
      </c>
      <c r="D1368" t="s">
        <v>17</v>
      </c>
      <c r="E1368" t="s">
        <v>2</v>
      </c>
      <c r="F1368" t="s">
        <v>50</v>
      </c>
      <c r="G1368" t="s">
        <v>51</v>
      </c>
      <c r="H1368" t="s">
        <v>7361</v>
      </c>
      <c r="I1368" t="s">
        <v>52</v>
      </c>
      <c r="J1368" t="s">
        <v>60</v>
      </c>
      <c r="K1368" t="s">
        <v>54</v>
      </c>
      <c r="L1368" t="s">
        <v>55</v>
      </c>
      <c r="O1368" t="s">
        <v>61</v>
      </c>
      <c r="P1368" t="s">
        <v>62</v>
      </c>
      <c r="Q1368" t="s">
        <v>7362</v>
      </c>
      <c r="R1368" t="s">
        <v>7363</v>
      </c>
      <c r="S1368" t="s">
        <v>2895</v>
      </c>
      <c r="T1368" t="s">
        <v>2896</v>
      </c>
      <c r="U1368" t="s">
        <v>2897</v>
      </c>
    </row>
    <row r="1369" spans="1:21" hidden="1">
      <c r="A1369" t="s">
        <v>2877</v>
      </c>
      <c r="B1369" t="s">
        <v>7338</v>
      </c>
      <c r="C1369" t="s">
        <v>3460</v>
      </c>
      <c r="D1369" t="s">
        <v>17</v>
      </c>
      <c r="E1369" t="s">
        <v>2</v>
      </c>
      <c r="F1369" t="s">
        <v>50</v>
      </c>
      <c r="G1369" t="s">
        <v>51</v>
      </c>
      <c r="H1369" t="s">
        <v>7364</v>
      </c>
      <c r="I1369" t="s">
        <v>52</v>
      </c>
      <c r="J1369" t="s">
        <v>81</v>
      </c>
      <c r="K1369" t="s">
        <v>54</v>
      </c>
      <c r="L1369" t="s">
        <v>55</v>
      </c>
      <c r="O1369" t="s">
        <v>82</v>
      </c>
      <c r="P1369" t="s">
        <v>83</v>
      </c>
      <c r="Q1369" t="s">
        <v>7365</v>
      </c>
      <c r="R1369" t="s">
        <v>7366</v>
      </c>
      <c r="S1369" t="s">
        <v>2895</v>
      </c>
      <c r="T1369" t="s">
        <v>2896</v>
      </c>
      <c r="U1369" t="s">
        <v>2897</v>
      </c>
    </row>
    <row r="1370" spans="1:21" hidden="1">
      <c r="A1370" t="s">
        <v>2879</v>
      </c>
      <c r="B1370" t="s">
        <v>7367</v>
      </c>
      <c r="C1370" t="s">
        <v>6417</v>
      </c>
      <c r="D1370" t="s">
        <v>17</v>
      </c>
      <c r="E1370" t="s">
        <v>2</v>
      </c>
      <c r="F1370" t="s">
        <v>50</v>
      </c>
      <c r="G1370" t="s">
        <v>51</v>
      </c>
      <c r="H1370" t="s">
        <v>7368</v>
      </c>
      <c r="I1370" t="s">
        <v>52</v>
      </c>
      <c r="J1370" t="s">
        <v>53</v>
      </c>
      <c r="K1370" t="s">
        <v>54</v>
      </c>
      <c r="L1370" t="s">
        <v>55</v>
      </c>
      <c r="O1370" t="s">
        <v>56</v>
      </c>
      <c r="P1370" t="s">
        <v>57</v>
      </c>
      <c r="Q1370" t="s">
        <v>7369</v>
      </c>
      <c r="R1370" t="s">
        <v>7370</v>
      </c>
      <c r="S1370" t="s">
        <v>2895</v>
      </c>
      <c r="T1370" t="s">
        <v>2896</v>
      </c>
      <c r="U1370" t="s">
        <v>2897</v>
      </c>
    </row>
    <row r="1371" spans="1:21" hidden="1">
      <c r="A1371" t="s">
        <v>2881</v>
      </c>
      <c r="B1371" t="s">
        <v>7367</v>
      </c>
      <c r="C1371" t="s">
        <v>6471</v>
      </c>
      <c r="D1371" t="s">
        <v>17</v>
      </c>
      <c r="E1371" t="s">
        <v>2</v>
      </c>
      <c r="F1371" t="s">
        <v>50</v>
      </c>
      <c r="G1371" t="s">
        <v>51</v>
      </c>
      <c r="H1371" t="s">
        <v>7371</v>
      </c>
      <c r="I1371" t="s">
        <v>52</v>
      </c>
      <c r="J1371" t="s">
        <v>196</v>
      </c>
      <c r="K1371" t="s">
        <v>54</v>
      </c>
      <c r="L1371" t="s">
        <v>55</v>
      </c>
      <c r="O1371" t="s">
        <v>197</v>
      </c>
      <c r="P1371" t="s">
        <v>198</v>
      </c>
      <c r="Q1371" t="s">
        <v>7372</v>
      </c>
      <c r="R1371" t="s">
        <v>7373</v>
      </c>
      <c r="S1371" t="s">
        <v>2895</v>
      </c>
      <c r="T1371" t="s">
        <v>2896</v>
      </c>
      <c r="U1371" t="s">
        <v>2897</v>
      </c>
    </row>
    <row r="1372" spans="1:21" hidden="1">
      <c r="A1372" t="s">
        <v>2883</v>
      </c>
      <c r="B1372" t="s">
        <v>7367</v>
      </c>
      <c r="C1372" t="s">
        <v>3860</v>
      </c>
      <c r="D1372" t="s">
        <v>17</v>
      </c>
      <c r="E1372" t="s">
        <v>2</v>
      </c>
      <c r="F1372" t="s">
        <v>50</v>
      </c>
      <c r="G1372" t="s">
        <v>72</v>
      </c>
      <c r="H1372" t="s">
        <v>7374</v>
      </c>
      <c r="I1372" t="s">
        <v>52</v>
      </c>
      <c r="J1372" t="s">
        <v>150</v>
      </c>
      <c r="K1372" t="s">
        <v>54</v>
      </c>
      <c r="L1372" t="s">
        <v>74</v>
      </c>
      <c r="O1372" t="s">
        <v>75</v>
      </c>
      <c r="P1372" t="s">
        <v>76</v>
      </c>
      <c r="Q1372" t="s">
        <v>7375</v>
      </c>
      <c r="R1372" t="s">
        <v>7376</v>
      </c>
      <c r="S1372" t="s">
        <v>2895</v>
      </c>
      <c r="T1372" t="s">
        <v>2896</v>
      </c>
      <c r="U1372" t="s">
        <v>2897</v>
      </c>
    </row>
    <row r="1373" spans="1:21" hidden="1">
      <c r="A1373" t="s">
        <v>2885</v>
      </c>
      <c r="B1373" t="s">
        <v>7367</v>
      </c>
      <c r="C1373" t="s">
        <v>5422</v>
      </c>
      <c r="D1373" t="s">
        <v>17</v>
      </c>
      <c r="E1373" t="s">
        <v>2</v>
      </c>
      <c r="F1373" t="s">
        <v>50</v>
      </c>
      <c r="G1373" t="s">
        <v>51</v>
      </c>
      <c r="H1373" t="s">
        <v>7377</v>
      </c>
      <c r="I1373" t="s">
        <v>52</v>
      </c>
      <c r="J1373" t="s">
        <v>126</v>
      </c>
      <c r="K1373" t="s">
        <v>54</v>
      </c>
      <c r="L1373" t="s">
        <v>55</v>
      </c>
      <c r="O1373" t="s">
        <v>56</v>
      </c>
      <c r="P1373" t="s">
        <v>57</v>
      </c>
      <c r="Q1373" t="s">
        <v>7378</v>
      </c>
      <c r="R1373" t="s">
        <v>7379</v>
      </c>
      <c r="S1373" t="s">
        <v>2895</v>
      </c>
      <c r="T1373" t="s">
        <v>2896</v>
      </c>
      <c r="U1373" t="s">
        <v>2897</v>
      </c>
    </row>
    <row r="1374" spans="1:21" hidden="1">
      <c r="A1374" t="s">
        <v>2887</v>
      </c>
      <c r="B1374" t="s">
        <v>7367</v>
      </c>
      <c r="C1374" t="s">
        <v>6566</v>
      </c>
      <c r="D1374" t="s">
        <v>17</v>
      </c>
      <c r="E1374" t="s">
        <v>2</v>
      </c>
      <c r="F1374" t="s">
        <v>50</v>
      </c>
      <c r="G1374" t="s">
        <v>51</v>
      </c>
      <c r="H1374" t="s">
        <v>7380</v>
      </c>
      <c r="I1374" t="s">
        <v>52</v>
      </c>
      <c r="J1374" t="s">
        <v>196</v>
      </c>
      <c r="K1374" t="s">
        <v>54</v>
      </c>
      <c r="L1374" t="s">
        <v>55</v>
      </c>
      <c r="O1374" t="s">
        <v>197</v>
      </c>
      <c r="P1374" t="s">
        <v>198</v>
      </c>
      <c r="Q1374" t="s">
        <v>7381</v>
      </c>
      <c r="R1374" t="s">
        <v>7382</v>
      </c>
      <c r="S1374" t="s">
        <v>2895</v>
      </c>
      <c r="T1374" t="s">
        <v>2896</v>
      </c>
      <c r="U1374" t="s">
        <v>2897</v>
      </c>
    </row>
    <row r="1375" spans="1:21" hidden="1">
      <c r="A1375" t="s">
        <v>2889</v>
      </c>
      <c r="B1375" t="s">
        <v>7367</v>
      </c>
      <c r="C1375" t="s">
        <v>4267</v>
      </c>
      <c r="D1375" t="s">
        <v>17</v>
      </c>
      <c r="E1375" t="s">
        <v>2</v>
      </c>
      <c r="F1375" t="s">
        <v>50</v>
      </c>
      <c r="G1375" t="s">
        <v>51</v>
      </c>
      <c r="H1375" t="s">
        <v>7383</v>
      </c>
      <c r="I1375" t="s">
        <v>52</v>
      </c>
      <c r="J1375" t="s">
        <v>81</v>
      </c>
      <c r="K1375" t="s">
        <v>54</v>
      </c>
      <c r="L1375" t="s">
        <v>55</v>
      </c>
      <c r="O1375" t="s">
        <v>82</v>
      </c>
      <c r="P1375" t="s">
        <v>83</v>
      </c>
      <c r="Q1375" t="s">
        <v>7384</v>
      </c>
      <c r="R1375" t="s">
        <v>7385</v>
      </c>
      <c r="S1375" t="s">
        <v>2895</v>
      </c>
      <c r="T1375" t="s">
        <v>2896</v>
      </c>
      <c r="U1375" t="s">
        <v>2897</v>
      </c>
    </row>
    <row r="1380" spans="10:13">
      <c r="J1380" s="33" t="s">
        <v>7388</v>
      </c>
      <c r="K1380" s="33"/>
    </row>
    <row r="1381" spans="10:13">
      <c r="J1381" s="31" t="s">
        <v>7389</v>
      </c>
      <c r="K1381" s="31" t="s">
        <v>7390</v>
      </c>
    </row>
    <row r="1382" spans="10:13" ht="27.6">
      <c r="J1382" s="29" t="s">
        <v>7391</v>
      </c>
      <c r="K1382" s="30" t="s">
        <v>7392</v>
      </c>
    </row>
    <row r="1385" spans="10:13">
      <c r="L1385" s="27"/>
    </row>
    <row r="1386" spans="10:13">
      <c r="J1386" s="34" t="s">
        <v>7393</v>
      </c>
      <c r="K1386" s="34"/>
      <c r="L1386" s="35" t="s">
        <v>7393</v>
      </c>
      <c r="M1386" s="35"/>
    </row>
    <row r="1387" spans="10:13">
      <c r="J1387" s="28" t="s">
        <v>7389</v>
      </c>
      <c r="K1387" s="28" t="s">
        <v>7390</v>
      </c>
      <c r="L1387" s="35"/>
      <c r="M1387" s="35"/>
    </row>
    <row r="1388" spans="10:13" ht="82.8" customHeight="1">
      <c r="J1388" s="29" t="s">
        <v>7391</v>
      </c>
      <c r="K1388" s="32" t="s">
        <v>7394</v>
      </c>
      <c r="L1388" s="36" t="s">
        <v>7395</v>
      </c>
      <c r="M1388" s="36"/>
    </row>
    <row r="1389" spans="10:13" ht="82.8" customHeight="1">
      <c r="J1389" s="29" t="s">
        <v>7396</v>
      </c>
      <c r="K1389" s="32" t="s">
        <v>7397</v>
      </c>
      <c r="L1389" s="36" t="s">
        <v>7398</v>
      </c>
      <c r="M1389" s="36"/>
    </row>
  </sheetData>
  <mergeCells count="5">
    <mergeCell ref="J1380:K1380"/>
    <mergeCell ref="J1386:K1386"/>
    <mergeCell ref="L1386:M1387"/>
    <mergeCell ref="L1388:M1388"/>
    <mergeCell ref="L1389:M1389"/>
  </mergeCells>
  <pageMargins left="0.7" right="0.7" top="0.75" bottom="0.75" header="0.3" footer="0.3"/>
  <pageSetup paperSize="0" orientation="portrait" horizontalDpi="0" verticalDpi="0" copies="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A434-68FD-4FED-BE78-6C62B941271F}">
  <dimension ref="A2:S45"/>
  <sheetViews>
    <sheetView tabSelected="1" topLeftCell="K8" workbookViewId="0">
      <selection activeCell="M43" sqref="M43"/>
    </sheetView>
  </sheetViews>
  <sheetFormatPr defaultRowHeight="13.8"/>
  <cols>
    <col min="1" max="1" width="24.59765625" bestFit="1" customWidth="1"/>
    <col min="2" max="2" width="27.796875" bestFit="1" customWidth="1"/>
    <col min="12" max="12" width="17.8984375" bestFit="1" customWidth="1"/>
    <col min="13" max="13" width="84.09765625" bestFit="1" customWidth="1"/>
  </cols>
  <sheetData>
    <row r="2" spans="1:19">
      <c r="A2" s="41" t="s">
        <v>7399</v>
      </c>
      <c r="B2" s="41"/>
      <c r="C2" s="41"/>
      <c r="D2" s="41"/>
      <c r="E2" s="41"/>
      <c r="F2" s="41"/>
      <c r="G2" s="41"/>
      <c r="H2" s="41"/>
      <c r="L2" s="41" t="s">
        <v>7432</v>
      </c>
      <c r="M2" s="41"/>
      <c r="N2" s="41"/>
      <c r="O2" s="41"/>
      <c r="P2" s="41"/>
      <c r="Q2" s="41"/>
      <c r="R2" s="41"/>
      <c r="S2" s="41"/>
    </row>
    <row r="3" spans="1:19">
      <c r="A3" s="41"/>
      <c r="B3" s="41"/>
      <c r="C3" s="41"/>
      <c r="D3" s="41"/>
      <c r="E3" s="41"/>
      <c r="F3" s="41"/>
      <c r="G3" s="41"/>
      <c r="H3" s="41"/>
      <c r="L3" s="41"/>
      <c r="M3" s="41"/>
      <c r="N3" s="41"/>
      <c r="O3" s="41"/>
      <c r="P3" s="41"/>
      <c r="Q3" s="41"/>
      <c r="R3" s="41"/>
      <c r="S3" s="41"/>
    </row>
    <row r="4" spans="1:19">
      <c r="A4" s="44" t="s">
        <v>7400</v>
      </c>
      <c r="B4" s="44" t="s">
        <v>7401</v>
      </c>
      <c r="C4" s="45"/>
      <c r="D4" s="45"/>
      <c r="E4" s="45"/>
      <c r="F4" s="45"/>
      <c r="G4" s="45"/>
      <c r="H4" s="45"/>
      <c r="L4" s="49" t="s">
        <v>7433</v>
      </c>
      <c r="M4" s="49" t="s">
        <v>7434</v>
      </c>
      <c r="N4" s="45"/>
      <c r="O4" s="45"/>
      <c r="P4" s="45"/>
      <c r="Q4" s="45"/>
      <c r="R4" s="45"/>
      <c r="S4" s="45"/>
    </row>
    <row r="5" spans="1:19">
      <c r="A5" s="43" t="s">
        <v>7402</v>
      </c>
      <c r="B5" s="46" t="s">
        <v>2</v>
      </c>
      <c r="C5" s="42"/>
      <c r="D5" s="42"/>
      <c r="E5" s="42"/>
      <c r="F5" s="42"/>
      <c r="G5" s="42"/>
      <c r="H5" s="42"/>
      <c r="L5" s="43" t="s">
        <v>7435</v>
      </c>
      <c r="M5" s="43" t="s">
        <v>7436</v>
      </c>
      <c r="N5" s="42"/>
      <c r="O5" s="42"/>
      <c r="P5" s="42"/>
      <c r="Q5" s="42"/>
      <c r="R5" s="42"/>
      <c r="S5" s="42"/>
    </row>
    <row r="6" spans="1:19">
      <c r="A6" s="43" t="s">
        <v>7403</v>
      </c>
      <c r="B6" s="46" t="s">
        <v>4</v>
      </c>
      <c r="C6" s="42"/>
      <c r="D6" s="42"/>
      <c r="E6" s="42"/>
      <c r="F6" s="42"/>
      <c r="G6" s="42"/>
      <c r="H6" s="42"/>
      <c r="L6" s="43" t="s">
        <v>7437</v>
      </c>
      <c r="M6" s="43" t="s">
        <v>7438</v>
      </c>
      <c r="N6" s="42"/>
      <c r="O6" s="42"/>
      <c r="P6" s="42"/>
      <c r="Q6" s="42"/>
      <c r="R6" s="42"/>
      <c r="S6" s="42"/>
    </row>
    <row r="7" spans="1:19">
      <c r="A7" s="43" t="s">
        <v>6</v>
      </c>
      <c r="B7" s="46" t="s">
        <v>7</v>
      </c>
      <c r="C7" s="42"/>
      <c r="D7" s="42"/>
      <c r="E7" s="42"/>
      <c r="F7" s="42"/>
      <c r="G7" s="42"/>
      <c r="H7" s="42"/>
      <c r="L7" s="43" t="s">
        <v>7439</v>
      </c>
      <c r="M7" s="43" t="s">
        <v>7440</v>
      </c>
      <c r="N7" s="42"/>
      <c r="O7" s="42"/>
      <c r="P7" s="42"/>
      <c r="Q7" s="42"/>
      <c r="R7" s="42"/>
      <c r="S7" s="42"/>
    </row>
    <row r="8" spans="1:19">
      <c r="A8" s="43" t="s">
        <v>8</v>
      </c>
      <c r="B8" s="46" t="s">
        <v>9</v>
      </c>
      <c r="C8" s="42"/>
      <c r="D8" s="42"/>
      <c r="E8" s="42"/>
      <c r="F8" s="42"/>
      <c r="G8" s="42"/>
      <c r="H8" s="42"/>
      <c r="L8" s="43" t="s">
        <v>7441</v>
      </c>
      <c r="M8" s="43" t="s">
        <v>7442</v>
      </c>
      <c r="N8" s="42"/>
      <c r="O8" s="42"/>
      <c r="P8" s="42"/>
      <c r="Q8" s="42"/>
      <c r="R8" s="42"/>
      <c r="S8" s="42"/>
    </row>
    <row r="9" spans="1:19">
      <c r="A9" s="43" t="s">
        <v>7404</v>
      </c>
      <c r="B9" s="47">
        <v>92000</v>
      </c>
      <c r="C9" s="42"/>
      <c r="D9" s="42"/>
      <c r="E9" s="42"/>
      <c r="F9" s="42"/>
      <c r="G9" s="42"/>
      <c r="H9" s="42"/>
      <c r="L9" s="43" t="s">
        <v>7443</v>
      </c>
      <c r="M9" s="43" t="s">
        <v>7444</v>
      </c>
      <c r="N9" s="42"/>
      <c r="O9" s="42"/>
      <c r="P9" s="42"/>
      <c r="Q9" s="42"/>
      <c r="R9" s="42"/>
      <c r="S9" s="42"/>
    </row>
    <row r="10" spans="1:19">
      <c r="A10" s="43" t="s">
        <v>7405</v>
      </c>
      <c r="B10" s="46" t="s">
        <v>7406</v>
      </c>
      <c r="C10" s="42"/>
      <c r="D10" s="42"/>
      <c r="E10" s="42"/>
      <c r="F10" s="42"/>
      <c r="G10" s="42"/>
      <c r="H10" s="42"/>
      <c r="L10" s="43" t="s">
        <v>7445</v>
      </c>
      <c r="M10" s="43" t="s">
        <v>7446</v>
      </c>
      <c r="N10" s="42"/>
      <c r="O10" s="42"/>
      <c r="P10" s="42"/>
      <c r="Q10" s="42"/>
      <c r="R10" s="42"/>
      <c r="S10" s="42"/>
    </row>
    <row r="11" spans="1:19">
      <c r="A11" s="43" t="s">
        <v>7407</v>
      </c>
      <c r="B11" s="48">
        <v>44453</v>
      </c>
      <c r="C11" s="42"/>
      <c r="D11" s="42"/>
      <c r="E11" s="42"/>
      <c r="F11" s="42"/>
      <c r="G11" s="42"/>
      <c r="H11" s="42"/>
      <c r="L11" s="43" t="s">
        <v>7447</v>
      </c>
      <c r="M11" s="43" t="s">
        <v>7448</v>
      </c>
      <c r="N11" s="42"/>
      <c r="O11" s="42"/>
      <c r="P11" s="42"/>
      <c r="Q11" s="42"/>
      <c r="R11" s="42"/>
      <c r="S11" s="42"/>
    </row>
    <row r="12" spans="1:19">
      <c r="A12" s="43" t="s">
        <v>7408</v>
      </c>
      <c r="B12" s="46" t="s">
        <v>15</v>
      </c>
      <c r="C12" s="42"/>
      <c r="D12" s="42"/>
      <c r="E12" s="42"/>
      <c r="F12" s="42"/>
      <c r="G12" s="42"/>
      <c r="H12" s="42"/>
      <c r="L12" s="53"/>
      <c r="M12" s="54"/>
      <c r="N12" s="55"/>
      <c r="O12" s="55"/>
      <c r="P12" s="55"/>
      <c r="Q12" s="55"/>
      <c r="R12" s="55"/>
      <c r="S12" s="55"/>
    </row>
    <row r="13" spans="1:19">
      <c r="A13" s="43" t="s">
        <v>7409</v>
      </c>
      <c r="B13" s="46" t="s">
        <v>19</v>
      </c>
      <c r="C13" s="42"/>
      <c r="D13" s="42"/>
      <c r="E13" s="42"/>
      <c r="F13" s="42"/>
      <c r="G13" s="42"/>
      <c r="H13" s="42"/>
      <c r="L13" s="53"/>
      <c r="M13" s="54"/>
      <c r="N13" s="55"/>
      <c r="O13" s="55"/>
      <c r="P13" s="55"/>
      <c r="Q13" s="55"/>
      <c r="R13" s="55"/>
      <c r="S13" s="55"/>
    </row>
    <row r="19" spans="1:19">
      <c r="A19" s="41" t="s">
        <v>7410</v>
      </c>
      <c r="B19" s="41"/>
      <c r="C19" s="41"/>
      <c r="D19" s="41"/>
      <c r="E19" s="41"/>
      <c r="F19" s="41"/>
      <c r="G19" s="41"/>
      <c r="H19" s="41"/>
      <c r="L19" s="41" t="s">
        <v>7449</v>
      </c>
      <c r="M19" s="41"/>
      <c r="N19" s="41"/>
      <c r="O19" s="41"/>
      <c r="P19" s="41"/>
      <c r="Q19" s="41"/>
      <c r="R19" s="41"/>
      <c r="S19" s="41"/>
    </row>
    <row r="20" spans="1:19">
      <c r="A20" s="41"/>
      <c r="B20" s="41"/>
      <c r="C20" s="41"/>
      <c r="D20" s="41"/>
      <c r="E20" s="41"/>
      <c r="F20" s="41"/>
      <c r="G20" s="41"/>
      <c r="H20" s="41"/>
      <c r="L20" s="41"/>
      <c r="M20" s="41"/>
      <c r="N20" s="41"/>
      <c r="O20" s="41"/>
      <c r="P20" s="41"/>
      <c r="Q20" s="41"/>
      <c r="R20" s="41"/>
      <c r="S20" s="41"/>
    </row>
    <row r="21" spans="1:19">
      <c r="A21" s="49" t="s">
        <v>7400</v>
      </c>
      <c r="B21" s="49" t="s">
        <v>7411</v>
      </c>
      <c r="C21" s="50"/>
      <c r="D21" s="50"/>
      <c r="E21" s="50"/>
      <c r="F21" s="50"/>
      <c r="G21" s="50"/>
      <c r="H21" s="50"/>
      <c r="L21" s="49" t="s">
        <v>7450</v>
      </c>
      <c r="M21" s="49" t="s">
        <v>7451</v>
      </c>
      <c r="N21" s="45"/>
      <c r="O21" s="45"/>
      <c r="P21" s="45"/>
      <c r="Q21" s="45"/>
      <c r="R21" s="45"/>
      <c r="S21" s="45"/>
    </row>
    <row r="22" spans="1:19">
      <c r="A22" s="43" t="s">
        <v>7412</v>
      </c>
      <c r="B22" s="43" t="s">
        <v>7413</v>
      </c>
      <c r="C22" s="17"/>
      <c r="D22" s="17"/>
      <c r="E22" s="17"/>
      <c r="F22" s="17"/>
      <c r="G22" s="17"/>
      <c r="H22" s="17"/>
      <c r="L22" s="29" t="s">
        <v>7452</v>
      </c>
      <c r="M22" s="29" t="s">
        <v>7453</v>
      </c>
      <c r="N22" s="42"/>
      <c r="O22" s="42"/>
      <c r="P22" s="42"/>
      <c r="Q22" s="42"/>
      <c r="R22" s="42"/>
      <c r="S22" s="42"/>
    </row>
    <row r="23" spans="1:19">
      <c r="A23" s="43" t="s">
        <v>7414</v>
      </c>
      <c r="B23" s="43" t="s">
        <v>7415</v>
      </c>
      <c r="C23" s="17"/>
      <c r="D23" s="17"/>
      <c r="E23" s="17"/>
      <c r="F23" s="17"/>
      <c r="G23" s="17"/>
      <c r="H23" s="17"/>
      <c r="L23" s="29" t="s">
        <v>7454</v>
      </c>
      <c r="M23" s="29" t="s">
        <v>7455</v>
      </c>
      <c r="N23" s="42"/>
      <c r="O23" s="42"/>
      <c r="P23" s="42"/>
      <c r="Q23" s="42"/>
      <c r="R23" s="42"/>
      <c r="S23" s="42"/>
    </row>
    <row r="24" spans="1:19">
      <c r="A24" s="43" t="s">
        <v>7416</v>
      </c>
      <c r="B24" s="43" t="s">
        <v>7417</v>
      </c>
      <c r="C24" s="17"/>
      <c r="D24" s="17"/>
      <c r="E24" s="17"/>
      <c r="F24" s="17"/>
      <c r="G24" s="17"/>
      <c r="H24" s="17"/>
      <c r="L24" s="29" t="s">
        <v>7456</v>
      </c>
      <c r="M24" s="29" t="s">
        <v>7457</v>
      </c>
      <c r="N24" s="42"/>
      <c r="O24" s="42"/>
      <c r="P24" s="42"/>
      <c r="Q24" s="42"/>
      <c r="R24" s="42"/>
      <c r="S24" s="42"/>
    </row>
    <row r="25" spans="1:19">
      <c r="A25" s="43" t="s">
        <v>7418</v>
      </c>
      <c r="B25" s="43" t="s">
        <v>27</v>
      </c>
      <c r="C25" s="17"/>
      <c r="D25" s="17"/>
      <c r="E25" s="17"/>
      <c r="F25" s="17"/>
      <c r="G25" s="17"/>
      <c r="H25" s="17"/>
      <c r="L25" s="29" t="s">
        <v>7458</v>
      </c>
      <c r="M25" s="29" t="s">
        <v>7459</v>
      </c>
      <c r="N25" s="42"/>
      <c r="O25" s="42"/>
      <c r="P25" s="42"/>
      <c r="Q25" s="42"/>
      <c r="R25" s="42"/>
      <c r="S25" s="42"/>
    </row>
    <row r="26" spans="1:19">
      <c r="A26" s="43" t="s">
        <v>7419</v>
      </c>
      <c r="B26" s="43" t="s">
        <v>29</v>
      </c>
      <c r="C26" s="17"/>
      <c r="D26" s="17"/>
      <c r="E26" s="17"/>
      <c r="F26" s="17"/>
      <c r="G26" s="17"/>
      <c r="H26" s="17"/>
      <c r="L26" s="29" t="s">
        <v>7460</v>
      </c>
      <c r="M26" s="29" t="s">
        <v>7461</v>
      </c>
      <c r="N26" s="42"/>
      <c r="O26" s="42"/>
      <c r="P26" s="42"/>
      <c r="Q26" s="42"/>
      <c r="R26" s="42"/>
      <c r="S26" s="42"/>
    </row>
    <row r="27" spans="1:19" ht="27.6">
      <c r="A27" s="43" t="s">
        <v>7408</v>
      </c>
      <c r="B27" s="43" t="s">
        <v>15</v>
      </c>
      <c r="C27" s="17"/>
      <c r="D27" s="17"/>
      <c r="E27" s="17"/>
      <c r="F27" s="17"/>
      <c r="G27" s="17"/>
      <c r="H27" s="17"/>
      <c r="L27" s="29" t="s">
        <v>7462</v>
      </c>
      <c r="M27" s="29" t="s">
        <v>7463</v>
      </c>
      <c r="N27" s="42"/>
      <c r="O27" s="42"/>
      <c r="P27" s="42"/>
      <c r="Q27" s="42"/>
      <c r="R27" s="42"/>
      <c r="S27" s="42"/>
    </row>
    <row r="28" spans="1:19">
      <c r="L28" s="29" t="s">
        <v>7464</v>
      </c>
      <c r="M28" s="29" t="s">
        <v>7465</v>
      </c>
      <c r="N28" s="42"/>
      <c r="O28" s="42"/>
      <c r="P28" s="42"/>
      <c r="Q28" s="42"/>
      <c r="R28" s="42"/>
      <c r="S28" s="42"/>
    </row>
    <row r="33" spans="1:19">
      <c r="A33" s="41" t="s">
        <v>7420</v>
      </c>
      <c r="B33" s="41"/>
      <c r="C33" s="41"/>
      <c r="D33" s="41"/>
      <c r="E33" s="41"/>
      <c r="F33" s="41"/>
      <c r="G33" s="41"/>
      <c r="H33" s="41"/>
      <c r="L33" s="41" t="s">
        <v>7466</v>
      </c>
      <c r="M33" s="41"/>
      <c r="N33" s="41"/>
      <c r="O33" s="41"/>
      <c r="P33" s="41"/>
      <c r="Q33" s="41"/>
      <c r="R33" s="41"/>
      <c r="S33" s="41"/>
    </row>
    <row r="34" spans="1:19">
      <c r="A34" s="41"/>
      <c r="B34" s="41"/>
      <c r="C34" s="41"/>
      <c r="D34" s="41"/>
      <c r="E34" s="41"/>
      <c r="F34" s="41"/>
      <c r="G34" s="41"/>
      <c r="H34" s="41"/>
      <c r="L34" s="41"/>
      <c r="M34" s="41"/>
      <c r="N34" s="41"/>
      <c r="O34" s="41"/>
      <c r="P34" s="41"/>
      <c r="Q34" s="41"/>
      <c r="R34" s="41"/>
      <c r="S34" s="41"/>
    </row>
    <row r="35" spans="1:19">
      <c r="A35" s="44" t="s">
        <v>7400</v>
      </c>
      <c r="B35" s="44" t="s">
        <v>7421</v>
      </c>
      <c r="C35" s="45"/>
      <c r="D35" s="45"/>
      <c r="E35" s="45"/>
      <c r="F35" s="45"/>
      <c r="G35" s="45"/>
      <c r="H35" s="45"/>
      <c r="L35" s="49" t="s">
        <v>7467</v>
      </c>
      <c r="M35" s="49" t="s">
        <v>7468</v>
      </c>
      <c r="N35" s="45"/>
      <c r="O35" s="45"/>
      <c r="P35" s="45"/>
      <c r="Q35" s="45"/>
      <c r="R35" s="45"/>
      <c r="S35" s="45"/>
    </row>
    <row r="36" spans="1:19">
      <c r="A36" s="43" t="s">
        <v>7422</v>
      </c>
      <c r="B36" s="46" t="s">
        <v>7423</v>
      </c>
      <c r="C36" s="42"/>
      <c r="D36" s="42"/>
      <c r="E36" s="42"/>
      <c r="F36" s="42"/>
      <c r="G36" s="42"/>
      <c r="H36" s="42"/>
      <c r="L36" s="56" t="s">
        <v>7469</v>
      </c>
      <c r="M36" s="29" t="s">
        <v>7470</v>
      </c>
      <c r="N36" s="42"/>
      <c r="O36" s="42"/>
      <c r="P36" s="42"/>
      <c r="Q36" s="42"/>
      <c r="R36" s="42"/>
      <c r="S36" s="42"/>
    </row>
    <row r="37" spans="1:19">
      <c r="A37" s="43" t="s">
        <v>7424</v>
      </c>
      <c r="B37" s="46" t="s">
        <v>17</v>
      </c>
      <c r="C37" s="42"/>
      <c r="D37" s="42"/>
      <c r="E37" s="42"/>
      <c r="F37" s="42"/>
      <c r="G37" s="42"/>
      <c r="H37" s="42"/>
      <c r="L37" s="56" t="s">
        <v>7471</v>
      </c>
      <c r="M37" s="29" t="s">
        <v>7472</v>
      </c>
      <c r="N37" s="42"/>
      <c r="O37" s="42"/>
      <c r="P37" s="42"/>
      <c r="Q37" s="42"/>
      <c r="R37" s="42"/>
      <c r="S37" s="42"/>
    </row>
    <row r="38" spans="1:19">
      <c r="A38" s="43" t="s">
        <v>7425</v>
      </c>
      <c r="B38" s="52">
        <v>1374</v>
      </c>
      <c r="C38" s="42"/>
      <c r="D38" s="42"/>
      <c r="E38" s="42"/>
      <c r="F38" s="42"/>
      <c r="G38" s="42"/>
      <c r="H38" s="42"/>
      <c r="L38" s="56" t="s">
        <v>7393</v>
      </c>
      <c r="M38" s="29" t="s">
        <v>7473</v>
      </c>
      <c r="N38" s="42"/>
      <c r="O38" s="42"/>
      <c r="P38" s="42"/>
      <c r="Q38" s="42"/>
      <c r="R38" s="42"/>
      <c r="S38" s="42"/>
    </row>
    <row r="39" spans="1:19">
      <c r="A39" s="43" t="s">
        <v>7426</v>
      </c>
      <c r="B39" s="46">
        <v>10</v>
      </c>
      <c r="C39" s="42"/>
      <c r="D39" s="42"/>
      <c r="E39" s="42"/>
      <c r="F39" s="42"/>
      <c r="G39" s="42"/>
      <c r="H39" s="42"/>
      <c r="L39" s="56" t="s">
        <v>7474</v>
      </c>
      <c r="M39" s="56" t="s">
        <v>7475</v>
      </c>
      <c r="N39" s="42"/>
      <c r="O39" s="42"/>
      <c r="P39" s="42"/>
      <c r="Q39" s="42"/>
      <c r="R39" s="42"/>
      <c r="S39" s="42"/>
    </row>
    <row r="40" spans="1:19">
      <c r="A40" s="43" t="s">
        <v>7427</v>
      </c>
      <c r="B40" s="47">
        <v>93280</v>
      </c>
      <c r="C40" s="42"/>
      <c r="D40" s="42"/>
      <c r="E40" s="42"/>
      <c r="F40" s="42"/>
      <c r="G40" s="42"/>
      <c r="H40" s="42"/>
      <c r="L40" s="57"/>
      <c r="M40" s="57"/>
      <c r="N40" s="55"/>
      <c r="O40" s="55"/>
      <c r="P40" s="55"/>
      <c r="Q40" s="55"/>
      <c r="R40" s="55"/>
      <c r="S40" s="55"/>
    </row>
    <row r="41" spans="1:19">
      <c r="A41" s="43" t="s">
        <v>7428</v>
      </c>
      <c r="B41" s="46">
        <v>7</v>
      </c>
      <c r="C41" s="42"/>
      <c r="D41" s="42"/>
      <c r="E41" s="42"/>
      <c r="F41" s="42"/>
      <c r="G41" s="42"/>
      <c r="H41" s="42"/>
      <c r="L41" s="57"/>
      <c r="M41" s="57"/>
      <c r="N41" s="55"/>
      <c r="O41" s="55"/>
      <c r="P41" s="55"/>
      <c r="Q41" s="55"/>
      <c r="R41" s="55"/>
      <c r="S41" s="55"/>
    </row>
    <row r="42" spans="1:19">
      <c r="A42" s="43" t="s">
        <v>7429</v>
      </c>
      <c r="B42" s="47">
        <v>67080</v>
      </c>
      <c r="C42" s="42"/>
      <c r="D42" s="42"/>
      <c r="E42" s="42"/>
      <c r="F42" s="42"/>
      <c r="G42" s="42"/>
      <c r="H42" s="42"/>
      <c r="L42" s="57"/>
      <c r="M42" s="57"/>
      <c r="N42" s="55"/>
      <c r="O42" s="55"/>
      <c r="P42" s="55"/>
      <c r="Q42" s="55"/>
      <c r="R42" s="55"/>
      <c r="S42" s="55"/>
    </row>
    <row r="43" spans="1:19">
      <c r="A43" s="43" t="s">
        <v>7430</v>
      </c>
      <c r="B43" s="46">
        <v>3</v>
      </c>
      <c r="C43" s="42"/>
      <c r="D43" s="42"/>
      <c r="E43" s="42"/>
      <c r="F43" s="42"/>
      <c r="G43" s="42"/>
      <c r="H43" s="42"/>
    </row>
    <row r="44" spans="1:19">
      <c r="A44" s="43" t="s">
        <v>7431</v>
      </c>
      <c r="B44" s="47">
        <v>26200</v>
      </c>
      <c r="C44" s="42"/>
      <c r="D44" s="42"/>
      <c r="E44" s="42"/>
      <c r="F44" s="42"/>
      <c r="G44" s="42"/>
      <c r="H44" s="42"/>
    </row>
    <row r="45" spans="1:19">
      <c r="A45" s="51"/>
      <c r="B45" s="51"/>
      <c r="C45" s="51"/>
      <c r="D45" s="51"/>
      <c r="E45" s="51"/>
      <c r="F45" s="51"/>
      <c r="G45" s="51"/>
      <c r="H45" s="51"/>
    </row>
  </sheetData>
  <mergeCells count="6">
    <mergeCell ref="A2:H3"/>
    <mergeCell ref="A19:H20"/>
    <mergeCell ref="A33:H34"/>
    <mergeCell ref="L2:S3"/>
    <mergeCell ref="L19:S20"/>
    <mergeCell ref="L33:S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15DCBD-5C25-46E2-A622-E4A0F6083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Profile</vt:lpstr>
      <vt:lpstr>Transactions</vt:lpstr>
      <vt:lpstr>Transactions Table</vt:lpstr>
      <vt:lpstr>Analysis</vt:lpstr>
      <vt:lpstr>Near-10k Review</vt:lpstr>
      <vt:lpstr>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berhe</dc:creator>
  <cp:lastModifiedBy>hilal berhe</cp:lastModifiedBy>
  <dcterms:created xsi:type="dcterms:W3CDTF">2026-09-05T14:38:34Z</dcterms:created>
  <dcterms:modified xsi:type="dcterms:W3CDTF">2026-09-10T20:25:23Z</dcterms:modified>
</cp:coreProperties>
</file>